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00_README" sheetId="1" state="visible" r:id="rId3"/>
    <sheet name="01_CIS_Assessment" sheetId="2" state="visible" r:id="rId4"/>
    <sheet name="02_Scorecard" sheetId="3" state="visible" r:id="rId5"/>
    <sheet name="03_Featured_Five" sheetId="4" state="visible" r:id="rId6"/>
    <sheet name="04_CUEC_Closeout" sheetId="5" state="visible" r:id="rId7"/>
    <sheet name="05_Conditions_C1_C4" sheetId="6" state="visible" r:id="rId8"/>
    <sheet name="06_Findings_Register" sheetId="7" state="visible" r:id="rId9"/>
    <sheet name="07_Severity_Rule" sheetId="8" state="visible" r:id="rId10"/>
    <sheet name="08_Five_Way_Mapping" sheetId="9" state="visible" r:id="rId11"/>
    <sheet name="09_R005_Credit_Test" sheetId="10" state="visible" r:id="rId12"/>
    <sheet name="10_R005_Recalc" sheetId="11" state="visible" r:id="rId13"/>
    <sheet name="11_Register_v1.2" sheetId="12" state="visible" r:id="rId14"/>
    <sheet name="12_Roadmap" sheetId="13" state="visible" r:id="rId15"/>
    <sheet name="13_Conflicts" sheetId="14" state="visible" r:id="rId16"/>
    <sheet name="14_Maturity_Effect" sheetId="15" state="visible" r:id="rId17"/>
    <sheet name="15_Scope_and_Limits" sheetId="16" state="visible" r:id="rId18"/>
    <sheet name="16_Issue_Checklist" sheetId="17" state="visible" r:id="rId1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<sst xmlns="http://schemas.openxmlformats.org/spreadsheetml/2006/main" count="2462" uniqueCount="1192">
  <si>
    <t xml:space="preserve">CGI-AWS-001</t>
  </si>
  <si>
    <t xml:space="preserve">Cloud Configuration Compliance Review - CIS AWS Foundations Benchmark v5.0.0, mapped to ISO/IEC 27001, SOC 2 and NIST CSF 2.0</t>
  </si>
  <si>
    <t xml:space="preserve">Organisation</t>
  </si>
  <si>
    <t xml:space="preserve">Cypher Group Inc. (SIMULATED) - 50 employees, B2B SaaS project-management platform, ~200 SMB customers; cloud provider CloudCo (CGI-VEN-001)</t>
  </si>
  <si>
    <t xml:space="preserve">CASE STUDY NOTICE</t>
  </si>
  <si>
    <t xml:space="preserve">Simulated case study. No real account was scanned: every configuration result is a labelled scenario. The benchmark, the Security Hub control IDs and the audit commands are real.</t>
  </si>
  <si>
    <t xml:space="preserve">Benchmark</t>
  </si>
  <si>
    <t xml:space="preserve">CIS Amazon Web Services Foundations Benchmark v5.0.0 - 63 recommendations in 5 sections. Chosen because it is the version AWS Security Hub CSPM automates. Recommendation titles are the benchmark's own; obtain the benchmark from CIS.</t>
  </si>
  <si>
    <t xml:space="preserve">Review date</t>
  </si>
  <si>
    <t xml:space="preserve">16 October 2026 (simulated fieldwork 12-16 October 2026)</t>
  </si>
  <si>
    <t xml:space="preserve">Prepared by</t>
  </si>
  <si>
    <t xml:space="preserve">O.S (reviewer)</t>
  </si>
  <si>
    <t xml:space="preserve">Approved by</t>
  </si>
  <si>
    <t xml:space="preserve">Jerry Olugboye, Chief Executive Officer</t>
  </si>
  <si>
    <t xml:space="preserve">Inputs consumed</t>
  </si>
  <si>
    <t xml:space="preserve">CGI-POL-001 to -005 | CGI-RSK-001 v1.1 (14 risks) | CGI-GAP-001 v1.1 (1.32) | CGI-TPR-001 VRA-2026-001 (four CUECs, C1-C4) | CGI-ISO-001 SoA | CGI-SOC-001 / CGI-IAU-001</t>
  </si>
  <si>
    <t xml:space="preserve">SCOPE STATEMENT</t>
  </si>
  <si>
    <t xml:space="preserve">This is a compliance and configuration review against a published benchmark, not cloud engineering.</t>
  </si>
  <si>
    <t xml:space="preserve">COLOUR LEGEND</t>
  </si>
  <si>
    <t xml:space="preserve">  Yellow</t>
  </si>
  <si>
    <t xml:space="preserve">User input - replace with your own data</t>
  </si>
  <si>
    <t xml:space="preserve">  Grey</t>
  </si>
  <si>
    <t xml:space="preserve">Formula - do not overtype</t>
  </si>
  <si>
    <t xml:space="preserve">  Green</t>
  </si>
  <si>
    <t xml:space="preserve">PASS</t>
  </si>
  <si>
    <t xml:space="preserve">  Red</t>
  </si>
  <si>
    <t xml:space="preserve">FAIL</t>
  </si>
  <si>
    <t xml:space="preserve">  Grey (result)</t>
  </si>
  <si>
    <t xml:space="preserve">N/A - not applicable, never counted as a pass</t>
  </si>
  <si>
    <t xml:space="preserve">SCORING METHOD</t>
  </si>
  <si>
    <t xml:space="preserve">Score = PASS / (recommendations in scope - N/A). Three scores: all 63; Level 1 only; the Cypher profile (Level 1 + six Level 2 items required by policy, a CloudCo CUEC or an existing treatment action). Gate: any open Critical finding = NO-GO on claiming CIS alignment, whatever the percentage.</t>
  </si>
  <si>
    <t xml:space="preserve">RISK METHOD</t>
  </si>
  <si>
    <t xml:space="preserve">NIST SP 800-30 Rev. 1 semi-quantitative 5 x 5, per CGI-RSK-001 s1: Score = Likelihood x Impact; Low 1-4, Medium 5-9, High 10-14, Critical 15-25. A residual credit stands only while the evidence supports the control it credits.</t>
  </si>
  <si>
    <t xml:space="preserve">HOW TO USE</t>
  </si>
  <si>
    <t xml:space="preserve">1. Replace column L (Result) and the evidence columns on 01_CIS_Assessment with your own review. 2. Set column E to your profile. 3. 02_Scorecard and 16_Issue_Checklist recalculate. 4. Recalculate the whole workbook before you publish: LibreOffice Ctrl+Shift+F9, Excel Ctrl+Alt+F9.</t>
  </si>
  <si>
    <t xml:space="preserve">GITHUB</t>
  </si>
  <si>
    <t xml:space="preserve">Upload to the 07-aws-cloud-compliance/ folder of the portfolio repository.</t>
  </si>
  <si>
    <t xml:space="preserve">NOTION</t>
  </si>
  <si>
    <t xml:space="preserve">Import each data/*.csv as a database. Set Result, Severity, Verdict and Owner to Select; Likelihood, Impact and Score to Number; dates to Date.</t>
  </si>
  <si>
    <t xml:space="preserve">VERIFICATION</t>
  </si>
  <si>
    <t xml:space="preserve">16_Issue_Checklist must read PASS on every row before this workbook is published.</t>
  </si>
  <si>
    <t xml:space="preserve">Part 3 - every CIS AWS Foundations Benchmark v5.0.0 recommendation, with its scenario result and five-way mapping.</t>
  </si>
  <si>
    <t xml:space="preserve">CIS ID</t>
  </si>
  <si>
    <t xml:space="preserve">Section</t>
  </si>
  <si>
    <t xml:space="preserve">Recommendation</t>
  </si>
  <si>
    <t xml:space="preserve">CIS profile level</t>
  </si>
  <si>
    <t xml:space="preserve">In Cypher profile</t>
  </si>
  <si>
    <t xml:space="preserve">Profile reason</t>
  </si>
  <si>
    <t xml:space="preserve">Assessment status (CIS)</t>
  </si>
  <si>
    <t xml:space="preserve">Security Hub control (v5.0.0)</t>
  </si>
  <si>
    <t xml:space="preserve">Evidence method used</t>
  </si>
  <si>
    <t xml:space="preserve">Account and region scope</t>
  </si>
  <si>
    <t xml:space="preserve">Platform asset and service</t>
  </si>
  <si>
    <t xml:space="preserve">Scenario result</t>
  </si>
  <si>
    <t xml:space="preserve">Technical observation and root cause</t>
  </si>
  <si>
    <t xml:space="preserve">Evidence inspected</t>
  </si>
  <si>
    <t xml:space="preserve">Audit command or console path</t>
  </si>
  <si>
    <t xml:space="preserve">Drawer 1 policy reference</t>
  </si>
  <si>
    <t xml:space="preserve">Core remediation directive</t>
  </si>
  <si>
    <t xml:space="preserve">Finding ID</t>
  </si>
  <si>
    <t xml:space="preserve">ISO/IEC 27001:2022 Annex A</t>
  </si>
  <si>
    <t xml:space="preserve">SOC 2 TSC</t>
  </si>
  <si>
    <t xml:space="preserve">NIST CSF 2.0</t>
  </si>
  <si>
    <t xml:space="preserve">Risk ID</t>
  </si>
  <si>
    <t xml:space="preserve">CloudCo CUEC</t>
  </si>
  <si>
    <t xml:space="preserve">Has Security Hub control</t>
  </si>
  <si>
    <t xml:space="preserve">Section no.</t>
  </si>
  <si>
    <t xml:space="preserve">1.1</t>
  </si>
  <si>
    <t xml:space="preserve">1 Identity and Access Management</t>
  </si>
  <si>
    <t xml:space="preserve">Maintain current contact details</t>
  </si>
  <si>
    <t xml:space="preserve">Level 1</t>
  </si>
  <si>
    <t xml:space="preserve">Y</t>
  </si>
  <si>
    <t xml:space="preserve">Manual</t>
  </si>
  <si>
    <t xml:space="preserve">-</t>
  </si>
  <si>
    <t xml:space="preserve">Manual inspection and inquiry</t>
  </si>
  <si>
    <t xml:space="preserve">All 3 accounts (management, production, staging)</t>
  </si>
  <si>
    <t xml:space="preserve">CloudCo account settings - primary contact</t>
  </si>
  <si>
    <t xml:space="preserve">Primary contact name, address, telephone and email are current in all three accounts and match the company register (verified with the CEO).</t>
  </si>
  <si>
    <t xml:space="preserve">Account settings screenshots for all 3 accounts, 13 Oct 2026; inquiry of the CEO.</t>
  </si>
  <si>
    <t xml:space="preserve">Console: Account &gt; Contact information</t>
  </si>
  <si>
    <t xml:space="preserve">Keep. Re-confirm at each quarterly assessment.</t>
  </si>
  <si>
    <t xml:space="preserve">A.5.5</t>
  </si>
  <si>
    <t xml:space="preserve">CC2.3</t>
  </si>
  <si>
    <t xml:space="preserve">GV.RR</t>
  </si>
  <si>
    <t xml:space="preserve">R-005</t>
  </si>
  <si>
    <t xml:space="preserve">1.2</t>
  </si>
  <si>
    <t xml:space="preserve">Ensure security contact information is registered</t>
  </si>
  <si>
    <t xml:space="preserve">Account.1</t>
  </si>
  <si>
    <t xml:space="preserve">Security Hub CSPM (production) + read-only CLI (other accounts)</t>
  </si>
  <si>
    <t xml:space="preserve">CloudCo account settings - alternate contacts</t>
  </si>
  <si>
    <t xml:space="preserve">No security alternate contact is registered in any account. CloudCo security and abuse notices (for example exposed-key alerts) go to the founder's billing mailbox, which nobody in IT monitors.</t>
  </si>
  <si>
    <t xml:space="preserve">Security Hub Account.1 FAILED (production); CLI for management and staging.</t>
  </si>
  <si>
    <t xml:space="preserve">aws account get-alternate-contact --alternate-contact-type SECURITY</t>
  </si>
  <si>
    <t xml:space="preserve">CGI-POL-005 s5.2 reporting channels (not extended to the cloud provider)</t>
  </si>
  <si>
    <t xml:space="preserve">Register a monitored security@ distribution list as the security contact in all three accounts.</t>
  </si>
  <si>
    <t xml:space="preserve">CF-14</t>
  </si>
  <si>
    <t xml:space="preserve">A.5.24; A.5.5</t>
  </si>
  <si>
    <t xml:space="preserve">CC2.3; CC7.3</t>
  </si>
  <si>
    <t xml:space="preserve">RS.CO; GV.RR</t>
  </si>
  <si>
    <t xml:space="preserve">1.3</t>
  </si>
  <si>
    <t xml:space="preserve">Ensure no 'root' user account access key exists</t>
  </si>
  <si>
    <t xml:space="preserve">Automated</t>
  </si>
  <si>
    <t xml:space="preserve">IAM.4</t>
  </si>
  <si>
    <t xml:space="preserve">IAM - root user</t>
  </si>
  <si>
    <t xml:space="preserve">No root access key exists in any account.</t>
  </si>
  <si>
    <t xml:space="preserve">Security Hub IAM.4 PASSED (production); credential reports for all 3 accounts.</t>
  </si>
  <si>
    <t xml:space="preserve">aws iam get-account-summary  (AccountAccessKeysPresent = 0)</t>
  </si>
  <si>
    <t xml:space="preserve">CGI-POL-002 s4.4.3</t>
  </si>
  <si>
    <t xml:space="preserve">Keep. Add an SCP or alert that flags any root access key creation.</t>
  </si>
  <si>
    <t xml:space="preserve">A.8.2; A.5.17</t>
  </si>
  <si>
    <t xml:space="preserve">CC6.1</t>
  </si>
  <si>
    <t xml:space="preserve">PR.AA</t>
  </si>
  <si>
    <t xml:space="preserve">CUEC 2</t>
  </si>
  <si>
    <t xml:space="preserve">1.4</t>
  </si>
  <si>
    <t xml:space="preserve">Ensure MFA is enabled for the 'root' user account</t>
  </si>
  <si>
    <t xml:space="preserve">IAM.9</t>
  </si>
  <si>
    <t xml:space="preserve">MFA is active on all three root users. All three devices are virtual (an authenticator app), which satisfies 1.4 but not CGI-POL-002 s4.4.3 or recommendation 1.5. A PASS here is one day's setting, not evidence that root use is restricted.</t>
  </si>
  <si>
    <t xml:space="preserve">Security Hub IAM.9 PASSED (production); credential reports for all 3 accounts (mfa_active = true).</t>
  </si>
  <si>
    <t xml:space="preserve">aws iam get-account-summary  (AccountMFAEnabled = 1)</t>
  </si>
  <si>
    <t xml:space="preserve">Keep, and upgrade to hardware MFA under 1.5.</t>
  </si>
  <si>
    <t xml:space="preserve">A.8.2; A.8.5</t>
  </si>
  <si>
    <t xml:space="preserve">1.5</t>
  </si>
  <si>
    <t xml:space="preserve">Ensure hardware MFA is enabled for the 'root' user account</t>
  </si>
  <si>
    <t xml:space="preserve">Level 2</t>
  </si>
  <si>
    <t xml:space="preserve">CGI-POL-002 s4.4.3 requires a hardware MFA device on the CloudCo root user</t>
  </si>
  <si>
    <t xml:space="preserve">IAM.6</t>
  </si>
  <si>
    <t xml:space="preserve">No hardware MFA device is registered for any root user. CGI-POL-002 s4.4.3 requires one, so this Level 2 recommendation is mandatory for Cypher. The policy is stricter than the Level 1 profile.</t>
  </si>
  <si>
    <t xml:space="preserve">Security Hub IAM.6 FAILED (production); the root MFA serial appears in the virtual MFA device list in all 3 accounts.</t>
  </si>
  <si>
    <t xml:space="preserve">aws iam list-virtual-mfa-devices  (root serial listed = virtual, not hardware)</t>
  </si>
  <si>
    <t xml:space="preserve">Register two FIDO hardware keys per root user (one in the CTO's custody, one in the office safe). Until then, operate proposed exception EXC-004 with a root-login alert.</t>
  </si>
  <si>
    <t xml:space="preserve">CF-08</t>
  </si>
  <si>
    <t xml:space="preserve">1.6</t>
  </si>
  <si>
    <t xml:space="preserve">Eliminate use of the 'root' user for administrative and daily tasks</t>
  </si>
  <si>
    <t xml:space="preserve">The management-account root user signed in 4 times in the last 90 days to download invoices and update the payment card. None of the four uses was documented and no alert fired, so CGI-POL-002 s4.4.3 was breached twice per use. Root credentials sit in the CTO's personal password vault, not sealed.</t>
  </si>
  <si>
    <t xml:space="preserve">Credential report (password_last_used); CloudTrail ConsoleLogin events with userIdentity.type = Root in the management account; inquiry of the CTO.</t>
  </si>
  <si>
    <t xml:space="preserve">aws iam get-credential-report; CloudTrail lookup-events for ConsoleLogin by Root</t>
  </si>
  <si>
    <t xml:space="preserve">Turn on IAM access to Billing and give Finance a billing role; seal root credentials; document every root use.</t>
  </si>
  <si>
    <t xml:space="preserve">A.8.2</t>
  </si>
  <si>
    <t xml:space="preserve">CC6.1; CC6.3</t>
  </si>
  <si>
    <t xml:space="preserve">1.7</t>
  </si>
  <si>
    <t xml:space="preserve">Ensure IAM password policy requires minimum length of 14 or greater</t>
  </si>
  <si>
    <t xml:space="preserve">IAM.15</t>
  </si>
  <si>
    <t xml:space="preserve">IAM - account password policy</t>
  </si>
  <si>
    <t xml:space="preserve">Minimum length is 8 in all three accounts. CGI-POL-002 s4.1.1 requires 14 and s4.1.2 requires 16 for privileged accounts, and every CloudCo console user is privileged.</t>
  </si>
  <si>
    <t xml:space="preserve">Security Hub IAM.15 FAILED (production); CLI for management and staging.</t>
  </si>
  <si>
    <t xml:space="preserve">aws iam get-account-password-policy  (MinimumPasswordLength)</t>
  </si>
  <si>
    <t xml:space="preserve">CGI-POL-002 s4.1.1; s4.1.2</t>
  </si>
  <si>
    <t xml:space="preserve">Set minimum length to 16 now. The rule becomes moot once console access is federated (CF-09).</t>
  </si>
  <si>
    <t xml:space="preserve">CF-11</t>
  </si>
  <si>
    <t xml:space="preserve">A.5.17; A.8.5</t>
  </si>
  <si>
    <t xml:space="preserve">R-001; R-005</t>
  </si>
  <si>
    <t xml:space="preserve">1.8</t>
  </si>
  <si>
    <t xml:space="preserve">Ensure IAM password policy prevents password reuse</t>
  </si>
  <si>
    <t xml:space="preserve">IAM.16</t>
  </si>
  <si>
    <t xml:space="preserve">Password reuse prevention is not set in any account.</t>
  </si>
  <si>
    <t xml:space="preserve">Security Hub IAM.16 FAILED (production); CLI for management and staging.</t>
  </si>
  <si>
    <t xml:space="preserve">aws iam get-account-password-policy  (PasswordReusePrevention)</t>
  </si>
  <si>
    <t xml:space="preserve">CGI-POL-002 s4.1</t>
  </si>
  <si>
    <t xml:space="preserve">Set PasswordReusePrevention to 24.</t>
  </si>
  <si>
    <t xml:space="preserve">A.5.17</t>
  </si>
  <si>
    <t xml:space="preserve">1.9</t>
  </si>
  <si>
    <t xml:space="preserve">Ensure MFA is enabled for all IAM users that have a console password</t>
  </si>
  <si>
    <t xml:space="preserve">IAM.5</t>
  </si>
  <si>
    <t xml:space="preserve">Production account (eu-central-1; us-east-1 backup copies)</t>
  </si>
  <si>
    <t xml:space="preserve">IAM users (8 with console passwords)</t>
  </si>
  <si>
    <t xml:space="preserve">7 of 8 console users have MFA. The eighth, ext-ops-contractor, has none. All 7 MFA devices are authenticator-app codes, contrary to CGI-POL-002 s4.3.3 (phishing-resistant factor for privileged accounts). CIS cannot see the factor type, so a CIS PASS would still have been a policy FAIL.</t>
  </si>
  <si>
    <t xml:space="preserve">Security Hub IAM.5 FAILED (production); credential report; list-mfa-devices per user.</t>
  </si>
  <si>
    <t xml:space="preserve">aws iam get-credential-report  (password_enabled = true AND mfa_active = false)</t>
  </si>
  <si>
    <t xml:space="preserve">CGI-POL-002 s4.3.1; s4.3.3</t>
  </si>
  <si>
    <t xml:space="preserve">Disable ext-ops-contractor today; move admins to FIDO2 keys through federated access (CF-09).</t>
  </si>
  <si>
    <t xml:space="preserve">CF-02; CF-09</t>
  </si>
  <si>
    <t xml:space="preserve">A.8.5; A.5.17</t>
  </si>
  <si>
    <t xml:space="preserve">CUEC 3</t>
  </si>
  <si>
    <t xml:space="preserve">1.10</t>
  </si>
  <si>
    <t xml:space="preserve">Do not create access keys during initial setup for IAM users with a console password</t>
  </si>
  <si>
    <t xml:space="preserve">IAM users</t>
  </si>
  <si>
    <t xml:space="preserve">ext-ops-contractor was given a console password and an access key on the same day (14 Mar 2025). The key has never been used.</t>
  </si>
  <si>
    <t xml:space="preserve">Credential report: user_creation_time equals access_key_1_last_rotated; access_key_1_last_used_date = N/A.</t>
  </si>
  <si>
    <t xml:space="preserve">aws iam get-credential-report</t>
  </si>
  <si>
    <t xml:space="preserve">CGI-POL-003 s4.3.4 (provision only what the approved ticket grants)</t>
  </si>
  <si>
    <t xml:space="preserve">Delete the key. Issue programmatic access only through roles.</t>
  </si>
  <si>
    <t xml:space="preserve">CF-02</t>
  </si>
  <si>
    <t xml:space="preserve">A.5.17; A.5.18</t>
  </si>
  <si>
    <t xml:space="preserve">CC6.2</t>
  </si>
  <si>
    <t xml:space="preserve">R-005; R-003</t>
  </si>
  <si>
    <t xml:space="preserve">1.11</t>
  </si>
  <si>
    <t xml:space="preserve">Ensure credentials unused for 45 days or more are disabled</t>
  </si>
  <si>
    <t xml:space="preserve">IAM.22</t>
  </si>
  <si>
    <t xml:space="preserve">ext-ops-contractor last signed in on 02 Apr 2025, 562 days ago. Password and key are both still active. The contractor's engagement ended in April 2025 and no leaver ticket exists.</t>
  </si>
  <si>
    <t xml:space="preserve">Security Hub IAM.22 FAILED (production); credential report.</t>
  </si>
  <si>
    <t xml:space="preserve">aws iam get-credential-report  (password_last_used, access_key_1_last_used_date)</t>
  </si>
  <si>
    <t xml:space="preserve">CGI-POL-003 s4.5.2; s4.7.3</t>
  </si>
  <si>
    <t xml:space="preserve">Disable the user today; run the monthly orphaned-account reconciliation in CGI-POL-003 s4.7.3 for CloudCo too.</t>
  </si>
  <si>
    <t xml:space="preserve">A.5.18; A.8.2</t>
  </si>
  <si>
    <t xml:space="preserve">CC6.2; CC6.3</t>
  </si>
  <si>
    <t xml:space="preserve">R-003; R-005</t>
  </si>
  <si>
    <t xml:space="preserve">1.12</t>
  </si>
  <si>
    <t xml:space="preserve">Ensure there is only one active access key for any single IAM user</t>
  </si>
  <si>
    <t xml:space="preserve">Read-only CLI (SecurityAudit role)</t>
  </si>
  <si>
    <t xml:space="preserve">No user holds two active keys.</t>
  </si>
  <si>
    <t xml:space="preserve">list-access-keys for all 9 users (CIS 'Automated', but no Security Hub control - checked by CLI).</t>
  </si>
  <si>
    <t xml:space="preserve">aws iam list-access-keys --user-name &lt;user&gt;</t>
  </si>
  <si>
    <t xml:space="preserve">Keep.</t>
  </si>
  <si>
    <t xml:space="preserve">1.13</t>
  </si>
  <si>
    <t xml:space="preserve">Ensure access keys are rotated every 90 days or less</t>
  </si>
  <si>
    <t xml:space="preserve">IAM.3</t>
  </si>
  <si>
    <t xml:space="preserve">IAM users - codeco-deploy, ext-ops-contractor</t>
  </si>
  <si>
    <t xml:space="preserve">Two keys exceed 90 days: codeco-deploy (412 days, used daily by the CodeCo deployment pipeline) and ext-ops-contractor (581 days, never used).</t>
  </si>
  <si>
    <t xml:space="preserve">Security Hub IAM.3 FAILED (production); credential report access_key_1_last_rotated.</t>
  </si>
  <si>
    <t xml:space="preserve">aws iam get-credential-report  (access_key_1_last_rotated)</t>
  </si>
  <si>
    <t xml:space="preserve">None for machine credentials - CGI-POL-002 covers people only</t>
  </si>
  <si>
    <t xml:space="preserve">Replace codeco-deploy with OpenID Connect federation from CodeCo to an IAM role; delete both keys.</t>
  </si>
  <si>
    <t xml:space="preserve">CF-10; CF-02</t>
  </si>
  <si>
    <t xml:space="preserve">R-005; R-004</t>
  </si>
  <si>
    <t xml:space="preserve">1.14</t>
  </si>
  <si>
    <t xml:space="preserve">Ensure IAM users receive permissions only through groups</t>
  </si>
  <si>
    <t xml:space="preserve">IAM.2</t>
  </si>
  <si>
    <t xml:space="preserve">IAM users - ext-ops-contractor, codeco-deploy</t>
  </si>
  <si>
    <t xml:space="preserve">Two users have policies attached directly: ext-ops-contractor (cgi-ops-fullaccess) and codeco-deploy (cgi-deploy).</t>
  </si>
  <si>
    <t xml:space="preserve">Security Hub IAM.2 FAILED (production).</t>
  </si>
  <si>
    <t xml:space="preserve">aws iam list-attached-user-policies; aws iam list-user-policies</t>
  </si>
  <si>
    <t xml:space="preserve">CGI-POL-003 s4.2.1 role profiles</t>
  </si>
  <si>
    <t xml:space="preserve">Grant all human access through Identity Center permission sets (CF-09) and machine access through roles.</t>
  </si>
  <si>
    <t xml:space="preserve">CF-09</t>
  </si>
  <si>
    <t xml:space="preserve">A.5.15; A.5.18</t>
  </si>
  <si>
    <t xml:space="preserve">CC6.3</t>
  </si>
  <si>
    <t xml:space="preserve">1.15</t>
  </si>
  <si>
    <t xml:space="preserve">Ensure IAM policies that allow full '*:*' administrative privileges are not attached</t>
  </si>
  <si>
    <t xml:space="preserve">IAM - customer-managed policy cgi-ops-fullaccess</t>
  </si>
  <si>
    <t xml:space="preserve">cgi-ops-fullaccess allows Action '*' on Resource '*'. It is attached to the Engineering-Admins group (4 users) and to ext-ops-contractor. Nobody uses a separate administrative account (CGI-POL-002 s4.4.1).</t>
  </si>
  <si>
    <t xml:space="preserve">list-policies --only-attached --scope Local, then get-policy-version (CIS 'Automated', no Security Hub control in the v5.0.0 standard).</t>
  </si>
  <si>
    <t xml:space="preserve">aws iam list-policies --only-attached --scope Local; aws iam get-policy-version</t>
  </si>
  <si>
    <t xml:space="preserve">CGI-POL-002 s4.4.1; CGI-POL-003 s4.2.1</t>
  </si>
  <si>
    <t xml:space="preserve">Detach and delete cgi-ops-fullaccess; give admin rights only through a time-bound elevated permission set.</t>
  </si>
  <si>
    <t xml:space="preserve">A.8.2; A.5.15</t>
  </si>
  <si>
    <t xml:space="preserve">1.16</t>
  </si>
  <si>
    <t xml:space="preserve">Ensure a support role has been created to manage incidents with AWS Support</t>
  </si>
  <si>
    <t xml:space="preserve">IAM.18</t>
  </si>
  <si>
    <t xml:space="preserve">IAM - AWSSupportAccess</t>
  </si>
  <si>
    <t xml:space="preserve">No role or group has the AWSSupportAccess policy. During an incident, opening a support case would need full admin or root.</t>
  </si>
  <si>
    <t xml:space="preserve">Security Hub IAM.18 FAILED (production); CLI for management and staging.</t>
  </si>
  <si>
    <t xml:space="preserve">aws iam list-entities-for-policy --policy-arn arn:aws:iam::aws:policy/AWSSupportAccess</t>
  </si>
  <si>
    <t xml:space="preserve">CGI-POL-005 s5.5 response stages</t>
  </si>
  <si>
    <t xml:space="preserve">Create a support role assumable by the IT Operations Manager and the on-call engineer.</t>
  </si>
  <si>
    <t xml:space="preserve">A.5.24; A.8.2</t>
  </si>
  <si>
    <t xml:space="preserve">CC7.4</t>
  </si>
  <si>
    <t xml:space="preserve">RS.MA</t>
  </si>
  <si>
    <t xml:space="preserve">R-005; R-002</t>
  </si>
  <si>
    <t xml:space="preserve">1.17</t>
  </si>
  <si>
    <t xml:space="preserve">Ensure IAM instance roles are used for AWS resource access from instances</t>
  </si>
  <si>
    <t xml:space="preserve">N</t>
  </si>
  <si>
    <t xml:space="preserve">Level 2 - advisory, reported but not scored</t>
  </si>
  <si>
    <t xml:space="preserve">EC2 - cgi-prod-bastion-01; ECS task roles</t>
  </si>
  <si>
    <t xml:space="preserve">The bastion uses an instance profile and the ECS services use task roles. No keys are stored on hosts. Note: the bastion's role can read cgi-prod-exports, which matters for CF-01.</t>
  </si>
  <si>
    <t xml:space="preserve">describe-instances (IamInstanceProfile); ECS task definitions.</t>
  </si>
  <si>
    <t xml:space="preserve">aws ec2 describe-instances --query Reservations[].Instances[].IamInstanceProfile</t>
  </si>
  <si>
    <t xml:space="preserve">Keep. Narrow the bastion role when the bastion is replaced (CF-01).</t>
  </si>
  <si>
    <t xml:space="preserve">A.5.17; A.8.2</t>
  </si>
  <si>
    <t xml:space="preserve">1.18</t>
  </si>
  <si>
    <t xml:space="preserve">Ensure that all expired SSL/TLS certificates stored in AWS IAM are removed</t>
  </si>
  <si>
    <t xml:space="preserve">IAM.26</t>
  </si>
  <si>
    <t xml:space="preserve">IAM server certificates</t>
  </si>
  <si>
    <t xml:space="preserve">No server certificates are stored in IAM. Certificates are issued and renewed by AWS Certificate Manager.</t>
  </si>
  <si>
    <t xml:space="preserve">Security Hub IAM.26 PASSED (production).</t>
  </si>
  <si>
    <t xml:space="preserve">aws iam list-server-certificates</t>
  </si>
  <si>
    <t xml:space="preserve">A.8.24</t>
  </si>
  <si>
    <t xml:space="preserve">CC6.7</t>
  </si>
  <si>
    <t xml:space="preserve">PR.DS</t>
  </si>
  <si>
    <t xml:space="preserve">R-004</t>
  </si>
  <si>
    <t xml:space="preserve">CUEC 4</t>
  </si>
  <si>
    <t xml:space="preserve">1.19</t>
  </si>
  <si>
    <t xml:space="preserve">Ensure that IAM External Access Analyzer is enabled for all regions</t>
  </si>
  <si>
    <t xml:space="preserve">IAM.28</t>
  </si>
  <si>
    <t xml:space="preserve">All 3 accounts, all enabled regions</t>
  </si>
  <si>
    <t xml:space="preserve">IAM Access Analyzer</t>
  </si>
  <si>
    <t xml:space="preserve">No analyzer exists in any account or region. An external-access analyzer would have flagged the cross-account grant on cgi-data-migration-2024 (CF-03) on the day it was created in June 2024.</t>
  </si>
  <si>
    <t xml:space="preserve">Security Hub IAM.28 FAILED (production eu-central-1 and us-east-1); CLI elsewhere.</t>
  </si>
  <si>
    <t xml:space="preserve">aws accessanalyzer list-analyzers  (per region)</t>
  </si>
  <si>
    <t xml:space="preserve">None - no cloud configuration standard exists (CG-03)</t>
  </si>
  <si>
    <t xml:space="preserve">Create an organisation-level external access analyzer in every enabled region, plus an unused-access analyzer.</t>
  </si>
  <si>
    <t xml:space="preserve">CF-03; CF-09</t>
  </si>
  <si>
    <t xml:space="preserve">A.5.15; A.8.2</t>
  </si>
  <si>
    <t xml:space="preserve">PR.AA; DE.CM</t>
  </si>
  <si>
    <t xml:space="preserve">R-005; VR-001</t>
  </si>
  <si>
    <t xml:space="preserve">1.20</t>
  </si>
  <si>
    <t xml:space="preserve">Ensure IAM users are managed centrally via identity federation or AWS Organizations for multi-account environments</t>
  </si>
  <si>
    <t xml:space="preserve">IAM users in each account; OfficeCo identity provider</t>
  </si>
  <si>
    <t xml:space="preserve">Each account has its own IAM users. CloudCo console access is not federated with OfficeCo, the company identity provider, so suspending someone in OfficeCo does not remove their CloudCo access. That is how ext-ops-contractor survived (CF-02), and it is the VR-008 pattern.</t>
  </si>
  <si>
    <t xml:space="preserve">Inspection: no IAM Identity Center instance, no SAML or OIDC identity provider configured; inquiry of the IT Operations Manager.</t>
  </si>
  <si>
    <t xml:space="preserve">aws sso-admin list-instances; aws iam list-saml-providers</t>
  </si>
  <si>
    <t xml:space="preserve">CGI-POL-003 s4.5.2 four-hour revocation</t>
  </si>
  <si>
    <t xml:space="preserve">Deploy IAM Identity Center federated with OfficeCo; delete IAM users once permission sets are in place.</t>
  </si>
  <si>
    <t xml:space="preserve">A.5.16; A.5.18</t>
  </si>
  <si>
    <t xml:space="preserve">CC6.1; CC6.2</t>
  </si>
  <si>
    <t xml:space="preserve">R-003; R-005; VR-008</t>
  </si>
  <si>
    <t xml:space="preserve">1.21</t>
  </si>
  <si>
    <t xml:space="preserve">Ensure access to AWSCloudShellFullAccess is restricted</t>
  </si>
  <si>
    <t xml:space="preserve">IAM.27</t>
  </si>
  <si>
    <t xml:space="preserve">IAM - AWSCloudShellFullAccess</t>
  </si>
  <si>
    <t xml:space="preserve">The managed policy AWSCloudShellFullAccess is attached to no identity. (cgi-ops-fullaccess grants the same and more; that is reported under 1.15.)</t>
  </si>
  <si>
    <t xml:space="preserve">Security Hub IAM.27 PASSED (production).</t>
  </si>
  <si>
    <t xml:space="preserve">aws iam list-entities-for-policy --policy-arn arn:aws:iam::aws:policy/AWSCloudShellFullAccess</t>
  </si>
  <si>
    <t xml:space="preserve">R-003</t>
  </si>
  <si>
    <t xml:space="preserve">2.1.1</t>
  </si>
  <si>
    <t xml:space="preserve">2.1 Storage - Simple Storage Service (S3)</t>
  </si>
  <si>
    <t xml:space="preserve">Ensure S3 Bucket Policy is set to deny HTTP requests</t>
  </si>
  <si>
    <t xml:space="preserve">S3.5</t>
  </si>
  <si>
    <t xml:space="preserve">S3 - all 5 buckets</t>
  </si>
  <si>
    <t xml:space="preserve">No bucket policy denies requests where aws:SecureTransport is false. Clients appear to use TLS in practice, but nothing enforces it.</t>
  </si>
  <si>
    <t xml:space="preserve">Security Hub S3.5 FAILED on 5 of 5 buckets.</t>
  </si>
  <si>
    <t xml:space="preserve">aws s3api get-bucket-policy --bucket &lt;bucket&gt;</t>
  </si>
  <si>
    <t xml:space="preserve">CGI-POL-004 s4.2 (encryption in transit for Confidential and Restricted)</t>
  </si>
  <si>
    <t xml:space="preserve">Add a Deny statement on aws:SecureTransport = false to every bucket policy.</t>
  </si>
  <si>
    <t xml:space="preserve">CF-13</t>
  </si>
  <si>
    <t xml:space="preserve">A.8.24; A.5.14</t>
  </si>
  <si>
    <t xml:space="preserve">2.1.2</t>
  </si>
  <si>
    <t xml:space="preserve">Ensure MFA Delete is enabled on S3 buckets</t>
  </si>
  <si>
    <t xml:space="preserve">S3.20</t>
  </si>
  <si>
    <t xml:space="preserve">S3 - versioned buckets</t>
  </si>
  <si>
    <t xml:space="preserve">Versioning is on for cgi-prod-exports and cgi-prod-app-attachments; MFA Delete is on for none. Only the root user can enable MFA Delete, which conflicts with 1.6 (see RC-07).</t>
  </si>
  <si>
    <t xml:space="preserve">Security Hub S3.20 FAILED.</t>
  </si>
  <si>
    <t xml:space="preserve">aws s3api get-bucket-versioning --bucket &lt;bucket&gt;  (MFADelete)</t>
  </si>
  <si>
    <t xml:space="preserve">Use S3 Object Lock (governance mode) on the log archive and Restricted buckets instead, and record that choice as the Cypher deviation from 2.1.2.</t>
  </si>
  <si>
    <t xml:space="preserve">A.8.13; A.8.3</t>
  </si>
  <si>
    <t xml:space="preserve">R-002</t>
  </si>
  <si>
    <t xml:space="preserve">2.1.3</t>
  </si>
  <si>
    <t xml:space="preserve">Ensure all data in Amazon S3 has been discovered, classified, and secured when necessary</t>
  </si>
  <si>
    <t xml:space="preserve">No data discovery has ever run and no bucket carries a classification tag. Manual listing found a full 2024 customer database export in cgi-data-migration-2024 (Restricted under CGI-POL-004 s4.1.3), outside every approved system.</t>
  </si>
  <si>
    <t xml:space="preserve">Macie not enabled; manual object listing of all 5 buckets on 14 Oct 2026; inquiry of the CTO.</t>
  </si>
  <si>
    <t xml:space="preserve">aws macie2 get-macie-session; aws s3api list-objects-v2</t>
  </si>
  <si>
    <t xml:space="preserve">CGI-POL-004 s4.1.3; s4.2 named approved systems</t>
  </si>
  <si>
    <t xml:space="preserve">Run a one-off sensitive-data discovery job on all buckets; tag buckets with the CGI-POL-004 tier; feed the result into the REC-05 asset inventory.</t>
  </si>
  <si>
    <t xml:space="preserve">CF-03</t>
  </si>
  <si>
    <t xml:space="preserve">A.5.9; A.5.12</t>
  </si>
  <si>
    <t xml:space="preserve">C1.1; CC6.1</t>
  </si>
  <si>
    <t xml:space="preserve">ID.AM; PR.DS</t>
  </si>
  <si>
    <t xml:space="preserve">2.1.4</t>
  </si>
  <si>
    <t xml:space="preserve">Ensure that S3 is configured with 'Block Public Access' enabled</t>
  </si>
  <si>
    <t xml:space="preserve">S3.1 (account); S3.8 (bucket)</t>
  </si>
  <si>
    <t xml:space="preserve">S3 - account-level Block Public Access; 5 buckets</t>
  </si>
  <si>
    <t xml:space="preserve">Account-level Block Public Access is OFF (all four settings false) since 22 Feb 2024, when it was switched off to publish cgi-www-assets (website images and CSS). Bucket-level BPA is on for 3 buckets and off for cgi-www-assets (public by design) and cgi-data-migration-2024 (switched off 11 Jun 2024 to grant a consultant cross-account access, CF-03). No SCP stops anyone changing it.</t>
  </si>
  <si>
    <t xml:space="preserve">Security Hub S3.1 FAILED (account); S3.8 FAILED on 2 of 5 buckets; CloudTrail PutAccountPublicAccessBlock event 22 Feb 2024.</t>
  </si>
  <si>
    <t xml:space="preserve">aws s3control get-public-access-block --account-id &lt;id&gt;; aws s3api get-public-access-block --bucket &lt;bucket&gt;</t>
  </si>
  <si>
    <t xml:space="preserve">CGI-POL-004 s4.2 Handling Matrix</t>
  </si>
  <si>
    <t xml:space="preserve">Front cgi-www-assets with CloudFront and Origin Access Control, then turn on all four account-level settings and protect them with an SCP.</t>
  </si>
  <si>
    <t xml:space="preserve">CF-04; CF-03</t>
  </si>
  <si>
    <t xml:space="preserve">A.8.3; A.5.15; A.8.9</t>
  </si>
  <si>
    <t xml:space="preserve">CC6.1; CC6.6</t>
  </si>
  <si>
    <t xml:space="preserve">PR.DS; PR.PS</t>
  </si>
  <si>
    <t xml:space="preserve">2.2.1</t>
  </si>
  <si>
    <t xml:space="preserve">2.2 Storage - Relational Database Service (RDS)</t>
  </si>
  <si>
    <t xml:space="preserve">Ensure that encryption-at-rest is enabled for RDS instances</t>
  </si>
  <si>
    <t xml:space="preserve">RDS.3</t>
  </si>
  <si>
    <t xml:space="preserve">RDS for PostgreSQL - cgi-prod-db</t>
  </si>
  <si>
    <t xml:space="preserve">Storage is encrypted with the CloudCo-managed key aws/rds. CIS is satisfied. CUEC 4 asks for key management by Cypher, which a provider-managed key does not show (see CF-05).</t>
  </si>
  <si>
    <t xml:space="preserve">Security Hub RDS.3 PASSED.</t>
  </si>
  <si>
    <t xml:space="preserve">aws rds describe-db-instances  (StorageEncrypted = true, KmsKeyId)</t>
  </si>
  <si>
    <t xml:space="preserve">CGI-POL-004 s4.2</t>
  </si>
  <si>
    <t xml:space="preserve">Keep. Move to a customer-managed key at the next major-version upgrade.</t>
  </si>
  <si>
    <t xml:space="preserve">R-005; VR-004</t>
  </si>
  <si>
    <t xml:space="preserve">2.2.2</t>
  </si>
  <si>
    <t xml:space="preserve">Ensure the Auto Minor Version Upgrade feature is enabled for RDS instances</t>
  </si>
  <si>
    <t xml:space="preserve">RDS.13</t>
  </si>
  <si>
    <t xml:space="preserve">Auto minor version upgrade is off. Minor versions are applied by hand, and the last one was applied 7 months ago.</t>
  </si>
  <si>
    <t xml:space="preserve">Security Hub RDS.13 FAILED.</t>
  </si>
  <si>
    <t xml:space="preserve">aws rds describe-db-instances  (AutoMinorVersionUpgrade)</t>
  </si>
  <si>
    <t xml:space="preserve">CGI-POL-001 s4.4.3 (14-day patching - written for workstations, not platforms)</t>
  </si>
  <si>
    <t xml:space="preserve">Enable auto minor version upgrade inside the agreed maintenance window.</t>
  </si>
  <si>
    <t xml:space="preserve">CF-15</t>
  </si>
  <si>
    <t xml:space="preserve">A.8.8</t>
  </si>
  <si>
    <t xml:space="preserve">CC7.1</t>
  </si>
  <si>
    <t xml:space="preserve">PR.PS</t>
  </si>
  <si>
    <t xml:space="preserve">R-004; R-002</t>
  </si>
  <si>
    <t xml:space="preserve">2.2.3</t>
  </si>
  <si>
    <t xml:space="preserve">Ensure that RDS instances are not publicly accessible</t>
  </si>
  <si>
    <t xml:space="preserve">RDS.2</t>
  </si>
  <si>
    <t xml:space="preserve">PubliclyAccessible is false and the instance sits in private subnets.</t>
  </si>
  <si>
    <t xml:space="preserve">Security Hub RDS.2 PASSED.</t>
  </si>
  <si>
    <t xml:space="preserve">aws rds describe-db-instances  (PubliclyAccessible = false)</t>
  </si>
  <si>
    <t xml:space="preserve">A.8.20; A.8.3</t>
  </si>
  <si>
    <t xml:space="preserve">CC6.6</t>
  </si>
  <si>
    <t xml:space="preserve">PR.IR</t>
  </si>
  <si>
    <t xml:space="preserve">2.2.4</t>
  </si>
  <si>
    <t xml:space="preserve">Ensure Multi-AZ deployments are used for enhanced availability in Amazon RDS</t>
  </si>
  <si>
    <t xml:space="preserve">RDS.5; RDS.15</t>
  </si>
  <si>
    <t xml:space="preserve">Multi-AZ is enabled. This is availability, not backup: it does not close CG-01 (no restore ever tested).</t>
  </si>
  <si>
    <t xml:space="preserve">Security Hub RDS.5 PASSED.</t>
  </si>
  <si>
    <t xml:space="preserve">aws rds describe-db-instances  (MultiAZ = true)</t>
  </si>
  <si>
    <t xml:space="preserve">Keep. Do not count it towards C4 or REC-03.</t>
  </si>
  <si>
    <t xml:space="preserve">A.8.14</t>
  </si>
  <si>
    <t xml:space="preserve">A1.2</t>
  </si>
  <si>
    <t xml:space="preserve">R-002; VR-002</t>
  </si>
  <si>
    <t xml:space="preserve">2.3.1</t>
  </si>
  <si>
    <t xml:space="preserve">2.3 Storage - Elastic File System (EFS)</t>
  </si>
  <si>
    <t xml:space="preserve">Ensure that encryption is enabled for EFS file systems</t>
  </si>
  <si>
    <t xml:space="preserve">EFS.1; EFS.8</t>
  </si>
  <si>
    <t xml:space="preserve">EFS</t>
  </si>
  <si>
    <t xml:space="preserve">N/A</t>
  </si>
  <si>
    <t xml:space="preserve">No EFS file systems exist in any region. Not applicable is recorded, not counted as a pass.</t>
  </si>
  <si>
    <t xml:space="preserve">describe-file-systems in all enabled regions returned none.</t>
  </si>
  <si>
    <t xml:space="preserve">aws efs describe-file-systems</t>
  </si>
  <si>
    <t xml:space="preserve">None. Re-test if EFS is adopted.</t>
  </si>
  <si>
    <t xml:space="preserve">3.1</t>
  </si>
  <si>
    <t xml:space="preserve">3 Logging</t>
  </si>
  <si>
    <t xml:space="preserve">Ensure CloudTrail is enabled in all regions</t>
  </si>
  <si>
    <t xml:space="preserve">CloudTrail.1</t>
  </si>
  <si>
    <t xml:space="preserve">CloudTrail - cgi-prod-trail</t>
  </si>
  <si>
    <t xml:space="preserve">One trail exists: cgi-prod-trail, created in May 2023, single-region (eu-central-1), production account only. The management and staging accounts have no trail, there is no organisation trail, and activity in us-east-1 (where the backup copies live) and every other region is not recorded beyond the 90-day event history.</t>
  </si>
  <si>
    <t xml:space="preserve">Security Hub CloudTrail.1 FAILED (production); describe-trails in all 3 accounts.</t>
  </si>
  <si>
    <t xml:space="preserve">aws cloudtrail describe-trails; aws cloudtrail get-trail-status; aws cloudtrail get-event-selectors</t>
  </si>
  <si>
    <t xml:space="preserve">CGI-POL-001 s4.2.3 (no degrading of logging - but no rule requires logging to exist)</t>
  </si>
  <si>
    <t xml:space="preserve">Create one organisation trail from the management account, all regions, management events, delivered to a dedicated log-archive account.</t>
  </si>
  <si>
    <t xml:space="preserve">CF-06</t>
  </si>
  <si>
    <t xml:space="preserve">A.8.15</t>
  </si>
  <si>
    <t xml:space="preserve">CC7.2</t>
  </si>
  <si>
    <t xml:space="preserve">PR.PS; DE.CM</t>
  </si>
  <si>
    <t xml:space="preserve">CUEC 1</t>
  </si>
  <si>
    <t xml:space="preserve">3.2</t>
  </si>
  <si>
    <t xml:space="preserve">Ensure CloudTrail log file validation is enabled</t>
  </si>
  <si>
    <t xml:space="preserve">CloudCo CUEC 1 requires CloudTrail log file validation</t>
  </si>
  <si>
    <t xml:space="preserve">CloudTrail.4</t>
  </si>
  <si>
    <t xml:space="preserve">Log file validation is disabled, so nobody can prove the diary was not edited or pages removed. It is Level 2 in CIS but mandatory for Cypher because CloudCo CUEC 1 names it.</t>
  </si>
  <si>
    <t xml:space="preserve">Security Hub CloudTrail.4 FAILED.</t>
  </si>
  <si>
    <t xml:space="preserve">aws cloudtrail describe-trails  (LogFileValidationEnabled)</t>
  </si>
  <si>
    <t xml:space="preserve">Enable validation on the organisation trail; test it once with validate-logs and keep the output as evidence.</t>
  </si>
  <si>
    <t xml:space="preserve">A.8.15; A.5.28</t>
  </si>
  <si>
    <t xml:space="preserve">3.3</t>
  </si>
  <si>
    <t xml:space="preserve">Ensure AWS Config is enabled in all regions</t>
  </si>
  <si>
    <t xml:space="preserve">TP-09 commits to AWS Config rules with alerting</t>
  </si>
  <si>
    <t xml:space="preserve">Config.1</t>
  </si>
  <si>
    <t xml:space="preserve">AWS Config recorder</t>
  </si>
  <si>
    <t xml:space="preserve">AWS Config was switched on 05 Oct 2026, at the reviewer's request, in production eu-central-1 and us-east-1 only, so that Security Hub could run. Management, staging and all other regions record nothing. Eleven days of recording in two regions is a prerequisite, not a control.</t>
  </si>
  <si>
    <t xml:space="preserve">Security Hub Config.1 FAILED; describe-configuration-recorder-status per region.</t>
  </si>
  <si>
    <t xml:space="preserve">aws configservice describe-configuration-recorder-status  (per region)</t>
  </si>
  <si>
    <t xml:space="preserve">Enable Config in every account and region through the organisation, with an aggregator in the log-archive or security account.</t>
  </si>
  <si>
    <t xml:space="preserve">CF-07</t>
  </si>
  <si>
    <t xml:space="preserve">A.8.9</t>
  </si>
  <si>
    <t xml:space="preserve">CC7.1; CC8.1</t>
  </si>
  <si>
    <t xml:space="preserve">DE.CM; PR.PS</t>
  </si>
  <si>
    <t xml:space="preserve">3.4</t>
  </si>
  <si>
    <t xml:space="preserve">Ensure that server access logging is enabled on the CloudTrail S3 bucket</t>
  </si>
  <si>
    <t xml:space="preserve">CloudTrail.7</t>
  </si>
  <si>
    <t xml:space="preserve">S3 - cgi-prod-cloudtrail-logs</t>
  </si>
  <si>
    <t xml:space="preserve">Server access logging is off on the trail bucket, so reads and deletions of the logs themselves are not recorded.</t>
  </si>
  <si>
    <t xml:space="preserve">Security Hub CloudTrail.7 FAILED.</t>
  </si>
  <si>
    <t xml:space="preserve">aws s3api get-bucket-logging --bucket cgi-prod-cloudtrail-logs</t>
  </si>
  <si>
    <t xml:space="preserve">Enable server access logging on the log-archive bucket to a separate logging bucket.</t>
  </si>
  <si>
    <t xml:space="preserve">3.5</t>
  </si>
  <si>
    <t xml:space="preserve">Ensure CloudTrail logs are encrypted at rest using KMS CMKs</t>
  </si>
  <si>
    <t xml:space="preserve">CloudCo CUEC 4 (encryption management for customer-controlled data)</t>
  </si>
  <si>
    <t xml:space="preserve">CloudTrail.2</t>
  </si>
  <si>
    <t xml:space="preserve">CloudTrail - cgi-prod-trail; KMS</t>
  </si>
  <si>
    <t xml:space="preserve">Trail logs use SSE-S3 only. No customer-managed key exists anywhere in the organisation.</t>
  </si>
  <si>
    <t xml:space="preserve">Security Hub CloudTrail.2 FAILED; kms list-keys shows only CloudCo-managed keys.</t>
  </si>
  <si>
    <t xml:space="preserve">aws cloudtrail describe-trails  (KmsKeyId absent)</t>
  </si>
  <si>
    <t xml:space="preserve">CGI-POL-004 s4.2 (no key management rule)</t>
  </si>
  <si>
    <t xml:space="preserve">Create a customer-managed key for the log archive and point the organisation trail at it.</t>
  </si>
  <si>
    <t xml:space="preserve">CF-05</t>
  </si>
  <si>
    <t xml:space="preserve">A.8.24; A.8.15</t>
  </si>
  <si>
    <t xml:space="preserve">3.6</t>
  </si>
  <si>
    <t xml:space="preserve">Ensure rotation for customer-created symmetric CMKs is enabled</t>
  </si>
  <si>
    <t xml:space="preserve">CloudCo CUEC 4 (key rotation is part of key management)</t>
  </si>
  <si>
    <t xml:space="preserve">KMS.4</t>
  </si>
  <si>
    <t xml:space="preserve">KMS - customer-managed keys</t>
  </si>
  <si>
    <t xml:space="preserve">Not applicable because no customer-managed key exists. That absence is itself the CUEC 4 finding (CF-05): there is nothing to rotate because Cypher manages no keys.</t>
  </si>
  <si>
    <t xml:space="preserve">kms list-keys / describe-key in all regions: KeyManager = AWS only.</t>
  </si>
  <si>
    <t xml:space="preserve">aws kms list-keys; aws kms get-key-rotation-status --key-id &lt;id&gt;</t>
  </si>
  <si>
    <t xml:space="preserve">Enable automatic rotation on every customer-managed key created under CF-05.</t>
  </si>
  <si>
    <t xml:space="preserve">3.7</t>
  </si>
  <si>
    <t xml:space="preserve">Ensure VPC flow logging is enabled in all VPCs</t>
  </si>
  <si>
    <t xml:space="preserve">EC2.6</t>
  </si>
  <si>
    <t xml:space="preserve">VPC - production VPC and default VPCs</t>
  </si>
  <si>
    <t xml:space="preserve">No VPC has flow logs, including the production VPC that holds the bastion and the database.</t>
  </si>
  <si>
    <t xml:space="preserve">Security Hub EC2.6 FAILED.</t>
  </si>
  <si>
    <t xml:space="preserve">aws ec2 describe-flow-logs</t>
  </si>
  <si>
    <t xml:space="preserve">Enable flow logs (at least rejected traffic) on the production VPC to the log archive.</t>
  </si>
  <si>
    <t xml:space="preserve">CF-12</t>
  </si>
  <si>
    <t xml:space="preserve">A.8.15; A.8.16; A.8.20</t>
  </si>
  <si>
    <t xml:space="preserve">DE.CM</t>
  </si>
  <si>
    <t xml:space="preserve">3.8</t>
  </si>
  <si>
    <t xml:space="preserve">Ensure that object-level logging for write events is enabled for S3 buckets</t>
  </si>
  <si>
    <t xml:space="preserve">S3.22</t>
  </si>
  <si>
    <t xml:space="preserve">CloudTrail data events - S3</t>
  </si>
  <si>
    <t xml:space="preserve">No S3 data events are recorded. Nobody can tell who wrote, overwrote or deleted customer exports or attachments.</t>
  </si>
  <si>
    <t xml:space="preserve">Security Hub S3.22 FAILED; get-event-selectors shows management events only.</t>
  </si>
  <si>
    <t xml:space="preserve">aws cloudtrail get-event-selectors --trail-name cgi-prod-trail</t>
  </si>
  <si>
    <t xml:space="preserve">Record S3 data events for the Restricted buckets on the organisation trail.</t>
  </si>
  <si>
    <t xml:space="preserve">3.9</t>
  </si>
  <si>
    <t xml:space="preserve">Ensure that object-level logging for read events is enabled for S3 buckets</t>
  </si>
  <si>
    <t xml:space="preserve">S3.23</t>
  </si>
  <si>
    <t xml:space="preserve">No read events are recorded. This is why nobody can say whether the consultant's account read the 2024 export after the engagement ended (CF-03).</t>
  </si>
  <si>
    <t xml:space="preserve">Security Hub S3.23 FAILED.</t>
  </si>
  <si>
    <t xml:space="preserve">Record S3 read data events for the Restricted buckets.</t>
  </si>
  <si>
    <t xml:space="preserve">CF-06; CF-03</t>
  </si>
  <si>
    <t xml:space="preserve">4.1</t>
  </si>
  <si>
    <t xml:space="preserve">4 Monitoring</t>
  </si>
  <si>
    <t xml:space="preserve">Ensure unauthorized API calls are monitored</t>
  </si>
  <si>
    <t xml:space="preserve">- (manual in the v5.0.0 standard)</t>
  </si>
  <si>
    <t xml:space="preserve">CloudWatch Logs metric filters, alarms and SNS; EventBridge</t>
  </si>
  <si>
    <t xml:space="preserve">No metric filter, EventBridge rule, alarm or subscriber exists for this event. CloudTrail is not delivered to CloudWatch Logs or any other log platform, so the event cannot be monitored at all.</t>
  </si>
  <si>
    <t xml:space="preserve">describe-metric-filters and describe-alarms returned none in all 3 accounts; trail has no CloudWatchLogsLogGroupArn; inquiry of the IT Operations Manager.</t>
  </si>
  <si>
    <t xml:space="preserve">aws logs describe-metric-filters; aws cloudwatch describe-alarms; aws events list-rules</t>
  </si>
  <si>
    <t xml:space="preserve">CGI-POL-001 s4.10 monitoring notice (no capability behind it)</t>
  </si>
  <si>
    <t xml:space="preserve">Create an EventBridge rule (or metric filter and alarm) for this event, routed through SNS to the security channel in ChatCo and to the IT Operations Manager's email, handled under the alert runbook.</t>
  </si>
  <si>
    <t xml:space="preserve">A.8.16; A.8.15</t>
  </si>
  <si>
    <t xml:space="preserve">CC7.2; CC7.3</t>
  </si>
  <si>
    <t xml:space="preserve">DE.CM; DE.AE</t>
  </si>
  <si>
    <t xml:space="preserve">4.2</t>
  </si>
  <si>
    <t xml:space="preserve">Ensure management console sign-in without MFA is monitored</t>
  </si>
  <si>
    <t xml:space="preserve">No metric filter, EventBridge rule, alarm or subscriber exists for this event. CloudTrail is not delivered to CloudWatch Logs or any other log platform, so the event cannot be monitored at all. The contractor account without MFA could sign in unnoticed.</t>
  </si>
  <si>
    <t xml:space="preserve">4.3</t>
  </si>
  <si>
    <t xml:space="preserve">Ensure usage of the 'root' account is monitored</t>
  </si>
  <si>
    <t xml:space="preserve">No metric filter, EventBridge rule, alarm or subscriber exists for this event. CloudTrail is not delivered to CloudWatch Logs or any other log platform, so the event cannot be monitored at all. CGI-POL-002 s4.4.3 requires an alert on every root use; four root sign-ins in 90 days raised none.</t>
  </si>
  <si>
    <t xml:space="preserve">4.4</t>
  </si>
  <si>
    <t xml:space="preserve">Ensure IAM policy changes are monitored</t>
  </si>
  <si>
    <t xml:space="preserve">CGI-POL-005 s5.1.1 (report unexplained configuration change - relies on someone noticing)</t>
  </si>
  <si>
    <t xml:space="preserve">CC7.2; CC7.3; CC8.1</t>
  </si>
  <si>
    <t xml:space="preserve">4.5</t>
  </si>
  <si>
    <t xml:space="preserve">Ensure CloudTrail configuration changes are monitored</t>
  </si>
  <si>
    <t xml:space="preserve">4.6</t>
  </si>
  <si>
    <t xml:space="preserve">Ensure AWS Management Console authentication failures are monitored</t>
  </si>
  <si>
    <t xml:space="preserve">R-001</t>
  </si>
  <si>
    <t xml:space="preserve">4.7</t>
  </si>
  <si>
    <t xml:space="preserve">Ensure disabling or scheduled deletion of customer created CMKs is monitored</t>
  </si>
  <si>
    <t xml:space="preserve">4.8</t>
  </si>
  <si>
    <t xml:space="preserve">Ensure S3 bucket policy changes are monitored</t>
  </si>
  <si>
    <t xml:space="preserve">No metric filter, EventBridge rule, alarm or subscriber exists for this event. CloudTrail is not delivered to CloudWatch Logs or any other log platform, so the event cannot be monitored at all. The 22 Feb 2024 and 11 Jun 2024 Block Public Access changes were seen by nobody.</t>
  </si>
  <si>
    <t xml:space="preserve">4.9</t>
  </si>
  <si>
    <t xml:space="preserve">Ensure AWS Config configuration changes are monitored</t>
  </si>
  <si>
    <t xml:space="preserve">4.10</t>
  </si>
  <si>
    <t xml:space="preserve">Ensure security group changes are monitored</t>
  </si>
  <si>
    <t xml:space="preserve">No metric filter, EventBridge rule, alarm or subscriber exists for this event. CloudTrail is not delivered to CloudWatch Logs or any other log platform, so the event cannot be monitored at all. The 14 Mar 2025 rule opening SSH to the internet was seen by nobody.</t>
  </si>
  <si>
    <t xml:space="preserve">4.11</t>
  </si>
  <si>
    <t xml:space="preserve">Ensure Network Access Control List (NACL) changes are monitored</t>
  </si>
  <si>
    <t xml:space="preserve">4.12</t>
  </si>
  <si>
    <t xml:space="preserve">Ensure changes to network gateways are monitored</t>
  </si>
  <si>
    <t xml:space="preserve">4.13</t>
  </si>
  <si>
    <t xml:space="preserve">Ensure route table changes are monitored</t>
  </si>
  <si>
    <t xml:space="preserve">4.14</t>
  </si>
  <si>
    <t xml:space="preserve">Ensure VPC changes are monitored</t>
  </si>
  <si>
    <t xml:space="preserve">4.15</t>
  </si>
  <si>
    <t xml:space="preserve">Ensure AWS Organizations changes are monitored</t>
  </si>
  <si>
    <t xml:space="preserve">4.16</t>
  </si>
  <si>
    <t xml:space="preserve">Ensure AWS Security Hub is enabled</t>
  </si>
  <si>
    <t xml:space="preserve">REC-11 commits to continuous cloud security posture monitoring</t>
  </si>
  <si>
    <t xml:space="preserve">Security Hub CSPM</t>
  </si>
  <si>
    <t xml:space="preserve">Security Hub was switched on 05 Oct 2026 in production eu-central-1 and us-east-1, at the reviewer's request, with the CIS v5.0.0 standard. It is not enabled in management or staging, has no delegated administrator, and its findings go to nobody. GuardDuty (outside the benchmark) is not enabled either.</t>
  </si>
  <si>
    <t xml:space="preserve">securityhub describe-hub per account and region.</t>
  </si>
  <si>
    <t xml:space="preserve">aws securityhub describe-hub</t>
  </si>
  <si>
    <t xml:space="preserve">Enable Security Hub in every account and region with a delegated administrator and cross-region aggregation; route Critical and High findings to the alert runbook.</t>
  </si>
  <si>
    <t xml:space="preserve">A.8.16; A.8.9</t>
  </si>
  <si>
    <t xml:space="preserve">CC7.1; CC7.2</t>
  </si>
  <si>
    <t xml:space="preserve">5.1.1</t>
  </si>
  <si>
    <t xml:space="preserve">5.1 Networking - Elastic Compute Cloud (EC2)</t>
  </si>
  <si>
    <t xml:space="preserve">Ensure EBS volume encryption is enabled in all regions</t>
  </si>
  <si>
    <t xml:space="preserve">EC2.7</t>
  </si>
  <si>
    <t xml:space="preserve">EC2 - EBS encryption by default; bastion root volume</t>
  </si>
  <si>
    <t xml:space="preserve">EBS encryption by default is off in every region. The bastion's root volume is unencrypted.</t>
  </si>
  <si>
    <t xml:space="preserve">Security Hub EC2.7 FAILED.</t>
  </si>
  <si>
    <t xml:space="preserve">aws ec2 get-ebs-encryption-by-default  (per region)</t>
  </si>
  <si>
    <t xml:space="preserve">Turn on EBS encryption by default in every region; the bastion volume disappears with the bastion (CF-01).</t>
  </si>
  <si>
    <t xml:space="preserve">CF-05; CF-01</t>
  </si>
  <si>
    <t xml:space="preserve">5.1.2</t>
  </si>
  <si>
    <t xml:space="preserve">Ensure CIFS access is restricted to trusted networks to prevent unauthorized access</t>
  </si>
  <si>
    <t xml:space="preserve">EC2 - security groups</t>
  </si>
  <si>
    <t xml:space="preserve">No security group allows TCP 445.</t>
  </si>
  <si>
    <t xml:space="preserve">describe-security-groups filtered on port 445 returned none.</t>
  </si>
  <si>
    <t xml:space="preserve">aws ec2 describe-security-groups --filters Name=ip-permission.from-port,Values=445</t>
  </si>
  <si>
    <t xml:space="preserve">A.8.20</t>
  </si>
  <si>
    <t xml:space="preserve">5.2</t>
  </si>
  <si>
    <t xml:space="preserve">5 Networking</t>
  </si>
  <si>
    <t xml:space="preserve">Ensure no Network ACLs allow ingress from 0.0.0.0/0 to remote server administration ports</t>
  </si>
  <si>
    <t xml:space="preserve">EC2.21</t>
  </si>
  <si>
    <t xml:space="preserve">VPC - network ACLs</t>
  </si>
  <si>
    <t xml:space="preserve">The production VPC uses the default network ACL, which allows all inbound traffic from 0.0.0.0/0, including ports 22 and 3389.</t>
  </si>
  <si>
    <t xml:space="preserve">Security Hub EC2.21 FAILED.</t>
  </si>
  <si>
    <t xml:space="preserve">aws ec2 describe-network-acls</t>
  </si>
  <si>
    <t xml:space="preserve">Deny 22 and 3389 from 0.0.0.0/0 in the public-subnet network ACL.</t>
  </si>
  <si>
    <t xml:space="preserve">CF-01</t>
  </si>
  <si>
    <t xml:space="preserve">A.8.20; A.8.22</t>
  </si>
  <si>
    <t xml:space="preserve">5.3</t>
  </si>
  <si>
    <t xml:space="preserve">Ensure no security groups allow ingress from 0.0.0.0/0 to remote server administration ports</t>
  </si>
  <si>
    <t xml:space="preserve">EC2.53</t>
  </si>
  <si>
    <t xml:space="preserve">EC2 - sg-bastion on cgi-prod-bastion-01</t>
  </si>
  <si>
    <t xml:space="preserve">sg-bastion allows TCP 22 from 0.0.0.0/0. CloudTrail shows ext-ops-contractor added the rule on 14 Mar 2025 during a database incident. There is no change ticket and the rule was never removed. The bastion has a public IP and its role can read customer exports.</t>
  </si>
  <si>
    <t xml:space="preserve">Security Hub EC2.53 FAILED; CloudTrail AuthorizeSecurityGroupIngress event 14 Mar 2025 (eu-central-1 trail).</t>
  </si>
  <si>
    <t xml:space="preserve">aws ec2 describe-security-groups --group-ids &lt;sg-bastion&gt;</t>
  </si>
  <si>
    <t xml:space="preserve">CGI-POL-003 s4.1.5 (ticket for every access change)</t>
  </si>
  <si>
    <t xml:space="preserve">Remove the 0.0.0.0/0 rule today; replace the bastion with Session Manager (no inbound ports).</t>
  </si>
  <si>
    <t xml:space="preserve">A.8.20; A.8.21; A.8.32</t>
  </si>
  <si>
    <t xml:space="preserve">CC6.6; CC8.1</t>
  </si>
  <si>
    <t xml:space="preserve">5.4</t>
  </si>
  <si>
    <t xml:space="preserve">Ensure no security groups allow ingress from ::/0 to remote server administration ports</t>
  </si>
  <si>
    <t xml:space="preserve">EC2.54</t>
  </si>
  <si>
    <t xml:space="preserve">IPv6 is not enabled in the production VPC; no ::/0 rule exists.</t>
  </si>
  <si>
    <t xml:space="preserve">Security Hub EC2.54 PASSED.</t>
  </si>
  <si>
    <t xml:space="preserve">aws ec2 describe-security-groups</t>
  </si>
  <si>
    <t xml:space="preserve">Keep. Re-test if IPv6 is enabled.</t>
  </si>
  <si>
    <t xml:space="preserve">5.5</t>
  </si>
  <si>
    <t xml:space="preserve">Ensure the default security group of every VPC restricts all traffic</t>
  </si>
  <si>
    <t xml:space="preserve">EC2.2</t>
  </si>
  <si>
    <t xml:space="preserve">VPC - default security groups</t>
  </si>
  <si>
    <t xml:space="preserve">Default security groups in the production VPC and in every default VPC still allow all traffic between members and all outbound traffic.</t>
  </si>
  <si>
    <t xml:space="preserve">Security Hub EC2.2 FAILED.</t>
  </si>
  <si>
    <t xml:space="preserve">aws ec2 describe-security-groups --filters Name=group-name,Values=default</t>
  </si>
  <si>
    <t xml:space="preserve">Remove all rules from default security groups; delete unused default VPCs.</t>
  </si>
  <si>
    <t xml:space="preserve">5.6</t>
  </si>
  <si>
    <t xml:space="preserve">Ensure routing tables for VPC peering are 'least access'</t>
  </si>
  <si>
    <t xml:space="preserve">VPC - peering connections</t>
  </si>
  <si>
    <t xml:space="preserve">No VPC peering connection exists.</t>
  </si>
  <si>
    <t xml:space="preserve">describe-vpc-peering-connections returned none.</t>
  </si>
  <si>
    <t xml:space="preserve">aws ec2 describe-vpc-peering-connections; aws ec2 describe-route-tables</t>
  </si>
  <si>
    <t xml:space="preserve">None. Re-test if peering is introduced.</t>
  </si>
  <si>
    <t xml:space="preserve">A.8.22</t>
  </si>
  <si>
    <t xml:space="preserve">5.7</t>
  </si>
  <si>
    <t xml:space="preserve">Ensure that the EC2 Metadata Service only allows IMDSv2</t>
  </si>
  <si>
    <t xml:space="preserve">EC2.8</t>
  </si>
  <si>
    <t xml:space="preserve">EC2 - cgi-prod-bastion-01</t>
  </si>
  <si>
    <t xml:space="preserve">The bastion allows IMDSv1 (HttpTokens = optional). With IMDSv1, a request forgery against the host can steal the instance role's credentials, and that role can read customer exports.</t>
  </si>
  <si>
    <t xml:space="preserve">Security Hub EC2.8 FAILED.</t>
  </si>
  <si>
    <t xml:space="preserve">aws ec2 describe-instances  (MetadataOptions.HttpTokens)</t>
  </si>
  <si>
    <t xml:space="preserve">Require IMDSv2 on every instance and set it as the account default.</t>
  </si>
  <si>
    <t xml:space="preserve">A.8.9; A.8.5</t>
  </si>
  <si>
    <t xml:space="preserve">Part 3 - scorecard. Every result is a formula over 01_CIS_Assessment.</t>
  </si>
  <si>
    <t xml:space="preserve">Measure</t>
  </si>
  <si>
    <t xml:space="preserve">Calculation</t>
  </si>
  <si>
    <t xml:space="preserve">Result</t>
  </si>
  <si>
    <t xml:space="preserve">Verdict / note</t>
  </si>
  <si>
    <t xml:space="preserve">Recommendations assessed</t>
  </si>
  <si>
    <t xml:space="preserve">COUNTA of CIS IDs</t>
  </si>
  <si>
    <t xml:space="preserve">63 in v5.0.0</t>
  </si>
  <si>
    <t xml:space="preserve">Never counted as a pass</t>
  </si>
  <si>
    <t xml:space="preserve">Applicable</t>
  </si>
  <si>
    <t xml:space="preserve">Assessed - N/A</t>
  </si>
  <si>
    <t xml:space="preserve">Score - all recommendations</t>
  </si>
  <si>
    <t xml:space="preserve">PASS / applicable</t>
  </si>
  <si>
    <t xml:space="preserve">Level 1 recommendations</t>
  </si>
  <si>
    <t xml:space="preserve">Score - Level 1</t>
  </si>
  <si>
    <t xml:space="preserve">Level 1 PASS / (Level 1 - Level 1 N/A)</t>
  </si>
  <si>
    <t xml:space="preserve">Cypher profile recommendations</t>
  </si>
  <si>
    <t xml:space="preserve">Level 1 + six named Level 2</t>
  </si>
  <si>
    <t xml:space="preserve">Score - Cypher profile</t>
  </si>
  <si>
    <t xml:space="preserve">Profile PASS / (profile - profile N/A)</t>
  </si>
  <si>
    <t xml:space="preserve">Score - automated recommendations</t>
  </si>
  <si>
    <t xml:space="preserve">What a tool can see</t>
  </si>
  <si>
    <t xml:space="preserve">Score - manual recommendations</t>
  </si>
  <si>
    <t xml:space="preserve">What only a person can see</t>
  </si>
  <si>
    <t xml:space="preserve">Recommendations with a Security Hub control</t>
  </si>
  <si>
    <t xml:space="preserve">Security Hub coverage of the benchmark</t>
  </si>
  <si>
    <t xml:space="preserve">A fully green Security Hub dashboard still leaves the rest unchecked</t>
  </si>
  <si>
    <t xml:space="preserve">Open Critical findings</t>
  </si>
  <si>
    <t xml:space="preserve">Open High findings</t>
  </si>
  <si>
    <t xml:space="preserve">Open Medium findings</t>
  </si>
  <si>
    <t xml:space="preserve">Open Low findings</t>
  </si>
  <si>
    <t xml:space="preserve">CloudCo CUECs performed</t>
  </si>
  <si>
    <t xml:space="preserve">Of 4</t>
  </si>
  <si>
    <t xml:space="preserve">GO / NO-GO: tell enterprise buyers 'our cloud follows the CIS benchmark'</t>
  </si>
  <si>
    <t xml:space="preserve">GO only if profile score &gt;= 90% and no open Critical or High</t>
  </si>
  <si>
    <t xml:space="preserve">Gate override: one open Critical is enough</t>
  </si>
  <si>
    <t xml:space="preserve">By section</t>
  </si>
  <si>
    <t xml:space="preserve">Recommendations</t>
  </si>
  <si>
    <t xml:space="preserve">Score</t>
  </si>
  <si>
    <t xml:space="preserve">2 Storage</t>
  </si>
  <si>
    <t xml:space="preserve">Total</t>
  </si>
  <si>
    <t xml:space="preserve">Part 3.3 - the five checks chosen for deep review, with corrected identifiers.</t>
  </si>
  <si>
    <t xml:space="preserve">As first proposed</t>
  </si>
  <si>
    <t xml:space="preserve">Correct CIS ID</t>
  </si>
  <si>
    <t xml:space="preserve">Security Hub control</t>
  </si>
  <si>
    <t xml:space="preserve">Why the ID changed</t>
  </si>
  <si>
    <t xml:space="preserve">Level</t>
  </si>
  <si>
    <t xml:space="preserve">Status</t>
  </si>
  <si>
    <t xml:space="preserve">Observation</t>
  </si>
  <si>
    <t xml:space="preserve">Finding</t>
  </si>
  <si>
    <t xml:space="preserve">1.4 (IAM.9)</t>
  </si>
  <si>
    <t xml:space="preserve">Correct as given.</t>
  </si>
  <si>
    <t xml:space="preserve">2.1.1 (S3.1)</t>
  </si>
  <si>
    <t xml:space="preserve">2.1.1 is 'deny HTTP requests' (S3.5). Block Public Access is 2.1.4, tested by S3.1 at account level and S3.8 per bucket.</t>
  </si>
  <si>
    <t xml:space="preserve">3.2 (CloudTrail.2)</t>
  </si>
  <si>
    <t xml:space="preserve">CloudTrail.2 tests encryption at rest, which is CIS 3.5. Log file validation is tested by CloudTrail.4.</t>
  </si>
  <si>
    <t xml:space="preserve">4.1 (CloudWatch.1)</t>
  </si>
  <si>
    <t xml:space="preserve">4.1 is 'unauthorised API calls'. Root usage is 4.3, and the v5.0.0 standard has no Security Hub control for it: it is a manual check. CloudWatch.1 maps only in the v1.2.0 and v1.4.0 standards.</t>
  </si>
  <si>
    <t xml:space="preserve">5.1 (EC2.1)</t>
  </si>
  <si>
    <t xml:space="preserve">EC2.1 tests public EBS snapshots. SSH from 0.0.0.0/0 on a security group is 5.3, tested by EC2.53 (EC2.13 was the v1.2.0 control).</t>
  </si>
  <si>
    <t xml:space="preserve">Part 4 - the four CloudCo complementary user entity controls, closed out against the benchmark.</t>
  </si>
  <si>
    <t xml:space="preserve">What CloudCo assumes Cypher does</t>
  </si>
  <si>
    <t xml:space="preserve">CIS evidence</t>
  </si>
  <si>
    <t xml:space="preserve">Results</t>
  </si>
  <si>
    <t xml:space="preserve">Verdict</t>
  </si>
  <si>
    <t xml:space="preserve">Why</t>
  </si>
  <si>
    <t xml:space="preserve">Owner</t>
  </si>
  <si>
    <t xml:space="preserve">Findings</t>
  </si>
  <si>
    <t xml:space="preserve">Closes when</t>
  </si>
  <si>
    <t xml:space="preserve">Organisation-wide CloudTrail with log file validation</t>
  </si>
  <si>
    <t xml:space="preserve">3.1; 3.2; 3.4; 3.8; 3.9</t>
  </si>
  <si>
    <t xml:space="preserve">3.1 FAIL · 3.2 FAIL · 3.4 FAIL · 3.8 FAIL · 3.9 FAIL</t>
  </si>
  <si>
    <t xml:space="preserve">NOT PERFORMED</t>
  </si>
  <si>
    <t xml:space="preserve">One single-region trail in one of three accounts, validation off. The CUEC's two words, 'organisation-wide' and 'validation', are both absent.</t>
  </si>
  <si>
    <t xml:space="preserve">IT Operations Manager</t>
  </si>
  <si>
    <t xml:space="preserve">CF-06; CF-07</t>
  </si>
  <si>
    <t xml:space="preserve">AWS-06 (30 Nov 2026)</t>
  </si>
  <si>
    <t xml:space="preserve">MFA on the root account and restricted root use</t>
  </si>
  <si>
    <t xml:space="preserve">1.3; 1.4; 1.5; 1.6; 4.3</t>
  </si>
  <si>
    <t xml:space="preserve">1.3 PASS · 1.4 PASS · 1.5 FAIL · 1.6 FAIL · 4.3 FAIL</t>
  </si>
  <si>
    <t xml:space="preserve">Partly performed, which counts as not performed. MFA exists, so half the CUEC is met. Restricted use is not: four undocumented root sign-ins in 90 days, no alert. A CUEC is met only when all of it is met.</t>
  </si>
  <si>
    <t xml:space="preserve">Chief Technology Officer</t>
  </si>
  <si>
    <t xml:space="preserve">AWS-07 (30 Nov 2026)</t>
  </si>
  <si>
    <t xml:space="preserve">Least-privilege IAM with periodic review</t>
  </si>
  <si>
    <t xml:space="preserve">1.9-1.15; 1.19; 1.20</t>
  </si>
  <si>
    <t xml:space="preserve">1.12 PASS · 1.9 / 1.10 / 1.11 / 1.13 / 1.14 / 1.15 / 1.19 / 1.20 FAIL</t>
  </si>
  <si>
    <t xml:space="preserve">Full administrator ('*:*') for every engineer and a forgotten contractor. 'Periodic review' is manual: zero privileged access reviews have ever been performed (OFI-15).</t>
  </si>
  <si>
    <t xml:space="preserve">CF-02; CF-09; CF-10</t>
  </si>
  <si>
    <t xml:space="preserve">AWS-12 (31 Jan 2027) + REC-02</t>
  </si>
  <si>
    <t xml:space="preserve">Encryption management for customer-controlled data</t>
  </si>
  <si>
    <t xml:space="preserve">2.2.1; 3.5; 3.6; 5.1.1; 2.1.1</t>
  </si>
  <si>
    <t xml:space="preserve">2.2.1 PASS · 3.5 FAIL · 3.6 N/A · 5.1.1 FAIL · 2.1.1 FAIL</t>
  </si>
  <si>
    <t xml:space="preserve">Data is encrypted, but only with CloudCo-managed keys. 'Management' means Cypher controls who can decrypt; no customer-managed key exists, so nothing is managed.</t>
  </si>
  <si>
    <t xml:space="preserve">CF-05; CF-13</t>
  </si>
  <si>
    <t xml:space="preserve">AWS-11 (31 Dec 2026)</t>
  </si>
  <si>
    <t xml:space="preserve">Part 4.2 - conditions C1 to C4 of the CloudCo conditional pass (VRA-2026-001).</t>
  </si>
  <si>
    <t xml:space="preserve">Condition</t>
  </si>
  <si>
    <t xml:space="preserve">Requirement</t>
  </si>
  <si>
    <t xml:space="preserve">Due</t>
  </si>
  <si>
    <t xml:space="preserve">Effect of this review</t>
  </si>
  <si>
    <t xml:space="preserve">Reason</t>
  </si>
  <si>
    <t xml:space="preserve">Roadmap</t>
  </si>
  <si>
    <t xml:space="preserve">C1</t>
  </si>
  <si>
    <t xml:space="preserve">Formally accept the four CUECs, assign each an owner, and record the acceptance against CGI-VEN-001</t>
  </si>
  <si>
    <t xml:space="preserve">15 Dec 2026</t>
  </si>
  <si>
    <t xml:space="preserve">SUPPORTS - does not close</t>
  </si>
  <si>
    <t xml:space="preserve">C1 is a signature and four names, not a configuration. This review gives each owner the evidence to accept knowingly. Acceptance means taking responsibility, not claiming the controls already run. C1 can be closed on paper this month, with the AWS roadmap dates attached.</t>
  </si>
  <si>
    <t xml:space="preserve">AWS-09</t>
  </si>
  <si>
    <t xml:space="preserve">C2</t>
  </si>
  <si>
    <t xml:space="preserve">Subscribe to the sub-processor change feed and perform a first reconciliation</t>
  </si>
  <si>
    <t xml:space="preserve">OUT OF REACH</t>
  </si>
  <si>
    <t xml:space="preserve">A contract and monitoring action; no cloud setting evidences it.</t>
  </si>
  <si>
    <t xml:space="preserve">C3</t>
  </si>
  <si>
    <t xml:space="preserve">Purchase a support tier with a named escalation route, or record a CEO-approved acceptance</t>
  </si>
  <si>
    <t xml:space="preserve">A commercial decision. Related but separate: CF-14 creates the support role that a support plan would use.</t>
  </si>
  <si>
    <t xml:space="preserve">C4</t>
  </si>
  <si>
    <t xml:space="preserve">Declare RTO and RPO and evidence one restore test (this is REC-03)</t>
  </si>
  <si>
    <t xml:space="preserve">A backup test. Multi-AZ (2.2.4 PASS) is availability, not recoverability, and is not counted.</t>
  </si>
  <si>
    <t xml:space="preserve">Part 6 - findings register. Severity by the published rule on 07_Severity_Rule.</t>
  </si>
  <si>
    <t xml:space="preserve">Severity</t>
  </si>
  <si>
    <t xml:space="preserve">Title</t>
  </si>
  <si>
    <t xml:space="preserve">CIS</t>
  </si>
  <si>
    <t xml:space="preserve">Detail</t>
  </si>
  <si>
    <t xml:space="preserve">Root cause</t>
  </si>
  <si>
    <t xml:space="preserve">Remediation</t>
  </si>
  <si>
    <t xml:space="preserve">Effort</t>
  </si>
  <si>
    <t xml:space="preserve">CUEC</t>
  </si>
  <si>
    <t xml:space="preserve">Critical</t>
  </si>
  <si>
    <t xml:space="preserve">A production bastion host accepts SSH from the entire internet</t>
  </si>
  <si>
    <t xml:space="preserve">5.3; 5.2; 5.7; 5.1.1</t>
  </si>
  <si>
    <t xml:space="preserve">sg-bastion allows TCP 22 from 0.0.0.0/0 on cgi-prod-bastion-01, a public host whose instance role can read customer exports. The rule was added by ext-ops-contractor on 14 Mar 2025 during a database incident, with no change ticket, and never removed. The default network ACL allows the same traffic, the host accepts IMDSv1 and its volume is unencrypted.</t>
  </si>
  <si>
    <t xml:space="preserve">Temporary incident access never reverted; no configuration baseline (CG-03); no change record for cloud changes; no alert on security group changes (4.10).</t>
  </si>
  <si>
    <t xml:space="preserve">Remove the 0.0.0.0/0 rule today. Replace the bastion with Session Manager, which needs no inbound port. Require IMDSv2. Add a Config rule for unrestricted SSH with an alert.</t>
  </si>
  <si>
    <t xml:space="preserve">S</t>
  </si>
  <si>
    <t xml:space="preserve">17 Oct 2026 (rule) · 30 Nov 2026 (bastion replaced)</t>
  </si>
  <si>
    <t xml:space="preserve">AWS-01; AWS-08</t>
  </si>
  <si>
    <t xml:space="preserve">Open</t>
  </si>
  <si>
    <t xml:space="preserve">A contractor login from the March 2025 incident is still live, with no MFA</t>
  </si>
  <si>
    <t xml:space="preserve">1.9; 1.10; 1.11; 1.13; 1.14</t>
  </si>
  <si>
    <t xml:space="preserve">ext-ops-contractor has a console password with no MFA, full administrator rights through a directly attached policy, and an access key created on day one and never used. Last sign-in 02 Apr 2025 (562 days). The engagement ended in April 2025. No leaver ticket exists.</t>
  </si>
  <si>
    <t xml:space="preserve">Contractors sit outside the HR-driven leaver process (the OFI-06 population gap); CloudCo users are not federated with OfficeCo (1.20), so nothing cascades; the monthly orphaned-account reconciliation (CGI-POL-003 s4.7.3) has never run for CloudCo.</t>
  </si>
  <si>
    <t xml:space="preserve">Disable the console password and delete the key today. Review CloudTrail for any activity since 02 Apr 2025 (eu-central-1 only - see limitation L-02). Root cause is fixed by CF-09.</t>
  </si>
  <si>
    <t xml:space="preserve">17 Oct 2026</t>
  </si>
  <si>
    <t xml:space="preserve">AWS-01; AWS-12</t>
  </si>
  <si>
    <t xml:space="preserve">R-005; R-003; VR-008</t>
  </si>
  <si>
    <t xml:space="preserve">A former consultant's cloud account can still read a 2024 customer database export</t>
  </si>
  <si>
    <t xml:space="preserve">2.1.4 (bucket); 2.1.3; 1.19; 3.8; 3.9</t>
  </si>
  <si>
    <t xml:space="preserve">cgi-data-migration-2024 holds a full customer database export from the June 2024 migration (3 objects, Restricted under CGI-POL-004 s4.1.3). Bucket-level Block Public Access was switched off on 11 Jun 2024 and the bucket policy grants read and list to the migration consultant's CloudCo account. No data processing agreement is on file and the consultant is not in the CGI-TPR-001 inventory, because the engagement falls outside its 12-month finance lookback. S3 read events are not logged, so nobody can tell whether the export was read after the engagement ended.</t>
  </si>
  <si>
    <t xml:space="preserve">One-off project data never disposed of (CGI-POL-004 s4.2 retention never executed - OFI-05); no external-access analyzer; no data discovery; vendor discovery did not include access-based sources.</t>
  </si>
  <si>
    <t xml:space="preserve">Remove the cross-account statement today. The CTO records a breach-assessment decision under CGI-POL-005 s5.6.3, counting from awareness on 15 Oct 2026. Preserve the evidence, then delete the export under the CGI-POL-004 disposal rule with a deletion record. Obtain written confirmation that the consultant holds no copies. Enable IAM Access Analyzer everywhere. Record the consultant in CGI-TPR-001 as a terminated relationship.</t>
  </si>
  <si>
    <t xml:space="preserve">17 Oct 2026 (access) · 20 Oct 2026 (decision) · 23 Oct 2026 (deletion)</t>
  </si>
  <si>
    <t xml:space="preserve">AWS-01; AWS-02; AWS-04</t>
  </si>
  <si>
    <t xml:space="preserve">R-005; VR-001; VR-004</t>
  </si>
  <si>
    <t xml:space="preserve">CF-04</t>
  </si>
  <si>
    <t xml:space="preserve">High</t>
  </si>
  <si>
    <t xml:space="preserve">Account-wide S3 Block Public Access is switched off</t>
  </si>
  <si>
    <t xml:space="preserve">2.1.4 (account)</t>
  </si>
  <si>
    <t xml:space="preserve">All four account-level settings have been false since 22 Feb 2024, when they were switched off to publish website assets from cgi-www-assets. Bucket-level settings protect 3 of 5 buckets, but nothing stops a new bucket or an edited policy from going public, and no SCP protects the setting. No customer data is public today: manual inspection of the one public bucket found 1,412 web assets only.</t>
  </si>
  <si>
    <t xml:space="preserve">The account-wide guardrail was removed to serve one public use case instead of putting the public assets behind a content delivery network.</t>
  </si>
  <si>
    <t xml:space="preserve">Serve cgi-www-assets through CloudFront with Origin Access Control. Turn on all four account-level settings. Add an SCP denying changes to Block Public Access except through a break-glass role. Add Config rules for account-level and bucket-level public access.</t>
  </si>
  <si>
    <t xml:space="preserve">M</t>
  </si>
  <si>
    <t xml:space="preserve">30 Nov 2026</t>
  </si>
  <si>
    <t xml:space="preserve">AWS-05</t>
  </si>
  <si>
    <t xml:space="preserve">Customer data is encrypted, but with keys Cypher does not manage</t>
  </si>
  <si>
    <t xml:space="preserve">3.5; 3.6 (N/A); 5.1.1; 2.2.1 (pass)</t>
  </si>
  <si>
    <t xml:space="preserve">cgi-prod-exports and cgi-prod-app-attachments use SSE-S3, the default. No customer-managed KMS key exists. The trail logs are SSE-S3 and EBS encryption by default is off. SSE-S3 is real encryption, but S3 decrypts an object for anyone the bucket policy allows, including everyone if the bucket goes public. It gives no protection against R-005's threat. SSE-KMS with a customer-managed key adds a second permission (kms:Decrypt) that an anonymous or foreign account does not hold.</t>
  </si>
  <si>
    <t xml:space="preserve">No cryptography standard (A.8.24 Not started; ISO-11); CloudCo CUEC 4 never accepted.</t>
  </si>
  <si>
    <t xml:space="preserve">Create customer-managed keys for exports, attachments and logs, with key policies limited to the application roles. Enable rotation. Switch default bucket encryption to SSE-KMS with bucket keys and re-encrypt existing objects. Turn on EBS encryption by default.</t>
  </si>
  <si>
    <t xml:space="preserve">31 Dec 2026</t>
  </si>
  <si>
    <t xml:space="preserve">AWS-11</t>
  </si>
  <si>
    <t xml:space="preserve">The cloud's diary covers one region of one account, and it is not sealed</t>
  </si>
  <si>
    <t xml:space="preserve">One single-region trail (eu-central-1, production, since May 2023). Nothing is recorded in the management or staging accounts, in us-east-1 where the backups are copied, or in any other region. Log file validation is off, the trail bucket has no access logging, and no S3 data events are captured.</t>
  </si>
  <si>
    <t xml:space="preserve">Trail created at account setup and never revisited; REC-07 not started.</t>
  </si>
  <si>
    <t xml:space="preserve">One organisation trail from the management account covering all regions: management events plus S3 data events for Restricted buckets, validation on, SSE-KMS, delivered to a dedicated log-archive account with access logging and Object Lock.</t>
  </si>
  <si>
    <t xml:space="preserve">S (trail) · M (log archive)</t>
  </si>
  <si>
    <t xml:space="preserve">AWS-06</t>
  </si>
  <si>
    <t xml:space="preserve">Nobody is told when something bad happens in the cloud</t>
  </si>
  <si>
    <t xml:space="preserve">4.1-4.15; 4.16; 3.3</t>
  </si>
  <si>
    <t xml:space="preserve">All 15 monitoring recommendations fail. Zero metric filters, rules, alarms or subscribers exist, because CloudTrail is not delivered to any log platform. AWS Config and Security Hub run only in production eu-central-1 and us-east-1, switched on 05 Oct 2026 for this review, and their findings go to nobody. GuardDuty is off.</t>
  </si>
  <si>
    <t xml:space="preserve">No monitoring owner and no alert-handling procedure (A.8.16 Not started; OFI-03).</t>
  </si>
  <si>
    <t xml:space="preserve">Enable Config, Security Hub and GuardDuty in every account and region with a delegated administrator. Create EventBridge rules for the 4.1-4.15 events, routed through SNS to the ChatCo security channel and email. Write an alert runbook that maps alerts to the CGI-POL-005 severity levels. Keep 90 days of handled-alert records.</t>
  </si>
  <si>
    <t xml:space="preserve">31 Jan 2027</t>
  </si>
  <si>
    <t xml:space="preserve">AWS-10</t>
  </si>
  <si>
    <t xml:space="preserve">R-005; R-003; R-001</t>
  </si>
  <si>
    <t xml:space="preserve">The root user is used for billing and protected by a phone app, not a hardware key</t>
  </si>
  <si>
    <t xml:space="preserve">1.5; 1.6; 4.3 (1.3 and 1.4 pass)</t>
  </si>
  <si>
    <t xml:space="preserve">All three root users have authenticator-app MFA and no access keys. CGI-POL-002 s4.4.3 requires a hardware device; none is registered. The management-account root user signed in 4 times in 90 days for invoices and a card change, with no alert and no record, and its credentials are not sealed.</t>
  </si>
  <si>
    <t xml:space="preserve">Billing was never delegated to IAM; there is no root runbook.</t>
  </si>
  <si>
    <t xml:space="preserve">Register two FIDO hardware keys per root user. Turn on IAM access to Billing and give Finance a billing role. Alert the CTO and CEO on any root sign-in (4.3). Seal the credentials and document each use. Consider centralised root access management to remove root credentials from production and staging. Until the keys are installed, operate proposed exception EXC-004.</t>
  </si>
  <si>
    <t xml:space="preserve">AWS-07</t>
  </si>
  <si>
    <t xml:space="preserve">Engineers hold full administrator rights, with phishable MFA, on accounts nobody manages centrally</t>
  </si>
  <si>
    <t xml:space="preserve">1.15; 1.14; 1.20; 1.19 (+ CGI-POL-002 s4.3.3 inspection)</t>
  </si>
  <si>
    <t xml:space="preserve">cgi-ops-fullaccess (Action '*', Resource '*') is attached to Engineering-Admins (4 users) and to the contractor. No separate administrative accounts exist (CGI-POL-002 s4.4.1). Users are created per account, not federated with OfficeCo. All 7 MFA devices are authenticator apps, contrary to s4.3.3. No access analyzer runs and no quarterly privileged access review has ever been performed (OFI-15).</t>
  </si>
  <si>
    <t xml:space="preserve">The start-up permission model was never revisited; CloudCo CUEC 3 was never accepted.</t>
  </si>
  <si>
    <t xml:space="preserve">IAM Identity Center federated with OfficeCo. Permission sets: read-only by default, time-bound elevation to admin. FIDO2 keys for administrators. Delete IAM users. Access analyzers for external and unused access. First quarterly review under REC-02.</t>
  </si>
  <si>
    <t xml:space="preserve">AWS-12</t>
  </si>
  <si>
    <t xml:space="preserve">CF-10</t>
  </si>
  <si>
    <t xml:space="preserve">Medium</t>
  </si>
  <si>
    <t xml:space="preserve">Deployments use a 412-day-old access key</t>
  </si>
  <si>
    <t xml:space="preserve">codeco-deploy uses a long-lived access key, never rotated, stored as a CodeCo repository secret. It can update ECS services and write to cgi-www-assets.</t>
  </si>
  <si>
    <t xml:space="preserve">The deployment pipeline was set up before OpenID Connect federation was considered; no rule covers machine credentials.</t>
  </si>
  <si>
    <t xml:space="preserve">Federate CodeCo's CI service to an IAM role with OpenID Connect and short-lived credentials, scoped to the deploy actions. Delete the key.</t>
  </si>
  <si>
    <t xml:space="preserve">AWS-13</t>
  </si>
  <si>
    <t xml:space="preserve">The cloud password rule is weaker than Cypher's own policy</t>
  </si>
  <si>
    <t xml:space="preserve">1.7; 1.8</t>
  </si>
  <si>
    <t xml:space="preserve">Minimum length 8 and no reuse prevention in all three accounts. CGI-POL-002 requires 14, or 16 for privileged accounts, and every CloudCo console user is privileged.</t>
  </si>
  <si>
    <t xml:space="preserve">The CloudCo default was never changed after the policy pack was approved.</t>
  </si>
  <si>
    <t xml:space="preserve">Set minimum length to 16 and reuse prevention to 24 today. The rule falls away once access is federated (CF-09).</t>
  </si>
  <si>
    <t xml:space="preserve">23 Oct 2026</t>
  </si>
  <si>
    <t xml:space="preserve">AWS-03</t>
  </si>
  <si>
    <t xml:space="preserve">Low</t>
  </si>
  <si>
    <t xml:space="preserve">Network traffic goes unrecorded and default network rules are untouched</t>
  </si>
  <si>
    <t xml:space="preserve">3.7; 5.5</t>
  </si>
  <si>
    <t xml:space="preserve">No VPC flow logs. Default security groups in the production VPC and every default VPC still allow internal and outbound traffic.</t>
  </si>
  <si>
    <t xml:space="preserve">Defaults accepted at account creation; no network baseline (A.8.20 Not started).</t>
  </si>
  <si>
    <t xml:space="preserve">Flow logs (rejected traffic at minimum) to the log archive. Strip the default security group rules and delete unused default VPCs.</t>
  </si>
  <si>
    <t xml:space="preserve">31 Mar 2027</t>
  </si>
  <si>
    <t xml:space="preserve">AWS-16</t>
  </si>
  <si>
    <t xml:space="preserve">S3 accepts plain-HTTP requests and has no delete protection</t>
  </si>
  <si>
    <t xml:space="preserve">2.1.1; 2.1.2</t>
  </si>
  <si>
    <t xml:space="preserve">No bucket denies non-TLS requests. MFA Delete is off. Only the root user can switch it on, which conflicts with eliminating root use (RC-07).</t>
  </si>
  <si>
    <t xml:space="preserve">No storage baseline.</t>
  </si>
  <si>
    <t xml:space="preserve">Deny aws:SecureTransport = false on every bucket. Use S3 Object Lock in governance mode on the log archive and the Restricted buckets instead of MFA Delete, and record that as Cypher's deviation from 2.1.2.</t>
  </si>
  <si>
    <t xml:space="preserve">CloudCo has no security contact for Cypher and no support role</t>
  </si>
  <si>
    <t xml:space="preserve">1.2; 1.16</t>
  </si>
  <si>
    <t xml:space="preserve">No security alternate contact is registered in any account, so CloudCo's security notices reach an unmonitored billing mailbox. No role holds AWSSupportAccess, so opening a case during an incident needs admin or root.</t>
  </si>
  <si>
    <t xml:space="preserve">Account hygiene never reviewed.</t>
  </si>
  <si>
    <t xml:space="preserve">Register security@ as the security contact in all three accounts and create a support role.</t>
  </si>
  <si>
    <t xml:space="preserve">Database minor upgrades depend on someone remembering</t>
  </si>
  <si>
    <t xml:space="preserve">Auto minor version upgrade is off on cgi-prod-db. The last minor version was applied manually seven months ago.</t>
  </si>
  <si>
    <t xml:space="preserve">No platform patching rule: CGI-POL-001 s4.4.3 covers workstations; CGI-POL-008 is unwritten (CG-02).</t>
  </si>
  <si>
    <t xml:space="preserve">Enable auto minor version upgrade inside the maintenance window. Cover platform patching in CGI-POL-008 (REC-08).</t>
  </si>
  <si>
    <t xml:space="preserve">AWS-14</t>
  </si>
  <si>
    <t xml:space="preserve">Part 6.1 - severity rule, published before any finding was graded.</t>
  </si>
  <si>
    <t xml:space="preserve">Rule</t>
  </si>
  <si>
    <t xml:space="preserve">An exposure that exists now, reachable from outside Cypher (the internet or a third party), on a path to production or Restricted data, with no compensating control.</t>
  </si>
  <si>
    <t xml:space="preserve">A missing guardrail or detective control on the R-005 path, or a failed CloudCo CUEC: one mistake away from Critical.</t>
  </si>
  <si>
    <t xml:space="preserve">A Level 1 gap that weakens another control, or a policy breach with a compensating factor.</t>
  </si>
  <si>
    <t xml:space="preserve">A Level 2 defence-in-depth gap.</t>
  </si>
  <si>
    <t xml:space="preserve">Part 5 - every finding mapped CIS -&gt; ISO/IEC 27001 Annex A -&gt; SOC 2 -&gt; NIST CSF 2.0 -&gt; risk.</t>
  </si>
  <si>
    <t xml:space="preserve">A.8.20; A.8.21; A.8.32; A.8.9</t>
  </si>
  <si>
    <t xml:space="preserve">PR.IR-01; PR.PS-01</t>
  </si>
  <si>
    <t xml:space="preserve">A.5.18; A.8.2; A.8.5; A.5.17</t>
  </si>
  <si>
    <t xml:space="preserve">CC6.2; CC6.3; CC6.1</t>
  </si>
  <si>
    <t xml:space="preserve">PR.AA-01; PR.AA-05</t>
  </si>
  <si>
    <t xml:space="preserve">2.1.4; 2.1.3; 1.19; 3.8; 3.9</t>
  </si>
  <si>
    <t xml:space="preserve">A.5.9; A.5.12; A.8.3; A.8.10; A.5.20</t>
  </si>
  <si>
    <t xml:space="preserve">C1.1; CC6.1; CC6.3</t>
  </si>
  <si>
    <t xml:space="preserve">ID.AM-07; PR.DS-01; PR.AA-05</t>
  </si>
  <si>
    <t xml:space="preserve">PR.DS-01; PR.PS-01</t>
  </si>
  <si>
    <t xml:space="preserve">3.5; 3.6; 5.1.1</t>
  </si>
  <si>
    <t xml:space="preserve">PR.DS-01</t>
  </si>
  <si>
    <t xml:space="preserve">PR.PS-04; DE.CM-09</t>
  </si>
  <si>
    <t xml:space="preserve">CC7.1; CC7.2; CC7.3; CC8.1</t>
  </si>
  <si>
    <t xml:space="preserve">DE.CM-01; DE.CM-03; DE.CM-09; DE.AE-02</t>
  </si>
  <si>
    <t xml:space="preserve">1.5; 1.6; 4.3</t>
  </si>
  <si>
    <t xml:space="preserve">PR.AA-03; PR.AA-05</t>
  </si>
  <si>
    <t xml:space="preserve">1.15; 1.14; 1.20; 1.19</t>
  </si>
  <si>
    <t xml:space="preserve">A.8.2; A.5.15; A.5.16; A.5.18; A.8.5</t>
  </si>
  <si>
    <t xml:space="preserve">CC6.1; CC6.2; CC6.3</t>
  </si>
  <si>
    <t xml:space="preserve">PR.AA-01; PR.AA-03; PR.AA-05</t>
  </si>
  <si>
    <t xml:space="preserve">PR.AA-01</t>
  </si>
  <si>
    <t xml:space="preserve">PR.AA-03</t>
  </si>
  <si>
    <t xml:space="preserve">A.8.15; A.8.16; A.8.20; A.8.22</t>
  </si>
  <si>
    <t xml:space="preserve">CC6.6; CC7.2</t>
  </si>
  <si>
    <t xml:space="preserve">DE.CM-01; PR.IR-01</t>
  </si>
  <si>
    <t xml:space="preserve">A.8.24; A.5.14; A.8.13</t>
  </si>
  <si>
    <t xml:space="preserve">CC6.7; CC6.1</t>
  </si>
  <si>
    <t xml:space="preserve">PR.DS-02; PR.DS-11</t>
  </si>
  <si>
    <t xml:space="preserve">A.5.24; A.5.5; A.8.2</t>
  </si>
  <si>
    <t xml:space="preserve">CC2.3; CC7.4</t>
  </si>
  <si>
    <t xml:space="preserve">RS.CO-02; RS.MA-01</t>
  </si>
  <si>
    <t xml:space="preserve">PR.PS-02</t>
  </si>
  <si>
    <t xml:space="preserve">Part 7.1 - each control credited to R-005 in CGI-RSK-001 v1.1, tested against the evidence.</t>
  </si>
  <si>
    <t xml:space="preserve">Score element</t>
  </si>
  <si>
    <t xml:space="preserve">Control credited in v1.1</t>
  </si>
  <si>
    <t xml:space="preserve">Evidence</t>
  </si>
  <si>
    <t xml:space="preserve">Decision</t>
  </si>
  <si>
    <t xml:space="preserve">Likelihood</t>
  </si>
  <si>
    <t xml:space="preserve">Quarterly privileged access review (CGI-POL-003 s4.7.1)</t>
  </si>
  <si>
    <t xml:space="preserve">Not operating: zero reviews ever performed (CGI-IAU-001 WP-17, OFI-15).</t>
  </si>
  <si>
    <t xml:space="preserve">Withdrawn</t>
  </si>
  <si>
    <t xml:space="preserve">Role profiles keep most staff out of CloudCo production (CGI-POL-003 s4.2.1)</t>
  </si>
  <si>
    <t xml:space="preserve">Operating in name only: every one of the 8 people with access holds full administrator rights, including a forgotten contractor (CF-02, CF-09).</t>
  </si>
  <si>
    <t xml:space="preserve">A ticket for every access change (CGI-POL-003 s4.1.5)</t>
  </si>
  <si>
    <t xml:space="preserve">Not operating: no ticket for the 14 Mar 2025 SSH rule, the contractor account or the June 2024 bucket grant (CF-01, CF-02, CF-03; WP-22).</t>
  </si>
  <si>
    <t xml:space="preserve">Impact</t>
  </si>
  <si>
    <t xml:space="preserve">Encryption at rest for Restricted data (CGI-POL-004 s4.2)</t>
  </si>
  <si>
    <t xml:space="preserve">In place but ineffective against this threat: SSE-S3 serves objects decrypted to anyone the bucket policy allows (CF-05). A v1.1 design error, corrected here.</t>
  </si>
  <si>
    <t xml:space="preserve">Restricted data only on named approved systems (CGI-POL-004 s4.2)</t>
  </si>
  <si>
    <t xml:space="preserve">Not operating: a full customer export sits in an unapproved bucket that a third party can read (CF-03); no asset inventory (OFI-18).</t>
  </si>
  <si>
    <t xml:space="preserve">Part 7.2 - R-005 residual, NIST SP 800-30 semi-quantitative (Likelihood x Impact).</t>
  </si>
  <si>
    <t xml:space="preserve">Step</t>
  </si>
  <si>
    <t xml:space="preserve">Date</t>
  </si>
  <si>
    <t xml:space="preserve">What changes</t>
  </si>
  <si>
    <t xml:space="preserve">Likelihood (1-5)</t>
  </si>
  <si>
    <t xml:space="preserve">Impact (1-5)</t>
  </si>
  <si>
    <t xml:space="preserve">Rating</t>
  </si>
  <si>
    <t xml:space="preserve">Rationale</t>
  </si>
  <si>
    <t xml:space="preserve">v1.1 (today's register)</t>
  </si>
  <si>
    <t xml:space="preserve">15 Sep 2026</t>
  </si>
  <si>
    <t xml:space="preserve">Credits for five preventive controls</t>
  </si>
  <si>
    <t xml:space="preserve">As published in CGI-RSK-001 v1.1.</t>
  </si>
  <si>
    <t xml:space="preserve">v1.2 (this review)</t>
  </si>
  <si>
    <t xml:space="preserve">16 Oct 2026</t>
  </si>
  <si>
    <t xml:space="preserve">All five credits withdrawn on the evidence</t>
  </si>
  <si>
    <t xml:space="preserve">Likelihood anchor 4: a known, unmitigated weakness exists at Cypher (no guardrail, no detection). Not 5, because no customer data is public today. Impact returns to the inherent 5: a public SSE-S3 export is readable in plain text.</t>
  </si>
  <si>
    <t xml:space="preserve">After Phase 0-1</t>
  </si>
  <si>
    <t xml:space="preserve">AWS-01 to AWS-09: account-level Block Public Access protected by an SCP, SSH closed, contractor and consultant access removed</t>
  </si>
  <si>
    <t xml:space="preserve">Likelihood anchor 2: an effective preventive control verified in place. A technical guardrail replaces administrative trust. Impact unchanged: if data did leak, it would still be readable.</t>
  </si>
  <si>
    <t xml:space="preserve">After AWS-11</t>
  </si>
  <si>
    <t xml:space="preserve">Customer-managed KMS keys on the Restricted buckets</t>
  </si>
  <si>
    <t xml:space="preserve">An anonymous or foreign account cannot call kms:Decrypt, so a public object is ciphertext. Residual impact stays Major for misuse by an authorised role.</t>
  </si>
  <si>
    <t xml:space="preserve">After AWS-10</t>
  </si>
  <si>
    <t xml:space="preserve">Config, Security Hub, GuardDuty and alerts in every account and region, handled under a runbook</t>
  </si>
  <si>
    <t xml:space="preserve">Exposure is detected within hours by Cypher, not by a researcher: impact band 3 (reportable under Art. 33, no fine expected). Reaches the TP-09 target of 6.</t>
  </si>
  <si>
    <t xml:space="preserve">After AWS-15 and AWS-17</t>
  </si>
  <si>
    <t xml:space="preserve">30 Jun 2027</t>
  </si>
  <si>
    <t xml:space="preserve">Approved baseline standard and two clean quarterly assessments</t>
  </si>
  <si>
    <t xml:space="preserve">Likelihood anchor 1: a strong preventive control verified as operating over two quarters. 3 is within the TP-10 target of 4.</t>
  </si>
  <si>
    <t xml:space="preserve">Inherent (unchanged)</t>
  </si>
  <si>
    <t xml:space="preserve">Reduction from inherent, v1.1</t>
  </si>
  <si>
    <t xml:space="preserve">Reduction from inherent, v1.2</t>
  </si>
  <si>
    <t xml:space="preserve">TP-09 target residual</t>
  </si>
  <si>
    <t xml:space="preserve">TP-10 target residual</t>
  </si>
  <si>
    <t xml:space="preserve">Part 7.3 - CGI-RSK-001 v1.1 -&gt; v1.2. Only R-005 changes; it links to 10_R005_Recalc.</t>
  </si>
  <si>
    <t xml:space="preserve">Inherent</t>
  </si>
  <si>
    <t xml:space="preserve">Residual v1.1</t>
  </si>
  <si>
    <t xml:space="preserve">Rating v1.1</t>
  </si>
  <si>
    <t xml:space="preserve">Residual v1.2</t>
  </si>
  <si>
    <t xml:space="preserve">Rating v1.2</t>
  </si>
  <si>
    <t xml:space="preserve">Change</t>
  </si>
  <si>
    <t xml:space="preserve">VR-001</t>
  </si>
  <si>
    <t xml:space="preserve">VR-002</t>
  </si>
  <si>
    <t xml:space="preserve">VR-003</t>
  </si>
  <si>
    <t xml:space="preserve">VR-004</t>
  </si>
  <si>
    <t xml:space="preserve">VR-005</t>
  </si>
  <si>
    <t xml:space="preserve">VR-006</t>
  </si>
  <si>
    <t xml:space="preserve">VR-007</t>
  </si>
  <si>
    <t xml:space="preserve">VR-008</t>
  </si>
  <si>
    <t xml:space="preserve">VR-009</t>
  </si>
  <si>
    <t xml:space="preserve">TOTAL</t>
  </si>
  <si>
    <t xml:space="preserve">Aggregate reduction v1.1</t>
  </si>
  <si>
    <t xml:space="preserve">Aggregate reduction v1.2</t>
  </si>
  <si>
    <t xml:space="preserve">Mean residual v1.1</t>
  </si>
  <si>
    <t xml:space="preserve">Mean residual v1.2</t>
  </si>
  <si>
    <t xml:space="preserve">Critical residuals v1.2</t>
  </si>
  <si>
    <t xml:space="preserve">High residuals v1.2</t>
  </si>
  <si>
    <t xml:space="preserve">Original five risks (P02 headline): residual v1.2</t>
  </si>
  <si>
    <t xml:space="preserve">Part 8 - remediation roadmap AWS-01 to AWS-18, reconciled with REC, ISO, SOC and TP actions.</t>
  </si>
  <si>
    <t xml:space="preserve">ID</t>
  </si>
  <si>
    <t xml:space="preserve">Phase</t>
  </si>
  <si>
    <t xml:space="preserve">Action</t>
  </si>
  <si>
    <t xml:space="preserve">Closes</t>
  </si>
  <si>
    <t xml:space="preserve">Est. cost (USD)</t>
  </si>
  <si>
    <t xml:space="preserve">Reconciles with</t>
  </si>
  <si>
    <t xml:space="preserve">AWS-01</t>
  </si>
  <si>
    <t xml:space="preserve">Phase 0 - Contain</t>
  </si>
  <si>
    <t xml:space="preserve">Remove SSH from 0.0.0.0/0; disable ext-ops-contractor and delete its key; remove the consultant's cross-account grant</t>
  </si>
  <si>
    <t xml:space="preserve">CF-01; CF-02; CF-03</t>
  </si>
  <si>
    <t xml:space="preserve">0</t>
  </si>
  <si>
    <t xml:space="preserve">REC-11 (pulled forward - RC-01)</t>
  </si>
  <si>
    <t xml:space="preserve">AWS-02</t>
  </si>
  <si>
    <t xml:space="preserve">Breach-assessment decision under CGI-POL-005 s5.6.3 for CF-03; review CloudTrail for contractor and consultant activity</t>
  </si>
  <si>
    <t xml:space="preserve">CF-03; CF-02</t>
  </si>
  <si>
    <t xml:space="preserve">20 Oct 2026</t>
  </si>
  <si>
    <t xml:space="preserve">Password policy 16 / reuse 24; security contacts; support role</t>
  </si>
  <si>
    <t xml:space="preserve">CF-11; CF-14</t>
  </si>
  <si>
    <t xml:space="preserve">AWS-04</t>
  </si>
  <si>
    <t xml:space="preserve">Preserve evidence, then delete the 2024 export under the CGI-POL-004 disposal rule; record the consultant as a terminated relationship in CGI-TPR-001</t>
  </si>
  <si>
    <t xml:space="preserve">ISO-09 (records); REC-15</t>
  </si>
  <si>
    <t xml:space="preserve">Phase 1 - Guardrails</t>
  </si>
  <si>
    <t xml:space="preserve">Website assets behind CloudFront with Origin Access Control; account-level Block Public Access on; SCP protecting it</t>
  </si>
  <si>
    <t xml:space="preserve">Within TP-09 estimate</t>
  </si>
  <si>
    <t xml:space="preserve">TP-09 (part)</t>
  </si>
  <si>
    <t xml:space="preserve">Organisation trail: all accounts and regions, validation, access logging, S3 data events for Restricted buckets</t>
  </si>
  <si>
    <t xml:space="preserve">REC-07 (part, pulled forward - RC-02)</t>
  </si>
  <si>
    <t xml:space="preserve">Root: hardware keys, billing delegated, root-use alert, sealed credentials; proposed exception EXC-004 until done</t>
  </si>
  <si>
    <t xml:space="preserve">Hardware keys (planning estimate USD 330)</t>
  </si>
  <si>
    <t xml:space="preserve">AWS-08</t>
  </si>
  <si>
    <t xml:space="preserve">Replace the bastion with Session Manager; require IMDSv2; EBS encryption by default</t>
  </si>
  <si>
    <t xml:space="preserve">CF-01; CF-05</t>
  </si>
  <si>
    <t xml:space="preserve">REC-18 (split - RC-03)</t>
  </si>
  <si>
    <t xml:space="preserve">Sign the CloudCo CUEC acceptance record: four CUECs, four owners, the AWS roadmap dates</t>
  </si>
  <si>
    <t xml:space="preserve">CUEC 1-4</t>
  </si>
  <si>
    <t xml:space="preserve">Chief Executive Officer</t>
  </si>
  <si>
    <t xml:space="preserve">ISO-02; VRA-2026-001 C1; SOC-01</t>
  </si>
  <si>
    <t xml:space="preserve">Phase 2 - Detect and encrypt</t>
  </si>
  <si>
    <t xml:space="preserve">Config, Security Hub and GuardDuty organisation-wide; EventBridge alerts for 4.1-4.15; alert runbook</t>
  </si>
  <si>
    <t xml:space="preserve">Within TP-09 estimate (USD 1,200 a year - validate)</t>
  </si>
  <si>
    <t xml:space="preserve">TP-09 (detective part); REC-07; REC-11 (part)</t>
  </si>
  <si>
    <t xml:space="preserve">Customer-managed KMS keys and SSE-KMS on Restricted buckets and the log archive; rotation on</t>
  </si>
  <si>
    <t xml:space="preserve">Small (key charges)</t>
  </si>
  <si>
    <t xml:space="preserve">ISO-11 (A.8.24 part, pulled forward - RC-05)</t>
  </si>
  <si>
    <t xml:space="preserve">IAM Identity Center federated with OfficeCo; permission sets; FIDO2 for admins; delete IAM users; access analyzers</t>
  </si>
  <si>
    <t xml:space="preserve">CF-09; CF-02</t>
  </si>
  <si>
    <t xml:space="preserve">REC-02; REC-01</t>
  </si>
  <si>
    <t xml:space="preserve">OpenID Connect deploy role for CodeCo; delete codeco-deploy key</t>
  </si>
  <si>
    <t xml:space="preserve">REC-06</t>
  </si>
  <si>
    <t xml:space="preserve">RDS auto minor version upgrade</t>
  </si>
  <si>
    <t xml:space="preserve">REC-08</t>
  </si>
  <si>
    <t xml:space="preserve">AWS-15</t>
  </si>
  <si>
    <t xml:space="preserve">Phase 3 - Baseline</t>
  </si>
  <si>
    <t xml:space="preserve">Approve the Cloud Configuration Baseline Standard (Cypher profile: Level 1 plus six named Level 2) with an exception route</t>
  </si>
  <si>
    <t xml:space="preserve">All</t>
  </si>
  <si>
    <t xml:space="preserve">28 Feb 2027</t>
  </si>
  <si>
    <t xml:space="preserve">TP-10</t>
  </si>
  <si>
    <t xml:space="preserve">Flow logs; default security groups emptied; unused default VPCs deleted; TLS-only bucket policies; Object Lock</t>
  </si>
  <si>
    <t xml:space="preserve">CF-12; CF-13</t>
  </si>
  <si>
    <t xml:space="preserve">Small (log storage)</t>
  </si>
  <si>
    <t xml:space="preserve">REC-18</t>
  </si>
  <si>
    <t xml:space="preserve">AWS-17</t>
  </si>
  <si>
    <t xml:space="preserve">Quarterly re-assessment against v5.0.0, then re-baseline to the current CIS release</t>
  </si>
  <si>
    <t xml:space="preserve">REC-11; TP-10</t>
  </si>
  <si>
    <t xml:space="preserve">AWS-18</t>
  </si>
  <si>
    <t xml:space="preserve">Phase 4 - Sustain</t>
  </si>
  <si>
    <t xml:space="preserve">Capture the baseline as infrastructure as code with peer review</t>
  </si>
  <si>
    <t xml:space="preserve">30 Sep 2027</t>
  </si>
  <si>
    <t xml:space="preserve">REC-06; SOC-07</t>
  </si>
  <si>
    <t xml:space="preserve">Part 8.2 - conflicts with earlier deliverables, stated and resolved.</t>
  </si>
  <si>
    <t xml:space="preserve">Earlier deliverable says</t>
  </si>
  <si>
    <t xml:space="preserve">The evidence says</t>
  </si>
  <si>
    <t xml:space="preserve">Resolution</t>
  </si>
  <si>
    <t xml:space="preserve">RC-01</t>
  </si>
  <si>
    <t xml:space="preserve">REC-11 dates the CIS baseline to Q2 2027.</t>
  </si>
  <si>
    <t xml:space="preserve">Three Critical findings cannot wait eight months.</t>
  </si>
  <si>
    <t xml:space="preserve">Split REC-11: containment now (AWS-01 to AWS-04), baseline in Q2 2027 as planned (AWS-17).</t>
  </si>
  <si>
    <t xml:space="preserve">RC-02</t>
  </si>
  <si>
    <t xml:space="preserve">REC-07 dates CloudTrail work to Q1 2027; condition C1 falls due 15 Dec 2026.</t>
  </si>
  <si>
    <t xml:space="preserve">CUEC 1 would be accepted with no trail behind it.</t>
  </si>
  <si>
    <t xml:space="preserve">Trail and validation take about an hour: pulled forward to 30 Nov 2026 (AWS-06). Log archive and alerting stay in Q1 2027 (AWS-10).</t>
  </si>
  <si>
    <t xml:space="preserve">RC-03</t>
  </si>
  <si>
    <t xml:space="preserve">REC-18 dates network segmentation to Q4 2027.</t>
  </si>
  <si>
    <t xml:space="preserve">CF-01 is a one-line rule change, not a segmentation project.</t>
  </si>
  <si>
    <t xml:space="preserve">AWS-01 and AWS-08 close the exposure now; REC-18 keeps the segmentation documentation.</t>
  </si>
  <si>
    <t xml:space="preserve">RC-04</t>
  </si>
  <si>
    <t xml:space="preserve">TP-09 targets a residual of 6.</t>
  </si>
  <si>
    <t xml:space="preserve">TP-09 alone reaches 10 (L2 x I5): it adds a guardrail and detection, but no key management.</t>
  </si>
  <si>
    <t xml:space="preserve">TP-09's target of 6 now depends on AWS-11 (KMS) and AWS-10 (detection). Recorded in CGI-RSK-001 v1.2.</t>
  </si>
  <si>
    <t xml:space="preserve">RC-05</t>
  </si>
  <si>
    <t xml:space="preserve">ISO-11 schedules A.8.24 (cryptography) from Jan 2027.</t>
  </si>
  <si>
    <t xml:space="preserve">R-005's impact credit depends on customer-managed keys.</t>
  </si>
  <si>
    <t xml:space="preserve">AWS-11 pulls the Restricted-bucket part of A.8.24 forward to 31 Dec 2026; the rest of ISO-11 is unchanged.</t>
  </si>
  <si>
    <t xml:space="preserve">RC-06</t>
  </si>
  <si>
    <t xml:space="preserve">The CIS Level 1 profile excludes 1.5, 3.2, 3.3, 3.5, 3.6 and 4.16.</t>
  </si>
  <si>
    <t xml:space="preserve">CGI-POL-002, the CloudCo CUECs and TP-09 / REC-11 require them.</t>
  </si>
  <si>
    <t xml:space="preserve">The Cypher profile is Level 1 plus those six Level 2 items. Policy and contracts outrank the profile choice.</t>
  </si>
  <si>
    <t xml:space="preserve">RC-07</t>
  </si>
  <si>
    <t xml:space="preserve">CIS 2.1.2 (MFA Delete) can only be enabled by the root user.</t>
  </si>
  <si>
    <t xml:space="preserve">CIS 1.6 says eliminate root use.</t>
  </si>
  <si>
    <t xml:space="preserve">Use S3 Object Lock instead and record the deviation from 2.1.2 in the baseline standard.</t>
  </si>
  <si>
    <t xml:space="preserve">RC-08</t>
  </si>
  <si>
    <t xml:space="preserve">CGI-TPR-001 lists 17 suppliers, found from four sources including a 12-month finance lookback.</t>
  </si>
  <si>
    <t xml:space="preserve">CF-03 found a 2024 consultant with live access to customer data.</t>
  </si>
  <si>
    <t xml:space="preserve">Add 'access-based discovery' (external-access analyzer findings) as a fifth source. The count stays 17: the relationship ended in 2024 and is recorded as terminated.</t>
  </si>
  <si>
    <t xml:space="preserve">RC-09</t>
  </si>
  <si>
    <t xml:space="preserve">CGI-SOC-001 called the four CloudCo CUECs 'unaccepted'.</t>
  </si>
  <si>
    <t xml:space="preserve">They are now evidenced as not performed: 0 of 4.</t>
  </si>
  <si>
    <t xml:space="preserve">OFI-07 and the mirror in CGI-SOC-001 Part 3.4 cite CGI-AWS-001 as evidence. SOC-01's carve-out holds only once AWS-09 is signed.</t>
  </si>
  <si>
    <t xml:space="preserve">RC-10</t>
  </si>
  <si>
    <t xml:space="preserve">CGI-RSK-001 v1.1 scores R-005 residual 12, and R-001 credits FIDO2 keys for privileged CloudCo accounts.</t>
  </si>
  <si>
    <t xml:space="preserve">The evidence supports neither credit.</t>
  </si>
  <si>
    <t xml:space="preserve">R-005 is re-scored to 20 in v1.2. R-001 is flagged for the Q1 2027 register review rather than re-scored here, because this review tested R-005's control set, not R-001's.</t>
  </si>
  <si>
    <t xml:space="preserve">Part 9 - effect on CGI-GAP-001 (NIST CSF 2.0, 22 Categories, 0-4).</t>
  </si>
  <si>
    <t xml:space="preserve">Category</t>
  </si>
  <si>
    <t xml:space="preserve">Name</t>
  </si>
  <si>
    <t xml:space="preserve">Before</t>
  </si>
  <si>
    <t xml:space="preserve">After</t>
  </si>
  <si>
    <t xml:space="preserve">What would move it</t>
  </si>
  <si>
    <t xml:space="preserve">Platform Security</t>
  </si>
  <si>
    <t xml:space="preserve">A review that finds the baseline absent measures the gap; it does not close it. No configuration standard exists, so nothing is established or applied.</t>
  </si>
  <si>
    <t xml:space="preserve">2 when the baseline standard (AWS-15) is approved; 3 after two evidenced quarterly assessments (AWS-17).</t>
  </si>
  <si>
    <t xml:space="preserve">Technology Infrastructure Resilience</t>
  </si>
  <si>
    <t xml:space="preserve">The network is now documented as exposed (CF-01, CF-12); documentation of a hole is not protection.</t>
  </si>
  <si>
    <t xml:space="preserve">2 when a security-group and VPC baseline is approved and SSH is closed; 3 with review records.</t>
  </si>
  <si>
    <t xml:space="preserve">Continuous Monitoring</t>
  </si>
  <si>
    <t xml:space="preserve">Config and Security Hub have run for 11 days in two regions of one account, routed to nobody. A prerequisite is not a score.</t>
  </si>
  <si>
    <t xml:space="preserve">2 when monitoring is organisation-wide with a named owner and runbook (AWS-10); 3 after 90 days of handled-alert records.</t>
  </si>
  <si>
    <t xml:space="preserve">Identity Management, Authentication and Access Control</t>
  </si>
  <si>
    <t xml:space="preserve">Root MFA (1.4) and no root keys (1.3) are evidenced, but phishable MFA on admins and a live contractor login contradict the policy. A 2 already means approved but unevidenced.</t>
  </si>
  <si>
    <t xml:space="preserve">3 when federation, FIDO2 for admins and the first quarterly review are evidenced (AWS-12, REC-02).</t>
  </si>
  <si>
    <t xml:space="preserve">Data Security</t>
  </si>
  <si>
    <t xml:space="preserve">Encryption exists at the provider level only, and Restricted data was found outside approved systems. Consistent with 2, not 3.</t>
  </si>
  <si>
    <t xml:space="preserve">3 when customer-managed keys protect the Restricted buckets and discovery has run (AWS-11, CF-03).</t>
  </si>
  <si>
    <t xml:space="preserve">ID.AM</t>
  </si>
  <si>
    <t xml:space="preserve">Asset Management</t>
  </si>
  <si>
    <t xml:space="preserve">This review listed accounts, regions, buckets and hosts. A cloud resource list is an input to REC-05, not an asset inventory.</t>
  </si>
  <si>
    <t xml:space="preserve">2 when REC-05 delivers the inventory with owners and classification.</t>
  </si>
  <si>
    <t xml:space="preserve">GV.SC</t>
  </si>
  <si>
    <t xml:space="preserve">Cybersecurity Supply Chain Risk Management</t>
  </si>
  <si>
    <t xml:space="preserve">The CUECs are now evidenced as not performed, but the programme that found them is unchanged.</t>
  </si>
  <si>
    <t xml:space="preserve">Unchanged by this project.</t>
  </si>
  <si>
    <t xml:space="preserve">Sum of all 22 Category scores before</t>
  </si>
  <si>
    <t xml:space="preserve">Net change from this review</t>
  </si>
  <si>
    <t xml:space="preserve">Sum after</t>
  </si>
  <si>
    <t xml:space="preserve">Overall maturity before</t>
  </si>
  <si>
    <t xml:space="preserve">Overall maturity after</t>
  </si>
  <si>
    <t xml:space="preserve">Part 2 and Appendix A - environment in scope (simulated) and declared limitations.</t>
  </si>
  <si>
    <t xml:space="preserve">Element / ID</t>
  </si>
  <si>
    <t xml:space="preserve">What exists / limitation</t>
  </si>
  <si>
    <t xml:space="preserve">Scope decision / effect</t>
  </si>
  <si>
    <t xml:space="preserve">CloudCo organisation with 3 accounts: management (billing, created 2021), production (the platform), staging (pre-production)</t>
  </si>
  <si>
    <t xml:space="preserve">In scope. Section 1, 3 and 4 checks run in all three; Section 2 and 5 resource checks run in production.</t>
  </si>
  <si>
    <t xml:space="preserve">Regions</t>
  </si>
  <si>
    <t xml:space="preserve">eu-central-1 (primary); us-east-1 (RDS snapshot copies); every other default region enabled but unused</t>
  </si>
  <si>
    <t xml:space="preserve">In scope. Unused regions matter: an attacker launches resources where nobody looks.</t>
  </si>
  <si>
    <t xml:space="preserve">Identity</t>
  </si>
  <si>
    <t xml:space="preserve">IAM users per account: production has 9 (8 people with console passwords, 1 machine user codeco-deploy); 3 root users</t>
  </si>
  <si>
    <t xml:space="preserve">In scope</t>
  </si>
  <si>
    <t xml:space="preserve">Compute</t>
  </si>
  <si>
    <t xml:space="preserve">Application on Amazon ECS with AWS Fargate behind an internet-facing load balancer (443 only); one EC2 bastion, cgi-prod-bastion-01</t>
  </si>
  <si>
    <t xml:space="preserve">Database</t>
  </si>
  <si>
    <t xml:space="preserve">One RDS for PostgreSQL instance, cgi-prod-db, Multi-AZ, private subnets; snapshots copied to us-east-1</t>
  </si>
  <si>
    <t xml:space="preserve">Storage</t>
  </si>
  <si>
    <t xml:space="preserve">5 S3 buckets: cgi-prod-app-attachments (Restricted), cgi-prod-exports (Restricted), cgi-prod-cloudtrail-logs, cgi-www-assets (public website assets), cgi-data-migration-2024 (legacy)</t>
  </si>
  <si>
    <t xml:space="preserve">Network</t>
  </si>
  <si>
    <t xml:space="preserve">One production VPC (private and public subnets, default network ACL); a default VPC in every enabled region</t>
  </si>
  <si>
    <t xml:space="preserve">Logging and monitoring</t>
  </si>
  <si>
    <t xml:space="preserve">One single-region trail (production, eu-central-1, May 2023); Config and Security Hub enabled 05 Oct 2026 in production eu-central-1 and us-east-1; GuardDuty off</t>
  </si>
  <si>
    <t xml:space="preserve">Staging resources</t>
  </si>
  <si>
    <t xml:space="preserve">Workloads in the staging account</t>
  </si>
  <si>
    <t xml:space="preserve">OUT OF SCOPE this cycle (limitation L-03). The CTO asserts staging holds no customer data; not verified.</t>
  </si>
  <si>
    <t xml:space="preserve">L-01</t>
  </si>
  <si>
    <t xml:space="preserve">Simulated environment</t>
  </si>
  <si>
    <t xml:space="preserve">No real account was scanned. Every configuration result is a labelled scenario built to be consistent with Projects 1-6. The method, commands and mappings are the ones a real review would use.</t>
  </si>
  <si>
    <t xml:space="preserve">L-02</t>
  </si>
  <si>
    <t xml:space="preserve">Log coverage</t>
  </si>
  <si>
    <t xml:space="preserve">The only trail covers production eu-central-1. Activity elsewhere before this review cannot be reconstructed, so the CF-02 and CF-03 activity reviews are partial by design.</t>
  </si>
  <si>
    <t xml:space="preserve">L-03</t>
  </si>
  <si>
    <t xml:space="preserve">Staging excluded</t>
  </si>
  <si>
    <t xml:space="preserve">Staging resources were not assessed. The next quarterly assessment (AWS-17) includes them.</t>
  </si>
  <si>
    <t xml:space="preserve">L-04</t>
  </si>
  <si>
    <t xml:space="preserve">Point in time</t>
  </si>
  <si>
    <t xml:space="preserve">Results describe 12-16 October 2026. Without organisation-wide Config, nothing evidences the months before or after (configuration drift).</t>
  </si>
  <si>
    <t xml:space="preserve">L-05</t>
  </si>
  <si>
    <t xml:space="preserve">Manual checks by inquiry</t>
  </si>
  <si>
    <t xml:space="preserve">Manual recommendations rest on inspection and inquiry of the CTO and IT Operations Manager. Inquiry alone is weak evidence and is labelled as such.</t>
  </si>
  <si>
    <t xml:space="preserve">L-06</t>
  </si>
  <si>
    <t xml:space="preserve">Benchmark version</t>
  </si>
  <si>
    <t xml:space="preserve">v5.0.0 is used because it is the version Security Hub CSPM automates. Newer CIS releases exist; re-baselining is on the roadmap (AWS-17).</t>
  </si>
  <si>
    <t xml:space="preserve">L-07</t>
  </si>
  <si>
    <t xml:space="preserve">Not engineering</t>
  </si>
  <si>
    <t xml:space="preserve">This is a compliance and configuration review against a published benchmark, not cloud engineering. Remediation steps name the control to implement; an engineer designs and tests the change.</t>
  </si>
  <si>
    <t xml:space="preserve">Every row must read PASS before this workbook is published.</t>
  </si>
  <si>
    <t xml:space="preserve">#</t>
  </si>
  <si>
    <t xml:space="preserve">Check</t>
  </si>
  <si>
    <t xml:space="preserve">Expected</t>
  </si>
  <si>
    <t xml:space="preserve">Actual (formula)</t>
  </si>
  <si>
    <t xml:space="preserve">Recommendations counted</t>
  </si>
  <si>
    <t xml:space="preserve">Results are only PASS, FAIL or N/A</t>
  </si>
  <si>
    <t xml:space="preserve">Every FAIL cites a finding</t>
  </si>
  <si>
    <t xml:space="preserve">Level 2 recommendations</t>
  </si>
  <si>
    <t xml:space="preserve">Manual recommendations (per CIS)</t>
  </si>
  <si>
    <t xml:space="preserve">Cypher profile size (Level 1 + 6)</t>
  </si>
  <si>
    <t xml:space="preserve">Findings in the register</t>
  </si>
  <si>
    <t xml:space="preserve">Every finding has an owner</t>
  </si>
  <si>
    <t xml:space="preserve">Every finding has a due date</t>
  </si>
  <si>
    <t xml:space="preserve">Every finding appears in the five-way map</t>
  </si>
  <si>
    <t xml:space="preserve">R-005 residual in v1.2</t>
  </si>
  <si>
    <t xml:space="preserve">Register inherent total</t>
  </si>
  <si>
    <t xml:space="preserve">Register residual total v1.2</t>
  </si>
  <si>
    <t xml:space="preserve">Register residual total v1.1 reproduced</t>
  </si>
  <si>
    <t xml:space="preserve">R-005 path reaches the TP-09 target (6)</t>
  </si>
  <si>
    <t xml:space="preserve">Met at step 5</t>
  </si>
  <si>
    <t xml:space="preserve">R-005 path reaches the TP-10 target (4)</t>
  </si>
  <si>
    <t xml:space="preserve">Met at step 6</t>
  </si>
  <si>
    <t xml:space="preserve">Roadmap actions</t>
  </si>
  <si>
    <t xml:space="preserve">Overall CSF maturity after this review (2 dp)</t>
  </si>
  <si>
    <t xml:space="preserve">Featured five present in the assessment</t>
  </si>
</sst>
</file>

<file path=xl/styles.xml><?xml version="1.0" encoding="utf-8"?>
<styleSheet xmlns="http://schemas.openxmlformats.org/spreadsheetml/2006/main">
  <numFmts count="3">
    <numFmt numFmtId="164" formatCode="General"/>
    <numFmt numFmtId="165" formatCode="0.0%"/>
    <numFmt numFmtId="166" formatCode="0.00"/>
  </numFmts>
  <fonts count="8">
    <font>
      <sz val="11"/>
      <color theme="1"/>
      <name val="Calibri"/>
      <family val="2"/>
      <charset val="1"/>
    </font>
    <font>
      <sz val="10"/>
      <name val="Arial"/>
      <family val="0"/>
    </font>
    <font>
      <sz val="10"/>
      <name val="Arial"/>
      <family val="0"/>
    </font>
    <font>
      <sz val="10"/>
      <name val="Arial"/>
      <family val="0"/>
    </font>
    <font>
      <b val="true"/>
      <sz val="9"/>
      <name val="Arial"/>
      <family val="0"/>
      <charset val="1"/>
    </font>
    <font>
      <sz val="9"/>
      <name val="Arial"/>
      <family val="0"/>
      <charset val="1"/>
    </font>
    <font>
      <b val="true"/>
      <sz val="12"/>
      <color rgb="FF1F3864"/>
      <name val="Arial"/>
      <family val="0"/>
      <charset val="1"/>
    </font>
    <font>
      <b val="true"/>
      <sz val="9"/>
      <color rgb="FFFFFFFF"/>
      <name val="Arial"/>
      <family val="0"/>
      <charset val="1"/>
    </font>
  </fonts>
  <fills count="9">
    <fill>
      <patternFill patternType="none"/>
    </fill>
    <fill>
      <patternFill patternType="gray125"/>
    </fill>
    <fill>
      <patternFill patternType="solid">
        <fgColor rgb="FFFCE4C4"/>
        <bgColor rgb="FFFFF2CC"/>
      </patternFill>
    </fill>
    <fill>
      <patternFill patternType="solid">
        <fgColor rgb="FFFFF2CC"/>
        <bgColor rgb="FFFCE4C4"/>
      </patternFill>
    </fill>
    <fill>
      <patternFill patternType="solid">
        <fgColor rgb="FFE8E8E8"/>
        <bgColor rgb="FFEDEDED"/>
      </patternFill>
    </fill>
    <fill>
      <patternFill patternType="solid">
        <fgColor rgb="FFE2EFDA"/>
        <bgColor rgb="FFE8E8E8"/>
      </patternFill>
    </fill>
    <fill>
      <patternFill patternType="solid">
        <fgColor rgb="FFF8D2D2"/>
        <bgColor rgb="FFFCE4C4"/>
      </patternFill>
    </fill>
    <fill>
      <patternFill patternType="solid">
        <fgColor rgb="FFEDEDED"/>
        <bgColor rgb="FFE8E8E8"/>
      </patternFill>
    </fill>
    <fill>
      <patternFill patternType="solid">
        <fgColor rgb="FF1F3864"/>
        <bgColor rgb="FF333333"/>
      </patternFill>
    </fill>
  </fills>
  <borders count="2">
    <border diagonalUp="false" diagonalDown="false">
      <left/>
      <right/>
      <top/>
      <bottom/>
      <diagonal/>
    </border>
    <border diagonalUp="false" diagonalDown="false">
      <left style="thin">
        <color rgb="FFC9D3E0"/>
      </left>
      <right style="thin">
        <color rgb="FFC9D3E0"/>
      </right>
      <top style="thin">
        <color rgb="FFC9D3E0"/>
      </top>
      <bottom style="thin">
        <color rgb="FFC9D3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2" borderId="0" xfId="0" applyFont="true" applyBorder="false" applyAlignment="true" applyProtection="false">
      <alignment horizontal="general" vertical="top" textRotation="0" wrapText="tru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4" fontId="4" fillId="4" borderId="0" xfId="0" applyFont="true" applyBorder="false" applyAlignment="false" applyProtection="false">
      <alignment horizontal="general" vertical="bottom" textRotation="0" wrapText="false" indent="0" shrinkToFit="false"/>
      <protection locked="true" hidden="false"/>
    </xf>
    <xf numFmtId="164" fontId="4" fillId="5" borderId="0" xfId="0" applyFont="true" applyBorder="false" applyAlignment="false" applyProtection="false">
      <alignment horizontal="general" vertical="bottom" textRotation="0" wrapText="false" indent="0" shrinkToFit="false"/>
      <protection locked="true" hidden="false"/>
    </xf>
    <xf numFmtId="164" fontId="4" fillId="6" borderId="0" xfId="0" applyFont="true" applyBorder="false" applyAlignment="false" applyProtection="false">
      <alignment horizontal="general" vertical="bottom" textRotation="0" wrapText="false" indent="0" shrinkToFit="false"/>
      <protection locked="true" hidden="false"/>
    </xf>
    <xf numFmtId="164" fontId="4" fillId="7"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8"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5" fontId="5" fillId="4" borderId="1" xfId="0" applyFont="true" applyBorder="true" applyAlignment="true" applyProtection="false">
      <alignment horizontal="general" vertical="top" textRotation="0" wrapText="true" indent="0" shrinkToFit="false"/>
      <protection locked="true" hidden="false"/>
    </xf>
    <xf numFmtId="164" fontId="4" fillId="0" borderId="1" xfId="0" applyFont="true" applyBorder="true" applyAlignment="true" applyProtection="false">
      <alignment horizontal="general" vertical="top" textRotation="0" wrapText="true" indent="0" shrinkToFit="false"/>
      <protection locked="true" hidden="false"/>
    </xf>
    <xf numFmtId="164" fontId="7" fillId="8" borderId="0" xfId="0" applyFont="true" applyBorder="false" applyAlignment="true" applyProtection="false">
      <alignment horizontal="general" vertical="top" textRotation="0" wrapText="true" indent="0" shrinkToFit="false"/>
      <protection locked="true" hidden="false"/>
    </xf>
    <xf numFmtId="166" fontId="5"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bgColor rgb="FFE2EFDA"/>
        </patternFill>
      </fill>
    </dxf>
    <dxf>
      <fill>
        <patternFill>
          <bgColor rgb="FFF8D2D2"/>
        </patternFill>
      </fill>
    </dxf>
    <dxf>
      <fill>
        <patternFill>
          <bgColor rgb="FFEDEDED"/>
        </patternFill>
      </fill>
    </dxf>
    <dxf>
      <fill>
        <patternFill>
          <bgColor rgb="FFF4B6B6"/>
        </patternFill>
      </fill>
    </dxf>
    <dxf>
      <fill>
        <patternFill>
          <bgColor rgb="FFFCE4C4"/>
        </patternFill>
      </fill>
    </dxf>
    <dxf>
      <fill>
        <patternFill>
          <bgColor rgb="FFFFF2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DEDED"/>
      <rgbColor rgb="FF660066"/>
      <rgbColor rgb="FFFF8080"/>
      <rgbColor rgb="FF0066CC"/>
      <rgbColor rgb="FFC9D3E0"/>
      <rgbColor rgb="FF000080"/>
      <rgbColor rgb="FFFF00FF"/>
      <rgbColor rgb="FFFFFF00"/>
      <rgbColor rgb="FF00FFFF"/>
      <rgbColor rgb="FF800080"/>
      <rgbColor rgb="FF800000"/>
      <rgbColor rgb="FF008080"/>
      <rgbColor rgb="FF0000FF"/>
      <rgbColor rgb="FF00CCFF"/>
      <rgbColor rgb="FFE8E8E8"/>
      <rgbColor rgb="FFE2EFDA"/>
      <rgbColor rgb="FFFCE4C4"/>
      <rgbColor rgb="FF99CCFF"/>
      <rgbColor rgb="FFF4B6B6"/>
      <rgbColor rgb="FFCC99FF"/>
      <rgbColor rgb="FFF8D2D2"/>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8"/>
  </cols>
  <sheetData>
    <row r="1" customFormat="false" ht="15" hidden="false" customHeight="false" outlineLevel="0" collapsed="false">
      <c r="A1" s="1" t="s">
        <v>0</v>
      </c>
      <c r="B1" s="2" t="s">
        <v>1</v>
      </c>
    </row>
    <row r="2" customFormat="false" ht="15" hidden="false" customHeight="false" outlineLevel="0" collapsed="false">
      <c r="A2" s="1" t="s">
        <v>2</v>
      </c>
      <c r="B2" s="2" t="s">
        <v>3</v>
      </c>
    </row>
    <row r="3" customFormat="false" ht="22.35" hidden="false" customHeight="false" outlineLevel="0" collapsed="false">
      <c r="A3" s="1" t="s">
        <v>4</v>
      </c>
      <c r="B3" s="3" t="s">
        <v>5</v>
      </c>
    </row>
    <row r="4" customFormat="false" ht="22.35" hidden="false" customHeight="false" outlineLevel="0" collapsed="false">
      <c r="A4" s="1" t="s">
        <v>6</v>
      </c>
      <c r="B4" s="2" t="s">
        <v>7</v>
      </c>
    </row>
    <row r="5" customFormat="false" ht="15" hidden="false" customHeight="false" outlineLevel="0" collapsed="false">
      <c r="A5" s="1" t="s">
        <v>8</v>
      </c>
      <c r="B5" s="2" t="s">
        <v>9</v>
      </c>
    </row>
    <row r="6" customFormat="false" ht="15" hidden="false" customHeight="false" outlineLevel="0" collapsed="false">
      <c r="A6" s="1" t="s">
        <v>10</v>
      </c>
      <c r="B6" s="2" t="s">
        <v>11</v>
      </c>
    </row>
    <row r="7" customFormat="false" ht="15" hidden="false" customHeight="false" outlineLevel="0" collapsed="false">
      <c r="A7" s="1" t="s">
        <v>12</v>
      </c>
      <c r="B7" s="2" t="s">
        <v>13</v>
      </c>
    </row>
    <row r="8" customFormat="false" ht="22.35" hidden="false" customHeight="false" outlineLevel="0" collapsed="false">
      <c r="A8" s="1" t="s">
        <v>14</v>
      </c>
      <c r="B8" s="2" t="s">
        <v>15</v>
      </c>
    </row>
    <row r="9" customFormat="false" ht="15" hidden="false" customHeight="false" outlineLevel="0" collapsed="false">
      <c r="A9" s="1" t="s">
        <v>16</v>
      </c>
      <c r="B9" s="2" t="s">
        <v>17</v>
      </c>
    </row>
    <row r="10" customFormat="false" ht="15" hidden="false" customHeight="false" outlineLevel="0" collapsed="false">
      <c r="A10" s="1" t="s">
        <v>18</v>
      </c>
      <c r="B10" s="2"/>
    </row>
    <row r="11" customFormat="false" ht="15" hidden="false" customHeight="false" outlineLevel="0" collapsed="false">
      <c r="A11" s="4" t="s">
        <v>19</v>
      </c>
      <c r="B11" s="2" t="s">
        <v>20</v>
      </c>
    </row>
    <row r="12" customFormat="false" ht="15" hidden="false" customHeight="false" outlineLevel="0" collapsed="false">
      <c r="A12" s="5" t="s">
        <v>21</v>
      </c>
      <c r="B12" s="2" t="s">
        <v>22</v>
      </c>
    </row>
    <row r="13" customFormat="false" ht="15" hidden="false" customHeight="false" outlineLevel="0" collapsed="false">
      <c r="A13" s="6" t="s">
        <v>23</v>
      </c>
      <c r="B13" s="2" t="s">
        <v>24</v>
      </c>
    </row>
    <row r="14" customFormat="false" ht="15" hidden="false" customHeight="false" outlineLevel="0" collapsed="false">
      <c r="A14" s="7" t="s">
        <v>25</v>
      </c>
      <c r="B14" s="2" t="s">
        <v>26</v>
      </c>
    </row>
    <row r="15" customFormat="false" ht="15" hidden="false" customHeight="false" outlineLevel="0" collapsed="false">
      <c r="A15" s="8" t="s">
        <v>27</v>
      </c>
      <c r="B15" s="2" t="s">
        <v>28</v>
      </c>
    </row>
    <row r="16" customFormat="false" ht="22.35" hidden="false" customHeight="false" outlineLevel="0" collapsed="false">
      <c r="A16" s="1" t="s">
        <v>29</v>
      </c>
      <c r="B16" s="2" t="s">
        <v>30</v>
      </c>
    </row>
    <row r="17" customFormat="false" ht="22.35" hidden="false" customHeight="false" outlineLevel="0" collapsed="false">
      <c r="A17" s="1" t="s">
        <v>31</v>
      </c>
      <c r="B17" s="2" t="s">
        <v>32</v>
      </c>
    </row>
    <row r="18" customFormat="false" ht="22.35" hidden="false" customHeight="false" outlineLevel="0" collapsed="false">
      <c r="A18" s="1" t="s">
        <v>33</v>
      </c>
      <c r="B18" s="2" t="s">
        <v>34</v>
      </c>
    </row>
    <row r="19" customFormat="false" ht="15" hidden="false" customHeight="false" outlineLevel="0" collapsed="false">
      <c r="A19" s="1" t="s">
        <v>35</v>
      </c>
      <c r="B19" s="2" t="s">
        <v>36</v>
      </c>
    </row>
    <row r="20" customFormat="false" ht="15" hidden="false" customHeight="false" outlineLevel="0" collapsed="false">
      <c r="A20" s="1" t="s">
        <v>37</v>
      </c>
      <c r="B20" s="2" t="s">
        <v>38</v>
      </c>
    </row>
    <row r="21" customFormat="false" ht="15" hidden="false" customHeight="false" outlineLevel="0" collapsed="false">
      <c r="A21" s="1" t="s">
        <v>39</v>
      </c>
      <c r="B21" s="2" t="s">
        <v>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0"/>
    <col collapsed="false" customWidth="true" hidden="false" outlineLevel="0" max="3" min="3" style="0" width="34"/>
    <col collapsed="false" customWidth="true" hidden="false" outlineLevel="0" max="4" min="4" style="0" width="9"/>
    <col collapsed="false" customWidth="true" hidden="false" outlineLevel="0" max="5" min="5" style="0" width="8"/>
    <col collapsed="false" customWidth="true" hidden="false" outlineLevel="0" max="6" min="6" style="0" width="22"/>
    <col collapsed="false" customWidth="true" hidden="false" outlineLevel="0" max="7" min="7" style="0" width="10"/>
    <col collapsed="false" customWidth="true" hidden="false" outlineLevel="0" max="8" min="8" style="0" width="14"/>
    <col collapsed="false" customWidth="true" hidden="false" outlineLevel="0" max="10" min="9" style="0" width="18"/>
    <col collapsed="false" customWidth="true" hidden="false" outlineLevel="0" max="11" min="11" style="0" width="22"/>
    <col collapsed="false" customWidth="true" hidden="false" outlineLevel="0" max="12" min="12" style="0" width="9"/>
    <col collapsed="false" customWidth="true" hidden="false" outlineLevel="0" max="13" min="13" style="0" width="60"/>
    <col collapsed="false" customWidth="true" hidden="false" outlineLevel="0" max="15" min="14" style="0" width="34"/>
    <col collapsed="false" customWidth="true" hidden="false" outlineLevel="0" max="16" min="16" style="0" width="24"/>
    <col collapsed="false" customWidth="true" hidden="false" outlineLevel="0" max="17" min="17" style="0" width="40"/>
    <col collapsed="false" customWidth="true" hidden="false" outlineLevel="0" max="18" min="18" style="0" width="10"/>
    <col collapsed="false" customWidth="true" hidden="false" outlineLevel="0" max="19" min="19" style="0" width="16"/>
    <col collapsed="false" customWidth="true" hidden="false" outlineLevel="0" max="22" min="20" style="0" width="12"/>
    <col collapsed="false" customWidth="true" hidden="false" outlineLevel="0" max="24" min="23" style="0" width="9"/>
    <col collapsed="false" customWidth="true" hidden="false" outlineLevel="0" max="25" min="25" style="0" width="7"/>
  </cols>
  <sheetData>
    <row r="1" customFormat="false" ht="15" hidden="false" customHeight="false" outlineLevel="0" collapsed="false">
      <c r="A1" s="9" t="s">
        <v>41</v>
      </c>
    </row>
    <row r="3" customFormat="false" ht="43.25" hidden="false" customHeight="false" outlineLevel="0" collapsed="false">
      <c r="A3" s="10" t="s">
        <v>42</v>
      </c>
      <c r="B3" s="10" t="s">
        <v>43</v>
      </c>
      <c r="C3" s="10" t="s">
        <v>44</v>
      </c>
      <c r="D3" s="10" t="s">
        <v>45</v>
      </c>
      <c r="E3" s="10" t="s">
        <v>46</v>
      </c>
      <c r="F3" s="10" t="s">
        <v>47</v>
      </c>
      <c r="G3" s="10" t="s">
        <v>48</v>
      </c>
      <c r="H3" s="10" t="s">
        <v>49</v>
      </c>
      <c r="I3" s="10" t="s">
        <v>50</v>
      </c>
      <c r="J3" s="10" t="s">
        <v>51</v>
      </c>
      <c r="K3" s="10" t="s">
        <v>52</v>
      </c>
      <c r="L3" s="10" t="s">
        <v>53</v>
      </c>
      <c r="M3" s="10" t="s">
        <v>54</v>
      </c>
      <c r="N3" s="10" t="s">
        <v>55</v>
      </c>
      <c r="O3" s="10" t="s">
        <v>56</v>
      </c>
      <c r="P3" s="10" t="s">
        <v>57</v>
      </c>
      <c r="Q3" s="10" t="s">
        <v>58</v>
      </c>
      <c r="R3" s="10" t="s">
        <v>59</v>
      </c>
      <c r="S3" s="10" t="s">
        <v>60</v>
      </c>
      <c r="T3" s="10" t="s">
        <v>61</v>
      </c>
      <c r="U3" s="10" t="s">
        <v>62</v>
      </c>
      <c r="V3" s="10" t="s">
        <v>63</v>
      </c>
      <c r="W3" s="10" t="s">
        <v>64</v>
      </c>
      <c r="X3" s="10" t="s">
        <v>65</v>
      </c>
      <c r="Y3" s="10" t="s">
        <v>66</v>
      </c>
    </row>
    <row r="4" customFormat="false" ht="32.8" hidden="false" customHeight="false" outlineLevel="0" collapsed="false">
      <c r="A4" s="11" t="s">
        <v>67</v>
      </c>
      <c r="B4" s="11" t="s">
        <v>68</v>
      </c>
      <c r="C4" s="11" t="s">
        <v>69</v>
      </c>
      <c r="D4" s="11" t="s">
        <v>70</v>
      </c>
      <c r="E4" s="12" t="s">
        <v>71</v>
      </c>
      <c r="F4" s="11" t="s">
        <v>70</v>
      </c>
      <c r="G4" s="11" t="s">
        <v>72</v>
      </c>
      <c r="H4" s="11" t="s">
        <v>73</v>
      </c>
      <c r="I4" s="11" t="s">
        <v>74</v>
      </c>
      <c r="J4" s="11" t="s">
        <v>75</v>
      </c>
      <c r="K4" s="11" t="s">
        <v>76</v>
      </c>
      <c r="L4" s="12" t="s">
        <v>24</v>
      </c>
      <c r="M4" s="11" t="s">
        <v>77</v>
      </c>
      <c r="N4" s="11" t="s">
        <v>78</v>
      </c>
      <c r="O4" s="11" t="s">
        <v>79</v>
      </c>
      <c r="P4" s="11" t="s">
        <v>73</v>
      </c>
      <c r="Q4" s="11" t="s">
        <v>80</v>
      </c>
      <c r="R4" s="11" t="s">
        <v>73</v>
      </c>
      <c r="S4" s="11" t="s">
        <v>81</v>
      </c>
      <c r="T4" s="11" t="s">
        <v>82</v>
      </c>
      <c r="U4" s="11" t="s">
        <v>83</v>
      </c>
      <c r="V4" s="11" t="s">
        <v>84</v>
      </c>
      <c r="W4" s="11" t="s">
        <v>73</v>
      </c>
      <c r="X4" s="13" t="str">
        <f aca="false">IF(LEFT(H4,1)="-","N","Y")</f>
        <v>N</v>
      </c>
      <c r="Y4" s="13" t="n">
        <f aca="false">VALUE(LEFT(A4,1))</f>
        <v>1</v>
      </c>
    </row>
    <row r="5" customFormat="false" ht="43.25" hidden="false" customHeight="false" outlineLevel="0" collapsed="false">
      <c r="A5" s="11" t="s">
        <v>85</v>
      </c>
      <c r="B5" s="11" t="s">
        <v>68</v>
      </c>
      <c r="C5" s="11" t="s">
        <v>86</v>
      </c>
      <c r="D5" s="11" t="s">
        <v>70</v>
      </c>
      <c r="E5" s="12" t="s">
        <v>71</v>
      </c>
      <c r="F5" s="11" t="s">
        <v>70</v>
      </c>
      <c r="G5" s="11" t="s">
        <v>72</v>
      </c>
      <c r="H5" s="11" t="s">
        <v>87</v>
      </c>
      <c r="I5" s="11" t="s">
        <v>88</v>
      </c>
      <c r="J5" s="11" t="s">
        <v>75</v>
      </c>
      <c r="K5" s="11" t="s">
        <v>89</v>
      </c>
      <c r="L5" s="12" t="s">
        <v>26</v>
      </c>
      <c r="M5" s="11" t="s">
        <v>90</v>
      </c>
      <c r="N5" s="11" t="s">
        <v>91</v>
      </c>
      <c r="O5" s="11" t="s">
        <v>92</v>
      </c>
      <c r="P5" s="11" t="s">
        <v>93</v>
      </c>
      <c r="Q5" s="11" t="s">
        <v>94</v>
      </c>
      <c r="R5" s="11" t="s">
        <v>95</v>
      </c>
      <c r="S5" s="11" t="s">
        <v>96</v>
      </c>
      <c r="T5" s="11" t="s">
        <v>97</v>
      </c>
      <c r="U5" s="11" t="s">
        <v>98</v>
      </c>
      <c r="V5" s="11" t="s">
        <v>84</v>
      </c>
      <c r="W5" s="11" t="s">
        <v>73</v>
      </c>
      <c r="X5" s="13" t="str">
        <f aca="false">IF(LEFT(H5,1)="-","N","Y")</f>
        <v>Y</v>
      </c>
      <c r="Y5" s="13" t="n">
        <f aca="false">VALUE(LEFT(A5,1))</f>
        <v>1</v>
      </c>
    </row>
    <row r="6" customFormat="false" ht="43.25" hidden="false" customHeight="false" outlineLevel="0" collapsed="false">
      <c r="A6" s="11" t="s">
        <v>99</v>
      </c>
      <c r="B6" s="11" t="s">
        <v>68</v>
      </c>
      <c r="C6" s="11" t="s">
        <v>100</v>
      </c>
      <c r="D6" s="11" t="s">
        <v>70</v>
      </c>
      <c r="E6" s="12" t="s">
        <v>71</v>
      </c>
      <c r="F6" s="11" t="s">
        <v>70</v>
      </c>
      <c r="G6" s="11" t="s">
        <v>101</v>
      </c>
      <c r="H6" s="11" t="s">
        <v>102</v>
      </c>
      <c r="I6" s="11" t="s">
        <v>88</v>
      </c>
      <c r="J6" s="11" t="s">
        <v>75</v>
      </c>
      <c r="K6" s="11" t="s">
        <v>103</v>
      </c>
      <c r="L6" s="12" t="s">
        <v>24</v>
      </c>
      <c r="M6" s="11" t="s">
        <v>104</v>
      </c>
      <c r="N6" s="11" t="s">
        <v>105</v>
      </c>
      <c r="O6" s="11" t="s">
        <v>106</v>
      </c>
      <c r="P6" s="11" t="s">
        <v>107</v>
      </c>
      <c r="Q6" s="11" t="s">
        <v>108</v>
      </c>
      <c r="R6" s="11" t="s">
        <v>73</v>
      </c>
      <c r="S6" s="11" t="s">
        <v>109</v>
      </c>
      <c r="T6" s="11" t="s">
        <v>110</v>
      </c>
      <c r="U6" s="11" t="s">
        <v>111</v>
      </c>
      <c r="V6" s="11" t="s">
        <v>84</v>
      </c>
      <c r="W6" s="11" t="s">
        <v>112</v>
      </c>
      <c r="X6" s="13" t="str">
        <f aca="false">IF(LEFT(H6,1)="-","N","Y")</f>
        <v>Y</v>
      </c>
      <c r="Y6" s="13" t="n">
        <f aca="false">VALUE(LEFT(A6,1))</f>
        <v>1</v>
      </c>
    </row>
    <row r="7" customFormat="false" ht="43.25" hidden="false" customHeight="false" outlineLevel="0" collapsed="false">
      <c r="A7" s="11" t="s">
        <v>113</v>
      </c>
      <c r="B7" s="11" t="s">
        <v>68</v>
      </c>
      <c r="C7" s="11" t="s">
        <v>114</v>
      </c>
      <c r="D7" s="11" t="s">
        <v>70</v>
      </c>
      <c r="E7" s="12" t="s">
        <v>71</v>
      </c>
      <c r="F7" s="11" t="s">
        <v>70</v>
      </c>
      <c r="G7" s="11" t="s">
        <v>101</v>
      </c>
      <c r="H7" s="11" t="s">
        <v>115</v>
      </c>
      <c r="I7" s="11" t="s">
        <v>88</v>
      </c>
      <c r="J7" s="11" t="s">
        <v>75</v>
      </c>
      <c r="K7" s="11" t="s">
        <v>103</v>
      </c>
      <c r="L7" s="12" t="s">
        <v>24</v>
      </c>
      <c r="M7" s="11" t="s">
        <v>116</v>
      </c>
      <c r="N7" s="11" t="s">
        <v>117</v>
      </c>
      <c r="O7" s="11" t="s">
        <v>118</v>
      </c>
      <c r="P7" s="11" t="s">
        <v>107</v>
      </c>
      <c r="Q7" s="11" t="s">
        <v>119</v>
      </c>
      <c r="R7" s="11" t="s">
        <v>73</v>
      </c>
      <c r="S7" s="11" t="s">
        <v>120</v>
      </c>
      <c r="T7" s="11" t="s">
        <v>110</v>
      </c>
      <c r="U7" s="11" t="s">
        <v>111</v>
      </c>
      <c r="V7" s="11" t="s">
        <v>84</v>
      </c>
      <c r="W7" s="11" t="s">
        <v>112</v>
      </c>
      <c r="X7" s="13" t="str">
        <f aca="false">IF(LEFT(H7,1)="-","N","Y")</f>
        <v>Y</v>
      </c>
      <c r="Y7" s="13" t="n">
        <f aca="false">VALUE(LEFT(A7,1))</f>
        <v>1</v>
      </c>
    </row>
    <row r="8" customFormat="false" ht="43.25" hidden="false" customHeight="false" outlineLevel="0" collapsed="false">
      <c r="A8" s="11" t="s">
        <v>121</v>
      </c>
      <c r="B8" s="11" t="s">
        <v>68</v>
      </c>
      <c r="C8" s="11" t="s">
        <v>122</v>
      </c>
      <c r="D8" s="11" t="s">
        <v>123</v>
      </c>
      <c r="E8" s="12" t="s">
        <v>71</v>
      </c>
      <c r="F8" s="11" t="s">
        <v>124</v>
      </c>
      <c r="G8" s="11" t="s">
        <v>72</v>
      </c>
      <c r="H8" s="11" t="s">
        <v>125</v>
      </c>
      <c r="I8" s="11" t="s">
        <v>88</v>
      </c>
      <c r="J8" s="11" t="s">
        <v>75</v>
      </c>
      <c r="K8" s="11" t="s">
        <v>103</v>
      </c>
      <c r="L8" s="12" t="s">
        <v>26</v>
      </c>
      <c r="M8" s="11" t="s">
        <v>126</v>
      </c>
      <c r="N8" s="11" t="s">
        <v>127</v>
      </c>
      <c r="O8" s="11" t="s">
        <v>128</v>
      </c>
      <c r="P8" s="11" t="s">
        <v>107</v>
      </c>
      <c r="Q8" s="11" t="s">
        <v>129</v>
      </c>
      <c r="R8" s="11" t="s">
        <v>130</v>
      </c>
      <c r="S8" s="11" t="s">
        <v>120</v>
      </c>
      <c r="T8" s="11" t="s">
        <v>110</v>
      </c>
      <c r="U8" s="11" t="s">
        <v>111</v>
      </c>
      <c r="V8" s="11" t="s">
        <v>84</v>
      </c>
      <c r="W8" s="11" t="s">
        <v>112</v>
      </c>
      <c r="X8" s="13" t="str">
        <f aca="false">IF(LEFT(H8,1)="-","N","Y")</f>
        <v>Y</v>
      </c>
      <c r="Y8" s="13" t="n">
        <f aca="false">VALUE(LEFT(A8,1))</f>
        <v>1</v>
      </c>
    </row>
    <row r="9" customFormat="false" ht="43.25" hidden="false" customHeight="false" outlineLevel="0" collapsed="false">
      <c r="A9" s="11" t="s">
        <v>131</v>
      </c>
      <c r="B9" s="11" t="s">
        <v>68</v>
      </c>
      <c r="C9" s="11" t="s">
        <v>132</v>
      </c>
      <c r="D9" s="11" t="s">
        <v>70</v>
      </c>
      <c r="E9" s="12" t="s">
        <v>71</v>
      </c>
      <c r="F9" s="11" t="s">
        <v>70</v>
      </c>
      <c r="G9" s="11" t="s">
        <v>72</v>
      </c>
      <c r="H9" s="11" t="s">
        <v>73</v>
      </c>
      <c r="I9" s="11" t="s">
        <v>74</v>
      </c>
      <c r="J9" s="11" t="s">
        <v>75</v>
      </c>
      <c r="K9" s="11" t="s">
        <v>103</v>
      </c>
      <c r="L9" s="12" t="s">
        <v>26</v>
      </c>
      <c r="M9" s="11" t="s">
        <v>133</v>
      </c>
      <c r="N9" s="11" t="s">
        <v>134</v>
      </c>
      <c r="O9" s="11" t="s">
        <v>135</v>
      </c>
      <c r="P9" s="11" t="s">
        <v>107</v>
      </c>
      <c r="Q9" s="11" t="s">
        <v>136</v>
      </c>
      <c r="R9" s="11" t="s">
        <v>130</v>
      </c>
      <c r="S9" s="11" t="s">
        <v>137</v>
      </c>
      <c r="T9" s="11" t="s">
        <v>138</v>
      </c>
      <c r="U9" s="11" t="s">
        <v>111</v>
      </c>
      <c r="V9" s="11" t="s">
        <v>84</v>
      </c>
      <c r="W9" s="11" t="s">
        <v>112</v>
      </c>
      <c r="X9" s="13" t="str">
        <f aca="false">IF(LEFT(H9,1)="-","N","Y")</f>
        <v>N</v>
      </c>
      <c r="Y9" s="13" t="n">
        <f aca="false">VALUE(LEFT(A9,1))</f>
        <v>1</v>
      </c>
    </row>
    <row r="10" customFormat="false" ht="43.25" hidden="false" customHeight="false" outlineLevel="0" collapsed="false">
      <c r="A10" s="11" t="s">
        <v>139</v>
      </c>
      <c r="B10" s="11" t="s">
        <v>68</v>
      </c>
      <c r="C10" s="11" t="s">
        <v>140</v>
      </c>
      <c r="D10" s="11" t="s">
        <v>70</v>
      </c>
      <c r="E10" s="12" t="s">
        <v>71</v>
      </c>
      <c r="F10" s="11" t="s">
        <v>70</v>
      </c>
      <c r="G10" s="11" t="s">
        <v>101</v>
      </c>
      <c r="H10" s="11" t="s">
        <v>141</v>
      </c>
      <c r="I10" s="11" t="s">
        <v>88</v>
      </c>
      <c r="J10" s="11" t="s">
        <v>75</v>
      </c>
      <c r="K10" s="11" t="s">
        <v>142</v>
      </c>
      <c r="L10" s="12" t="s">
        <v>26</v>
      </c>
      <c r="M10" s="11" t="s">
        <v>143</v>
      </c>
      <c r="N10" s="11" t="s">
        <v>144</v>
      </c>
      <c r="O10" s="11" t="s">
        <v>145</v>
      </c>
      <c r="P10" s="11" t="s">
        <v>146</v>
      </c>
      <c r="Q10" s="11" t="s">
        <v>147</v>
      </c>
      <c r="R10" s="11" t="s">
        <v>148</v>
      </c>
      <c r="S10" s="11" t="s">
        <v>149</v>
      </c>
      <c r="T10" s="11" t="s">
        <v>110</v>
      </c>
      <c r="U10" s="11" t="s">
        <v>111</v>
      </c>
      <c r="V10" s="11" t="s">
        <v>150</v>
      </c>
      <c r="W10" s="11" t="s">
        <v>73</v>
      </c>
      <c r="X10" s="13" t="str">
        <f aca="false">IF(LEFT(H10,1)="-","N","Y")</f>
        <v>Y</v>
      </c>
      <c r="Y10" s="13" t="n">
        <f aca="false">VALUE(LEFT(A10,1))</f>
        <v>1</v>
      </c>
    </row>
    <row r="11" customFormat="false" ht="43.25" hidden="false" customHeight="false" outlineLevel="0" collapsed="false">
      <c r="A11" s="11" t="s">
        <v>151</v>
      </c>
      <c r="B11" s="11" t="s">
        <v>68</v>
      </c>
      <c r="C11" s="11" t="s">
        <v>152</v>
      </c>
      <c r="D11" s="11" t="s">
        <v>70</v>
      </c>
      <c r="E11" s="12" t="s">
        <v>71</v>
      </c>
      <c r="F11" s="11" t="s">
        <v>70</v>
      </c>
      <c r="G11" s="11" t="s">
        <v>101</v>
      </c>
      <c r="H11" s="11" t="s">
        <v>153</v>
      </c>
      <c r="I11" s="11" t="s">
        <v>88</v>
      </c>
      <c r="J11" s="11" t="s">
        <v>75</v>
      </c>
      <c r="K11" s="11" t="s">
        <v>142</v>
      </c>
      <c r="L11" s="12" t="s">
        <v>26</v>
      </c>
      <c r="M11" s="11" t="s">
        <v>154</v>
      </c>
      <c r="N11" s="11" t="s">
        <v>155</v>
      </c>
      <c r="O11" s="11" t="s">
        <v>156</v>
      </c>
      <c r="P11" s="11" t="s">
        <v>157</v>
      </c>
      <c r="Q11" s="11" t="s">
        <v>158</v>
      </c>
      <c r="R11" s="11" t="s">
        <v>148</v>
      </c>
      <c r="S11" s="11" t="s">
        <v>159</v>
      </c>
      <c r="T11" s="11" t="s">
        <v>110</v>
      </c>
      <c r="U11" s="11" t="s">
        <v>111</v>
      </c>
      <c r="V11" s="11" t="s">
        <v>150</v>
      </c>
      <c r="W11" s="11" t="s">
        <v>73</v>
      </c>
      <c r="X11" s="13" t="str">
        <f aca="false">IF(LEFT(H11,1)="-","N","Y")</f>
        <v>Y</v>
      </c>
      <c r="Y11" s="13" t="n">
        <f aca="false">VALUE(LEFT(A11,1))</f>
        <v>1</v>
      </c>
    </row>
    <row r="12" customFormat="false" ht="43.25" hidden="false" customHeight="false" outlineLevel="0" collapsed="false">
      <c r="A12" s="11" t="s">
        <v>160</v>
      </c>
      <c r="B12" s="11" t="s">
        <v>68</v>
      </c>
      <c r="C12" s="11" t="s">
        <v>161</v>
      </c>
      <c r="D12" s="11" t="s">
        <v>70</v>
      </c>
      <c r="E12" s="12" t="s">
        <v>71</v>
      </c>
      <c r="F12" s="11" t="s">
        <v>70</v>
      </c>
      <c r="G12" s="11" t="s">
        <v>101</v>
      </c>
      <c r="H12" s="11" t="s">
        <v>162</v>
      </c>
      <c r="I12" s="11" t="s">
        <v>88</v>
      </c>
      <c r="J12" s="11" t="s">
        <v>163</v>
      </c>
      <c r="K12" s="11" t="s">
        <v>164</v>
      </c>
      <c r="L12" s="12" t="s">
        <v>26</v>
      </c>
      <c r="M12" s="11" t="s">
        <v>165</v>
      </c>
      <c r="N12" s="11" t="s">
        <v>166</v>
      </c>
      <c r="O12" s="11" t="s">
        <v>167</v>
      </c>
      <c r="P12" s="11" t="s">
        <v>168</v>
      </c>
      <c r="Q12" s="11" t="s">
        <v>169</v>
      </c>
      <c r="R12" s="11" t="s">
        <v>170</v>
      </c>
      <c r="S12" s="11" t="s">
        <v>171</v>
      </c>
      <c r="T12" s="11" t="s">
        <v>110</v>
      </c>
      <c r="U12" s="11" t="s">
        <v>111</v>
      </c>
      <c r="V12" s="11" t="s">
        <v>150</v>
      </c>
      <c r="W12" s="11" t="s">
        <v>172</v>
      </c>
      <c r="X12" s="13" t="str">
        <f aca="false">IF(LEFT(H12,1)="-","N","Y")</f>
        <v>Y</v>
      </c>
      <c r="Y12" s="13" t="n">
        <f aca="false">VALUE(LEFT(A12,1))</f>
        <v>1</v>
      </c>
    </row>
    <row r="13" customFormat="false" ht="32.8" hidden="false" customHeight="false" outlineLevel="0" collapsed="false">
      <c r="A13" s="11" t="s">
        <v>173</v>
      </c>
      <c r="B13" s="11" t="s">
        <v>68</v>
      </c>
      <c r="C13" s="11" t="s">
        <v>174</v>
      </c>
      <c r="D13" s="11" t="s">
        <v>70</v>
      </c>
      <c r="E13" s="12" t="s">
        <v>71</v>
      </c>
      <c r="F13" s="11" t="s">
        <v>70</v>
      </c>
      <c r="G13" s="11" t="s">
        <v>72</v>
      </c>
      <c r="H13" s="11" t="s">
        <v>73</v>
      </c>
      <c r="I13" s="11" t="s">
        <v>74</v>
      </c>
      <c r="J13" s="11" t="s">
        <v>163</v>
      </c>
      <c r="K13" s="11" t="s">
        <v>175</v>
      </c>
      <c r="L13" s="12" t="s">
        <v>26</v>
      </c>
      <c r="M13" s="11" t="s">
        <v>176</v>
      </c>
      <c r="N13" s="11" t="s">
        <v>177</v>
      </c>
      <c r="O13" s="11" t="s">
        <v>178</v>
      </c>
      <c r="P13" s="11" t="s">
        <v>179</v>
      </c>
      <c r="Q13" s="11" t="s">
        <v>180</v>
      </c>
      <c r="R13" s="11" t="s">
        <v>181</v>
      </c>
      <c r="S13" s="11" t="s">
        <v>182</v>
      </c>
      <c r="T13" s="11" t="s">
        <v>183</v>
      </c>
      <c r="U13" s="11" t="s">
        <v>111</v>
      </c>
      <c r="V13" s="11" t="s">
        <v>184</v>
      </c>
      <c r="W13" s="11" t="s">
        <v>172</v>
      </c>
      <c r="X13" s="13" t="str">
        <f aca="false">IF(LEFT(H13,1)="-","N","Y")</f>
        <v>N</v>
      </c>
      <c r="Y13" s="13" t="n">
        <f aca="false">VALUE(LEFT(A13,1))</f>
        <v>1</v>
      </c>
    </row>
    <row r="14" customFormat="false" ht="43.25" hidden="false" customHeight="false" outlineLevel="0" collapsed="false">
      <c r="A14" s="11" t="s">
        <v>185</v>
      </c>
      <c r="B14" s="11" t="s">
        <v>68</v>
      </c>
      <c r="C14" s="11" t="s">
        <v>186</v>
      </c>
      <c r="D14" s="11" t="s">
        <v>70</v>
      </c>
      <c r="E14" s="12" t="s">
        <v>71</v>
      </c>
      <c r="F14" s="11" t="s">
        <v>70</v>
      </c>
      <c r="G14" s="11" t="s">
        <v>101</v>
      </c>
      <c r="H14" s="11" t="s">
        <v>187</v>
      </c>
      <c r="I14" s="11" t="s">
        <v>88</v>
      </c>
      <c r="J14" s="11" t="s">
        <v>163</v>
      </c>
      <c r="K14" s="11" t="s">
        <v>175</v>
      </c>
      <c r="L14" s="12" t="s">
        <v>26</v>
      </c>
      <c r="M14" s="11" t="s">
        <v>188</v>
      </c>
      <c r="N14" s="11" t="s">
        <v>189</v>
      </c>
      <c r="O14" s="11" t="s">
        <v>190</v>
      </c>
      <c r="P14" s="11" t="s">
        <v>191</v>
      </c>
      <c r="Q14" s="11" t="s">
        <v>192</v>
      </c>
      <c r="R14" s="11" t="s">
        <v>181</v>
      </c>
      <c r="S14" s="11" t="s">
        <v>193</v>
      </c>
      <c r="T14" s="11" t="s">
        <v>194</v>
      </c>
      <c r="U14" s="11" t="s">
        <v>111</v>
      </c>
      <c r="V14" s="11" t="s">
        <v>195</v>
      </c>
      <c r="W14" s="11" t="s">
        <v>172</v>
      </c>
      <c r="X14" s="13" t="str">
        <f aca="false">IF(LEFT(H14,1)="-","N","Y")</f>
        <v>Y</v>
      </c>
      <c r="Y14" s="13" t="n">
        <f aca="false">VALUE(LEFT(A14,1))</f>
        <v>1</v>
      </c>
    </row>
    <row r="15" customFormat="false" ht="32.8" hidden="false" customHeight="false" outlineLevel="0" collapsed="false">
      <c r="A15" s="11" t="s">
        <v>196</v>
      </c>
      <c r="B15" s="11" t="s">
        <v>68</v>
      </c>
      <c r="C15" s="11" t="s">
        <v>197</v>
      </c>
      <c r="D15" s="11" t="s">
        <v>70</v>
      </c>
      <c r="E15" s="12" t="s">
        <v>71</v>
      </c>
      <c r="F15" s="11" t="s">
        <v>70</v>
      </c>
      <c r="G15" s="11" t="s">
        <v>101</v>
      </c>
      <c r="H15" s="11" t="s">
        <v>73</v>
      </c>
      <c r="I15" s="11" t="s">
        <v>198</v>
      </c>
      <c r="J15" s="11" t="s">
        <v>163</v>
      </c>
      <c r="K15" s="11" t="s">
        <v>175</v>
      </c>
      <c r="L15" s="12" t="s">
        <v>24</v>
      </c>
      <c r="M15" s="11" t="s">
        <v>199</v>
      </c>
      <c r="N15" s="11" t="s">
        <v>200</v>
      </c>
      <c r="O15" s="11" t="s">
        <v>201</v>
      </c>
      <c r="P15" s="11" t="s">
        <v>73</v>
      </c>
      <c r="Q15" s="11" t="s">
        <v>202</v>
      </c>
      <c r="R15" s="11" t="s">
        <v>73</v>
      </c>
      <c r="S15" s="11" t="s">
        <v>159</v>
      </c>
      <c r="T15" s="11" t="s">
        <v>110</v>
      </c>
      <c r="U15" s="11" t="s">
        <v>111</v>
      </c>
      <c r="V15" s="11" t="s">
        <v>84</v>
      </c>
      <c r="W15" s="11" t="s">
        <v>172</v>
      </c>
      <c r="X15" s="13" t="str">
        <f aca="false">IF(LEFT(H15,1)="-","N","Y")</f>
        <v>N</v>
      </c>
      <c r="Y15" s="13" t="n">
        <f aca="false">VALUE(LEFT(A15,1))</f>
        <v>1</v>
      </c>
    </row>
    <row r="16" customFormat="false" ht="43.25" hidden="false" customHeight="false" outlineLevel="0" collapsed="false">
      <c r="A16" s="11" t="s">
        <v>203</v>
      </c>
      <c r="B16" s="11" t="s">
        <v>68</v>
      </c>
      <c r="C16" s="11" t="s">
        <v>204</v>
      </c>
      <c r="D16" s="11" t="s">
        <v>70</v>
      </c>
      <c r="E16" s="12" t="s">
        <v>71</v>
      </c>
      <c r="F16" s="11" t="s">
        <v>70</v>
      </c>
      <c r="G16" s="11" t="s">
        <v>101</v>
      </c>
      <c r="H16" s="11" t="s">
        <v>205</v>
      </c>
      <c r="I16" s="11" t="s">
        <v>88</v>
      </c>
      <c r="J16" s="11" t="s">
        <v>163</v>
      </c>
      <c r="K16" s="11" t="s">
        <v>206</v>
      </c>
      <c r="L16" s="12" t="s">
        <v>26</v>
      </c>
      <c r="M16" s="11" t="s">
        <v>207</v>
      </c>
      <c r="N16" s="11" t="s">
        <v>208</v>
      </c>
      <c r="O16" s="11" t="s">
        <v>209</v>
      </c>
      <c r="P16" s="11" t="s">
        <v>210</v>
      </c>
      <c r="Q16" s="11" t="s">
        <v>211</v>
      </c>
      <c r="R16" s="11" t="s">
        <v>212</v>
      </c>
      <c r="S16" s="11" t="s">
        <v>159</v>
      </c>
      <c r="T16" s="11" t="s">
        <v>110</v>
      </c>
      <c r="U16" s="11" t="s">
        <v>111</v>
      </c>
      <c r="V16" s="11" t="s">
        <v>213</v>
      </c>
      <c r="W16" s="11" t="s">
        <v>172</v>
      </c>
      <c r="X16" s="13" t="str">
        <f aca="false">IF(LEFT(H16,1)="-","N","Y")</f>
        <v>Y</v>
      </c>
      <c r="Y16" s="13" t="n">
        <f aca="false">VALUE(LEFT(A16,1))</f>
        <v>1</v>
      </c>
    </row>
    <row r="17" customFormat="false" ht="43.25" hidden="false" customHeight="false" outlineLevel="0" collapsed="false">
      <c r="A17" s="11" t="s">
        <v>214</v>
      </c>
      <c r="B17" s="11" t="s">
        <v>68</v>
      </c>
      <c r="C17" s="11" t="s">
        <v>215</v>
      </c>
      <c r="D17" s="11" t="s">
        <v>70</v>
      </c>
      <c r="E17" s="12" t="s">
        <v>71</v>
      </c>
      <c r="F17" s="11" t="s">
        <v>70</v>
      </c>
      <c r="G17" s="11" t="s">
        <v>101</v>
      </c>
      <c r="H17" s="11" t="s">
        <v>216</v>
      </c>
      <c r="I17" s="11" t="s">
        <v>88</v>
      </c>
      <c r="J17" s="11" t="s">
        <v>163</v>
      </c>
      <c r="K17" s="11" t="s">
        <v>217</v>
      </c>
      <c r="L17" s="12" t="s">
        <v>26</v>
      </c>
      <c r="M17" s="11" t="s">
        <v>218</v>
      </c>
      <c r="N17" s="11" t="s">
        <v>219</v>
      </c>
      <c r="O17" s="11" t="s">
        <v>220</v>
      </c>
      <c r="P17" s="11" t="s">
        <v>221</v>
      </c>
      <c r="Q17" s="11" t="s">
        <v>222</v>
      </c>
      <c r="R17" s="11" t="s">
        <v>223</v>
      </c>
      <c r="S17" s="11" t="s">
        <v>224</v>
      </c>
      <c r="T17" s="11" t="s">
        <v>225</v>
      </c>
      <c r="U17" s="11" t="s">
        <v>111</v>
      </c>
      <c r="V17" s="11" t="s">
        <v>84</v>
      </c>
      <c r="W17" s="11" t="s">
        <v>172</v>
      </c>
      <c r="X17" s="13" t="str">
        <f aca="false">IF(LEFT(H17,1)="-","N","Y")</f>
        <v>Y</v>
      </c>
      <c r="Y17" s="13" t="n">
        <f aca="false">VALUE(LEFT(A17,1))</f>
        <v>1</v>
      </c>
    </row>
    <row r="18" customFormat="false" ht="32.8" hidden="false" customHeight="false" outlineLevel="0" collapsed="false">
      <c r="A18" s="11" t="s">
        <v>226</v>
      </c>
      <c r="B18" s="11" t="s">
        <v>68</v>
      </c>
      <c r="C18" s="11" t="s">
        <v>227</v>
      </c>
      <c r="D18" s="11" t="s">
        <v>70</v>
      </c>
      <c r="E18" s="12" t="s">
        <v>71</v>
      </c>
      <c r="F18" s="11" t="s">
        <v>70</v>
      </c>
      <c r="G18" s="11" t="s">
        <v>101</v>
      </c>
      <c r="H18" s="11" t="s">
        <v>73</v>
      </c>
      <c r="I18" s="11" t="s">
        <v>198</v>
      </c>
      <c r="J18" s="11" t="s">
        <v>163</v>
      </c>
      <c r="K18" s="11" t="s">
        <v>228</v>
      </c>
      <c r="L18" s="12" t="s">
        <v>26</v>
      </c>
      <c r="M18" s="11" t="s">
        <v>229</v>
      </c>
      <c r="N18" s="11" t="s">
        <v>230</v>
      </c>
      <c r="O18" s="11" t="s">
        <v>231</v>
      </c>
      <c r="P18" s="11" t="s">
        <v>232</v>
      </c>
      <c r="Q18" s="11" t="s">
        <v>233</v>
      </c>
      <c r="R18" s="11" t="s">
        <v>223</v>
      </c>
      <c r="S18" s="11" t="s">
        <v>234</v>
      </c>
      <c r="T18" s="11" t="s">
        <v>225</v>
      </c>
      <c r="U18" s="11" t="s">
        <v>111</v>
      </c>
      <c r="V18" s="11" t="s">
        <v>184</v>
      </c>
      <c r="W18" s="11" t="s">
        <v>172</v>
      </c>
      <c r="X18" s="13" t="str">
        <f aca="false">IF(LEFT(H18,1)="-","N","Y")</f>
        <v>N</v>
      </c>
      <c r="Y18" s="13" t="n">
        <f aca="false">VALUE(LEFT(A18,1))</f>
        <v>1</v>
      </c>
    </row>
    <row r="19" customFormat="false" ht="43.25" hidden="false" customHeight="false" outlineLevel="0" collapsed="false">
      <c r="A19" s="11" t="s">
        <v>235</v>
      </c>
      <c r="B19" s="11" t="s">
        <v>68</v>
      </c>
      <c r="C19" s="11" t="s">
        <v>236</v>
      </c>
      <c r="D19" s="11" t="s">
        <v>70</v>
      </c>
      <c r="E19" s="12" t="s">
        <v>71</v>
      </c>
      <c r="F19" s="11" t="s">
        <v>70</v>
      </c>
      <c r="G19" s="11" t="s">
        <v>101</v>
      </c>
      <c r="H19" s="11" t="s">
        <v>237</v>
      </c>
      <c r="I19" s="11" t="s">
        <v>88</v>
      </c>
      <c r="J19" s="11" t="s">
        <v>75</v>
      </c>
      <c r="K19" s="11" t="s">
        <v>238</v>
      </c>
      <c r="L19" s="12" t="s">
        <v>26</v>
      </c>
      <c r="M19" s="11" t="s">
        <v>239</v>
      </c>
      <c r="N19" s="11" t="s">
        <v>240</v>
      </c>
      <c r="O19" s="11" t="s">
        <v>241</v>
      </c>
      <c r="P19" s="11" t="s">
        <v>242</v>
      </c>
      <c r="Q19" s="11" t="s">
        <v>243</v>
      </c>
      <c r="R19" s="11" t="s">
        <v>95</v>
      </c>
      <c r="S19" s="11" t="s">
        <v>244</v>
      </c>
      <c r="T19" s="11" t="s">
        <v>245</v>
      </c>
      <c r="U19" s="11" t="s">
        <v>246</v>
      </c>
      <c r="V19" s="11" t="s">
        <v>247</v>
      </c>
      <c r="W19" s="11" t="s">
        <v>73</v>
      </c>
      <c r="X19" s="13" t="str">
        <f aca="false">IF(LEFT(H19,1)="-","N","Y")</f>
        <v>Y</v>
      </c>
      <c r="Y19" s="13" t="n">
        <f aca="false">VALUE(LEFT(A19,1))</f>
        <v>1</v>
      </c>
    </row>
    <row r="20" customFormat="false" ht="32.8" hidden="false" customHeight="false" outlineLevel="0" collapsed="false">
      <c r="A20" s="11" t="s">
        <v>248</v>
      </c>
      <c r="B20" s="11" t="s">
        <v>68</v>
      </c>
      <c r="C20" s="11" t="s">
        <v>249</v>
      </c>
      <c r="D20" s="11" t="s">
        <v>123</v>
      </c>
      <c r="E20" s="12" t="s">
        <v>250</v>
      </c>
      <c r="F20" s="11" t="s">
        <v>251</v>
      </c>
      <c r="G20" s="11" t="s">
        <v>101</v>
      </c>
      <c r="H20" s="11" t="s">
        <v>73</v>
      </c>
      <c r="I20" s="11" t="s">
        <v>198</v>
      </c>
      <c r="J20" s="11" t="s">
        <v>163</v>
      </c>
      <c r="K20" s="11" t="s">
        <v>252</v>
      </c>
      <c r="L20" s="12" t="s">
        <v>24</v>
      </c>
      <c r="M20" s="11" t="s">
        <v>253</v>
      </c>
      <c r="N20" s="11" t="s">
        <v>254</v>
      </c>
      <c r="O20" s="11" t="s">
        <v>255</v>
      </c>
      <c r="P20" s="11" t="s">
        <v>73</v>
      </c>
      <c r="Q20" s="11" t="s">
        <v>256</v>
      </c>
      <c r="R20" s="11" t="s">
        <v>73</v>
      </c>
      <c r="S20" s="11" t="s">
        <v>257</v>
      </c>
      <c r="T20" s="11" t="s">
        <v>110</v>
      </c>
      <c r="U20" s="11" t="s">
        <v>111</v>
      </c>
      <c r="V20" s="11" t="s">
        <v>84</v>
      </c>
      <c r="W20" s="11" t="s">
        <v>172</v>
      </c>
      <c r="X20" s="13" t="str">
        <f aca="false">IF(LEFT(H20,1)="-","N","Y")</f>
        <v>N</v>
      </c>
      <c r="Y20" s="13" t="n">
        <f aca="false">VALUE(LEFT(A20,1))</f>
        <v>1</v>
      </c>
    </row>
    <row r="21" customFormat="false" ht="43.25" hidden="false" customHeight="false" outlineLevel="0" collapsed="false">
      <c r="A21" s="11" t="s">
        <v>258</v>
      </c>
      <c r="B21" s="11" t="s">
        <v>68</v>
      </c>
      <c r="C21" s="11" t="s">
        <v>259</v>
      </c>
      <c r="D21" s="11" t="s">
        <v>70</v>
      </c>
      <c r="E21" s="12" t="s">
        <v>71</v>
      </c>
      <c r="F21" s="11" t="s">
        <v>70</v>
      </c>
      <c r="G21" s="11" t="s">
        <v>101</v>
      </c>
      <c r="H21" s="11" t="s">
        <v>260</v>
      </c>
      <c r="I21" s="11" t="s">
        <v>88</v>
      </c>
      <c r="J21" s="11" t="s">
        <v>163</v>
      </c>
      <c r="K21" s="11" t="s">
        <v>261</v>
      </c>
      <c r="L21" s="12" t="s">
        <v>24</v>
      </c>
      <c r="M21" s="11" t="s">
        <v>262</v>
      </c>
      <c r="N21" s="11" t="s">
        <v>263</v>
      </c>
      <c r="O21" s="11" t="s">
        <v>264</v>
      </c>
      <c r="P21" s="11" t="s">
        <v>73</v>
      </c>
      <c r="Q21" s="11" t="s">
        <v>202</v>
      </c>
      <c r="R21" s="11" t="s">
        <v>73</v>
      </c>
      <c r="S21" s="11" t="s">
        <v>265</v>
      </c>
      <c r="T21" s="11" t="s">
        <v>266</v>
      </c>
      <c r="U21" s="11" t="s">
        <v>267</v>
      </c>
      <c r="V21" s="11" t="s">
        <v>268</v>
      </c>
      <c r="W21" s="11" t="s">
        <v>269</v>
      </c>
      <c r="X21" s="13" t="str">
        <f aca="false">IF(LEFT(H21,1)="-","N","Y")</f>
        <v>Y</v>
      </c>
      <c r="Y21" s="13" t="n">
        <f aca="false">VALUE(LEFT(A21,1))</f>
        <v>1</v>
      </c>
    </row>
    <row r="22" customFormat="false" ht="43.25" hidden="false" customHeight="false" outlineLevel="0" collapsed="false">
      <c r="A22" s="11" t="s">
        <v>270</v>
      </c>
      <c r="B22" s="11" t="s">
        <v>68</v>
      </c>
      <c r="C22" s="11" t="s">
        <v>271</v>
      </c>
      <c r="D22" s="11" t="s">
        <v>70</v>
      </c>
      <c r="E22" s="12" t="s">
        <v>71</v>
      </c>
      <c r="F22" s="11" t="s">
        <v>70</v>
      </c>
      <c r="G22" s="11" t="s">
        <v>101</v>
      </c>
      <c r="H22" s="11" t="s">
        <v>272</v>
      </c>
      <c r="I22" s="11" t="s">
        <v>88</v>
      </c>
      <c r="J22" s="11" t="s">
        <v>273</v>
      </c>
      <c r="K22" s="11" t="s">
        <v>274</v>
      </c>
      <c r="L22" s="12" t="s">
        <v>26</v>
      </c>
      <c r="M22" s="11" t="s">
        <v>275</v>
      </c>
      <c r="N22" s="11" t="s">
        <v>276</v>
      </c>
      <c r="O22" s="11" t="s">
        <v>277</v>
      </c>
      <c r="P22" s="11" t="s">
        <v>278</v>
      </c>
      <c r="Q22" s="11" t="s">
        <v>279</v>
      </c>
      <c r="R22" s="11" t="s">
        <v>280</v>
      </c>
      <c r="S22" s="11" t="s">
        <v>281</v>
      </c>
      <c r="T22" s="11" t="s">
        <v>138</v>
      </c>
      <c r="U22" s="11" t="s">
        <v>282</v>
      </c>
      <c r="V22" s="11" t="s">
        <v>283</v>
      </c>
      <c r="W22" s="11" t="s">
        <v>172</v>
      </c>
      <c r="X22" s="13" t="str">
        <f aca="false">IF(LEFT(H22,1)="-","N","Y")</f>
        <v>Y</v>
      </c>
      <c r="Y22" s="13" t="n">
        <f aca="false">VALUE(LEFT(A22,1))</f>
        <v>1</v>
      </c>
    </row>
    <row r="23" customFormat="false" ht="43.25" hidden="false" customHeight="false" outlineLevel="0" collapsed="false">
      <c r="A23" s="11" t="s">
        <v>284</v>
      </c>
      <c r="B23" s="11" t="s">
        <v>68</v>
      </c>
      <c r="C23" s="11" t="s">
        <v>285</v>
      </c>
      <c r="D23" s="11" t="s">
        <v>123</v>
      </c>
      <c r="E23" s="12" t="s">
        <v>250</v>
      </c>
      <c r="F23" s="11" t="s">
        <v>251</v>
      </c>
      <c r="G23" s="11" t="s">
        <v>72</v>
      </c>
      <c r="H23" s="11" t="s">
        <v>73</v>
      </c>
      <c r="I23" s="11" t="s">
        <v>74</v>
      </c>
      <c r="J23" s="11" t="s">
        <v>75</v>
      </c>
      <c r="K23" s="11" t="s">
        <v>286</v>
      </c>
      <c r="L23" s="12" t="s">
        <v>26</v>
      </c>
      <c r="M23" s="11" t="s">
        <v>287</v>
      </c>
      <c r="N23" s="11" t="s">
        <v>288</v>
      </c>
      <c r="O23" s="11" t="s">
        <v>289</v>
      </c>
      <c r="P23" s="11" t="s">
        <v>290</v>
      </c>
      <c r="Q23" s="11" t="s">
        <v>291</v>
      </c>
      <c r="R23" s="11" t="s">
        <v>223</v>
      </c>
      <c r="S23" s="11" t="s">
        <v>292</v>
      </c>
      <c r="T23" s="11" t="s">
        <v>293</v>
      </c>
      <c r="U23" s="11" t="s">
        <v>111</v>
      </c>
      <c r="V23" s="11" t="s">
        <v>294</v>
      </c>
      <c r="W23" s="11" t="s">
        <v>172</v>
      </c>
      <c r="X23" s="13" t="str">
        <f aca="false">IF(LEFT(H23,1)="-","N","Y")</f>
        <v>N</v>
      </c>
      <c r="Y23" s="13" t="n">
        <f aca="false">VALUE(LEFT(A23,1))</f>
        <v>1</v>
      </c>
    </row>
    <row r="24" customFormat="false" ht="43.25" hidden="false" customHeight="false" outlineLevel="0" collapsed="false">
      <c r="A24" s="11" t="s">
        <v>295</v>
      </c>
      <c r="B24" s="11" t="s">
        <v>68</v>
      </c>
      <c r="C24" s="11" t="s">
        <v>296</v>
      </c>
      <c r="D24" s="11" t="s">
        <v>70</v>
      </c>
      <c r="E24" s="12" t="s">
        <v>71</v>
      </c>
      <c r="F24" s="11" t="s">
        <v>70</v>
      </c>
      <c r="G24" s="11" t="s">
        <v>72</v>
      </c>
      <c r="H24" s="11" t="s">
        <v>297</v>
      </c>
      <c r="I24" s="11" t="s">
        <v>88</v>
      </c>
      <c r="J24" s="11" t="s">
        <v>163</v>
      </c>
      <c r="K24" s="11" t="s">
        <v>298</v>
      </c>
      <c r="L24" s="12" t="s">
        <v>24</v>
      </c>
      <c r="M24" s="11" t="s">
        <v>299</v>
      </c>
      <c r="N24" s="11" t="s">
        <v>300</v>
      </c>
      <c r="O24" s="11" t="s">
        <v>301</v>
      </c>
      <c r="P24" s="11" t="s">
        <v>73</v>
      </c>
      <c r="Q24" s="11" t="s">
        <v>202</v>
      </c>
      <c r="R24" s="11" t="s">
        <v>73</v>
      </c>
      <c r="S24" s="11" t="s">
        <v>137</v>
      </c>
      <c r="T24" s="11" t="s">
        <v>225</v>
      </c>
      <c r="U24" s="11" t="s">
        <v>111</v>
      </c>
      <c r="V24" s="11" t="s">
        <v>302</v>
      </c>
      <c r="W24" s="11" t="s">
        <v>172</v>
      </c>
      <c r="X24" s="13" t="str">
        <f aca="false">IF(LEFT(H24,1)="-","N","Y")</f>
        <v>Y</v>
      </c>
      <c r="Y24" s="13" t="n">
        <f aca="false">VALUE(LEFT(A24,1))</f>
        <v>1</v>
      </c>
    </row>
    <row r="25" customFormat="false" ht="43.25" hidden="false" customHeight="false" outlineLevel="0" collapsed="false">
      <c r="A25" s="11" t="s">
        <v>303</v>
      </c>
      <c r="B25" s="11" t="s">
        <v>304</v>
      </c>
      <c r="C25" s="11" t="s">
        <v>305</v>
      </c>
      <c r="D25" s="11" t="s">
        <v>123</v>
      </c>
      <c r="E25" s="12" t="s">
        <v>250</v>
      </c>
      <c r="F25" s="11" t="s">
        <v>251</v>
      </c>
      <c r="G25" s="11" t="s">
        <v>101</v>
      </c>
      <c r="H25" s="11" t="s">
        <v>306</v>
      </c>
      <c r="I25" s="11" t="s">
        <v>88</v>
      </c>
      <c r="J25" s="11" t="s">
        <v>163</v>
      </c>
      <c r="K25" s="11" t="s">
        <v>307</v>
      </c>
      <c r="L25" s="12" t="s">
        <v>26</v>
      </c>
      <c r="M25" s="11" t="s">
        <v>308</v>
      </c>
      <c r="N25" s="11" t="s">
        <v>309</v>
      </c>
      <c r="O25" s="11" t="s">
        <v>310</v>
      </c>
      <c r="P25" s="11" t="s">
        <v>311</v>
      </c>
      <c r="Q25" s="11" t="s">
        <v>312</v>
      </c>
      <c r="R25" s="11" t="s">
        <v>313</v>
      </c>
      <c r="S25" s="11" t="s">
        <v>314</v>
      </c>
      <c r="T25" s="11" t="s">
        <v>266</v>
      </c>
      <c r="U25" s="11" t="s">
        <v>267</v>
      </c>
      <c r="V25" s="11" t="s">
        <v>84</v>
      </c>
      <c r="W25" s="11" t="s">
        <v>269</v>
      </c>
      <c r="X25" s="13" t="str">
        <f aca="false">IF(LEFT(H25,1)="-","N","Y")</f>
        <v>Y</v>
      </c>
      <c r="Y25" s="13" t="n">
        <f aca="false">VALUE(LEFT(A25,1))</f>
        <v>2</v>
      </c>
    </row>
    <row r="26" customFormat="false" ht="43.25" hidden="false" customHeight="false" outlineLevel="0" collapsed="false">
      <c r="A26" s="11" t="s">
        <v>315</v>
      </c>
      <c r="B26" s="11" t="s">
        <v>304</v>
      </c>
      <c r="C26" s="11" t="s">
        <v>316</v>
      </c>
      <c r="D26" s="11" t="s">
        <v>123</v>
      </c>
      <c r="E26" s="12" t="s">
        <v>250</v>
      </c>
      <c r="F26" s="11" t="s">
        <v>251</v>
      </c>
      <c r="G26" s="11" t="s">
        <v>72</v>
      </c>
      <c r="H26" s="11" t="s">
        <v>317</v>
      </c>
      <c r="I26" s="11" t="s">
        <v>88</v>
      </c>
      <c r="J26" s="11" t="s">
        <v>163</v>
      </c>
      <c r="K26" s="11" t="s">
        <v>318</v>
      </c>
      <c r="L26" s="12" t="s">
        <v>26</v>
      </c>
      <c r="M26" s="11" t="s">
        <v>319</v>
      </c>
      <c r="N26" s="11" t="s">
        <v>320</v>
      </c>
      <c r="O26" s="11" t="s">
        <v>321</v>
      </c>
      <c r="P26" s="11" t="s">
        <v>73</v>
      </c>
      <c r="Q26" s="11" t="s">
        <v>322</v>
      </c>
      <c r="R26" s="11" t="s">
        <v>313</v>
      </c>
      <c r="S26" s="11" t="s">
        <v>323</v>
      </c>
      <c r="T26" s="11" t="s">
        <v>110</v>
      </c>
      <c r="U26" s="11" t="s">
        <v>267</v>
      </c>
      <c r="V26" s="11" t="s">
        <v>324</v>
      </c>
      <c r="W26" s="11" t="s">
        <v>73</v>
      </c>
      <c r="X26" s="13" t="str">
        <f aca="false">IF(LEFT(H26,1)="-","N","Y")</f>
        <v>Y</v>
      </c>
      <c r="Y26" s="13" t="n">
        <f aca="false">VALUE(LEFT(A26,1))</f>
        <v>2</v>
      </c>
    </row>
    <row r="27" customFormat="false" ht="32.8" hidden="false" customHeight="false" outlineLevel="0" collapsed="false">
      <c r="A27" s="11" t="s">
        <v>325</v>
      </c>
      <c r="B27" s="11" t="s">
        <v>304</v>
      </c>
      <c r="C27" s="11" t="s">
        <v>326</v>
      </c>
      <c r="D27" s="11" t="s">
        <v>123</v>
      </c>
      <c r="E27" s="12" t="s">
        <v>250</v>
      </c>
      <c r="F27" s="11" t="s">
        <v>251</v>
      </c>
      <c r="G27" s="11" t="s">
        <v>72</v>
      </c>
      <c r="H27" s="11" t="s">
        <v>73</v>
      </c>
      <c r="I27" s="11" t="s">
        <v>74</v>
      </c>
      <c r="J27" s="11" t="s">
        <v>163</v>
      </c>
      <c r="K27" s="11" t="s">
        <v>307</v>
      </c>
      <c r="L27" s="12" t="s">
        <v>26</v>
      </c>
      <c r="M27" s="11" t="s">
        <v>327</v>
      </c>
      <c r="N27" s="11" t="s">
        <v>328</v>
      </c>
      <c r="O27" s="11" t="s">
        <v>329</v>
      </c>
      <c r="P27" s="11" t="s">
        <v>330</v>
      </c>
      <c r="Q27" s="11" t="s">
        <v>331</v>
      </c>
      <c r="R27" s="11" t="s">
        <v>332</v>
      </c>
      <c r="S27" s="11" t="s">
        <v>333</v>
      </c>
      <c r="T27" s="11" t="s">
        <v>334</v>
      </c>
      <c r="U27" s="11" t="s">
        <v>335</v>
      </c>
      <c r="V27" s="11" t="s">
        <v>184</v>
      </c>
      <c r="W27" s="11" t="s">
        <v>269</v>
      </c>
      <c r="X27" s="13" t="str">
        <f aca="false">IF(LEFT(H27,1)="-","N","Y")</f>
        <v>N</v>
      </c>
      <c r="Y27" s="13" t="n">
        <f aca="false">VALUE(LEFT(A27,1))</f>
        <v>2</v>
      </c>
    </row>
    <row r="28" customFormat="false" ht="53.7" hidden="false" customHeight="false" outlineLevel="0" collapsed="false">
      <c r="A28" s="11" t="s">
        <v>336</v>
      </c>
      <c r="B28" s="11" t="s">
        <v>304</v>
      </c>
      <c r="C28" s="11" t="s">
        <v>337</v>
      </c>
      <c r="D28" s="11" t="s">
        <v>70</v>
      </c>
      <c r="E28" s="12" t="s">
        <v>71</v>
      </c>
      <c r="F28" s="11" t="s">
        <v>70</v>
      </c>
      <c r="G28" s="11" t="s">
        <v>101</v>
      </c>
      <c r="H28" s="11" t="s">
        <v>338</v>
      </c>
      <c r="I28" s="11" t="s">
        <v>88</v>
      </c>
      <c r="J28" s="11" t="s">
        <v>163</v>
      </c>
      <c r="K28" s="11" t="s">
        <v>339</v>
      </c>
      <c r="L28" s="12" t="s">
        <v>26</v>
      </c>
      <c r="M28" s="11" t="s">
        <v>340</v>
      </c>
      <c r="N28" s="11" t="s">
        <v>341</v>
      </c>
      <c r="O28" s="11" t="s">
        <v>342</v>
      </c>
      <c r="P28" s="11" t="s">
        <v>343</v>
      </c>
      <c r="Q28" s="11" t="s">
        <v>344</v>
      </c>
      <c r="R28" s="11" t="s">
        <v>345</v>
      </c>
      <c r="S28" s="11" t="s">
        <v>346</v>
      </c>
      <c r="T28" s="11" t="s">
        <v>347</v>
      </c>
      <c r="U28" s="11" t="s">
        <v>348</v>
      </c>
      <c r="V28" s="11" t="s">
        <v>84</v>
      </c>
      <c r="W28" s="11" t="s">
        <v>73</v>
      </c>
      <c r="X28" s="13" t="str">
        <f aca="false">IF(LEFT(H28,1)="-","N","Y")</f>
        <v>Y</v>
      </c>
      <c r="Y28" s="13" t="n">
        <f aca="false">VALUE(LEFT(A28,1))</f>
        <v>2</v>
      </c>
    </row>
    <row r="29" customFormat="false" ht="43.25" hidden="false" customHeight="false" outlineLevel="0" collapsed="false">
      <c r="A29" s="11" t="s">
        <v>349</v>
      </c>
      <c r="B29" s="11" t="s">
        <v>350</v>
      </c>
      <c r="C29" s="11" t="s">
        <v>351</v>
      </c>
      <c r="D29" s="11" t="s">
        <v>70</v>
      </c>
      <c r="E29" s="12" t="s">
        <v>71</v>
      </c>
      <c r="F29" s="11" t="s">
        <v>70</v>
      </c>
      <c r="G29" s="11" t="s">
        <v>101</v>
      </c>
      <c r="H29" s="11" t="s">
        <v>352</v>
      </c>
      <c r="I29" s="11" t="s">
        <v>88</v>
      </c>
      <c r="J29" s="11" t="s">
        <v>163</v>
      </c>
      <c r="K29" s="11" t="s">
        <v>353</v>
      </c>
      <c r="L29" s="12" t="s">
        <v>24</v>
      </c>
      <c r="M29" s="11" t="s">
        <v>354</v>
      </c>
      <c r="N29" s="11" t="s">
        <v>355</v>
      </c>
      <c r="O29" s="11" t="s">
        <v>356</v>
      </c>
      <c r="P29" s="11" t="s">
        <v>357</v>
      </c>
      <c r="Q29" s="11" t="s">
        <v>358</v>
      </c>
      <c r="R29" s="11" t="s">
        <v>73</v>
      </c>
      <c r="S29" s="11" t="s">
        <v>265</v>
      </c>
      <c r="T29" s="11" t="s">
        <v>110</v>
      </c>
      <c r="U29" s="11" t="s">
        <v>267</v>
      </c>
      <c r="V29" s="11" t="s">
        <v>359</v>
      </c>
      <c r="W29" s="11" t="s">
        <v>269</v>
      </c>
      <c r="X29" s="13" t="str">
        <f aca="false">IF(LEFT(H29,1)="-","N","Y")</f>
        <v>Y</v>
      </c>
      <c r="Y29" s="13" t="n">
        <f aca="false">VALUE(LEFT(A29,1))</f>
        <v>2</v>
      </c>
    </row>
    <row r="30" customFormat="false" ht="43.25" hidden="false" customHeight="false" outlineLevel="0" collapsed="false">
      <c r="A30" s="11" t="s">
        <v>360</v>
      </c>
      <c r="B30" s="11" t="s">
        <v>350</v>
      </c>
      <c r="C30" s="11" t="s">
        <v>361</v>
      </c>
      <c r="D30" s="11" t="s">
        <v>70</v>
      </c>
      <c r="E30" s="12" t="s">
        <v>71</v>
      </c>
      <c r="F30" s="11" t="s">
        <v>70</v>
      </c>
      <c r="G30" s="11" t="s">
        <v>101</v>
      </c>
      <c r="H30" s="11" t="s">
        <v>362</v>
      </c>
      <c r="I30" s="11" t="s">
        <v>88</v>
      </c>
      <c r="J30" s="11" t="s">
        <v>163</v>
      </c>
      <c r="K30" s="11" t="s">
        <v>353</v>
      </c>
      <c r="L30" s="12" t="s">
        <v>26</v>
      </c>
      <c r="M30" s="11" t="s">
        <v>363</v>
      </c>
      <c r="N30" s="11" t="s">
        <v>364</v>
      </c>
      <c r="O30" s="11" t="s">
        <v>365</v>
      </c>
      <c r="P30" s="11" t="s">
        <v>366</v>
      </c>
      <c r="Q30" s="11" t="s">
        <v>367</v>
      </c>
      <c r="R30" s="11" t="s">
        <v>368</v>
      </c>
      <c r="S30" s="11" t="s">
        <v>369</v>
      </c>
      <c r="T30" s="11" t="s">
        <v>370</v>
      </c>
      <c r="U30" s="11" t="s">
        <v>371</v>
      </c>
      <c r="V30" s="11" t="s">
        <v>372</v>
      </c>
      <c r="W30" s="11" t="s">
        <v>73</v>
      </c>
      <c r="X30" s="13" t="str">
        <f aca="false">IF(LEFT(H30,1)="-","N","Y")</f>
        <v>Y</v>
      </c>
      <c r="Y30" s="13" t="n">
        <f aca="false">VALUE(LEFT(A30,1))</f>
        <v>2</v>
      </c>
    </row>
    <row r="31" customFormat="false" ht="43.25" hidden="false" customHeight="false" outlineLevel="0" collapsed="false">
      <c r="A31" s="11" t="s">
        <v>373</v>
      </c>
      <c r="B31" s="11" t="s">
        <v>350</v>
      </c>
      <c r="C31" s="11" t="s">
        <v>374</v>
      </c>
      <c r="D31" s="11" t="s">
        <v>70</v>
      </c>
      <c r="E31" s="12" t="s">
        <v>71</v>
      </c>
      <c r="F31" s="11" t="s">
        <v>70</v>
      </c>
      <c r="G31" s="11" t="s">
        <v>101</v>
      </c>
      <c r="H31" s="11" t="s">
        <v>375</v>
      </c>
      <c r="I31" s="11" t="s">
        <v>88</v>
      </c>
      <c r="J31" s="11" t="s">
        <v>163</v>
      </c>
      <c r="K31" s="11" t="s">
        <v>353</v>
      </c>
      <c r="L31" s="12" t="s">
        <v>24</v>
      </c>
      <c r="M31" s="11" t="s">
        <v>376</v>
      </c>
      <c r="N31" s="11" t="s">
        <v>377</v>
      </c>
      <c r="O31" s="11" t="s">
        <v>378</v>
      </c>
      <c r="P31" s="11" t="s">
        <v>357</v>
      </c>
      <c r="Q31" s="11" t="s">
        <v>202</v>
      </c>
      <c r="R31" s="11" t="s">
        <v>73</v>
      </c>
      <c r="S31" s="11" t="s">
        <v>379</v>
      </c>
      <c r="T31" s="11" t="s">
        <v>380</v>
      </c>
      <c r="U31" s="11" t="s">
        <v>381</v>
      </c>
      <c r="V31" s="11" t="s">
        <v>84</v>
      </c>
      <c r="W31" s="11" t="s">
        <v>73</v>
      </c>
      <c r="X31" s="13" t="str">
        <f aca="false">IF(LEFT(H31,1)="-","N","Y")</f>
        <v>Y</v>
      </c>
      <c r="Y31" s="13" t="n">
        <f aca="false">VALUE(LEFT(A31,1))</f>
        <v>2</v>
      </c>
    </row>
    <row r="32" customFormat="false" ht="43.25" hidden="false" customHeight="false" outlineLevel="0" collapsed="false">
      <c r="A32" s="11" t="s">
        <v>382</v>
      </c>
      <c r="B32" s="11" t="s">
        <v>350</v>
      </c>
      <c r="C32" s="11" t="s">
        <v>383</v>
      </c>
      <c r="D32" s="11" t="s">
        <v>70</v>
      </c>
      <c r="E32" s="12" t="s">
        <v>71</v>
      </c>
      <c r="F32" s="11" t="s">
        <v>70</v>
      </c>
      <c r="G32" s="11" t="s">
        <v>72</v>
      </c>
      <c r="H32" s="11" t="s">
        <v>384</v>
      </c>
      <c r="I32" s="11" t="s">
        <v>88</v>
      </c>
      <c r="J32" s="11" t="s">
        <v>163</v>
      </c>
      <c r="K32" s="11" t="s">
        <v>353</v>
      </c>
      <c r="L32" s="12" t="s">
        <v>24</v>
      </c>
      <c r="M32" s="11" t="s">
        <v>385</v>
      </c>
      <c r="N32" s="11" t="s">
        <v>386</v>
      </c>
      <c r="O32" s="11" t="s">
        <v>387</v>
      </c>
      <c r="P32" s="11" t="s">
        <v>73</v>
      </c>
      <c r="Q32" s="11" t="s">
        <v>388</v>
      </c>
      <c r="R32" s="11" t="s">
        <v>73</v>
      </c>
      <c r="S32" s="11" t="s">
        <v>389</v>
      </c>
      <c r="T32" s="11" t="s">
        <v>390</v>
      </c>
      <c r="U32" s="11" t="s">
        <v>381</v>
      </c>
      <c r="V32" s="11" t="s">
        <v>391</v>
      </c>
      <c r="W32" s="11" t="s">
        <v>73</v>
      </c>
      <c r="X32" s="13" t="str">
        <f aca="false">IF(LEFT(H32,1)="-","N","Y")</f>
        <v>Y</v>
      </c>
      <c r="Y32" s="13" t="n">
        <f aca="false">VALUE(LEFT(A32,1))</f>
        <v>2</v>
      </c>
    </row>
    <row r="33" customFormat="false" ht="43.25" hidden="false" customHeight="false" outlineLevel="0" collapsed="false">
      <c r="A33" s="11" t="s">
        <v>392</v>
      </c>
      <c r="B33" s="11" t="s">
        <v>393</v>
      </c>
      <c r="C33" s="11" t="s">
        <v>394</v>
      </c>
      <c r="D33" s="11" t="s">
        <v>70</v>
      </c>
      <c r="E33" s="12" t="s">
        <v>71</v>
      </c>
      <c r="F33" s="11" t="s">
        <v>70</v>
      </c>
      <c r="G33" s="11" t="s">
        <v>101</v>
      </c>
      <c r="H33" s="11" t="s">
        <v>395</v>
      </c>
      <c r="I33" s="11" t="s">
        <v>88</v>
      </c>
      <c r="J33" s="11" t="s">
        <v>163</v>
      </c>
      <c r="K33" s="11" t="s">
        <v>396</v>
      </c>
      <c r="L33" s="12" t="s">
        <v>397</v>
      </c>
      <c r="M33" s="11" t="s">
        <v>398</v>
      </c>
      <c r="N33" s="11" t="s">
        <v>399</v>
      </c>
      <c r="O33" s="11" t="s">
        <v>400</v>
      </c>
      <c r="P33" s="11" t="s">
        <v>73</v>
      </c>
      <c r="Q33" s="11" t="s">
        <v>401</v>
      </c>
      <c r="R33" s="11" t="s">
        <v>73</v>
      </c>
      <c r="S33" s="11" t="s">
        <v>265</v>
      </c>
      <c r="T33" s="11" t="s">
        <v>110</v>
      </c>
      <c r="U33" s="11" t="s">
        <v>267</v>
      </c>
      <c r="V33" s="11" t="s">
        <v>73</v>
      </c>
      <c r="W33" s="11" t="s">
        <v>269</v>
      </c>
      <c r="X33" s="13" t="str">
        <f aca="false">IF(LEFT(H33,1)="-","N","Y")</f>
        <v>Y</v>
      </c>
      <c r="Y33" s="13" t="n">
        <f aca="false">VALUE(LEFT(A33,1))</f>
        <v>2</v>
      </c>
    </row>
    <row r="34" customFormat="false" ht="43.25" hidden="false" customHeight="false" outlineLevel="0" collapsed="false">
      <c r="A34" s="11" t="s">
        <v>402</v>
      </c>
      <c r="B34" s="11" t="s">
        <v>403</v>
      </c>
      <c r="C34" s="11" t="s">
        <v>404</v>
      </c>
      <c r="D34" s="11" t="s">
        <v>70</v>
      </c>
      <c r="E34" s="12" t="s">
        <v>71</v>
      </c>
      <c r="F34" s="11" t="s">
        <v>70</v>
      </c>
      <c r="G34" s="11" t="s">
        <v>72</v>
      </c>
      <c r="H34" s="11" t="s">
        <v>405</v>
      </c>
      <c r="I34" s="11" t="s">
        <v>88</v>
      </c>
      <c r="J34" s="11" t="s">
        <v>273</v>
      </c>
      <c r="K34" s="11" t="s">
        <v>406</v>
      </c>
      <c r="L34" s="12" t="s">
        <v>26</v>
      </c>
      <c r="M34" s="11" t="s">
        <v>407</v>
      </c>
      <c r="N34" s="11" t="s">
        <v>408</v>
      </c>
      <c r="O34" s="11" t="s">
        <v>409</v>
      </c>
      <c r="P34" s="11" t="s">
        <v>410</v>
      </c>
      <c r="Q34" s="11" t="s">
        <v>411</v>
      </c>
      <c r="R34" s="11" t="s">
        <v>412</v>
      </c>
      <c r="S34" s="11" t="s">
        <v>413</v>
      </c>
      <c r="T34" s="11" t="s">
        <v>414</v>
      </c>
      <c r="U34" s="11" t="s">
        <v>415</v>
      </c>
      <c r="V34" s="11" t="s">
        <v>184</v>
      </c>
      <c r="W34" s="11" t="s">
        <v>416</v>
      </c>
      <c r="X34" s="13" t="str">
        <f aca="false">IF(LEFT(H34,1)="-","N","Y")</f>
        <v>Y</v>
      </c>
      <c r="Y34" s="13" t="n">
        <f aca="false">VALUE(LEFT(A34,1))</f>
        <v>3</v>
      </c>
    </row>
    <row r="35" customFormat="false" ht="43.25" hidden="false" customHeight="false" outlineLevel="0" collapsed="false">
      <c r="A35" s="11" t="s">
        <v>417</v>
      </c>
      <c r="B35" s="11" t="s">
        <v>403</v>
      </c>
      <c r="C35" s="11" t="s">
        <v>418</v>
      </c>
      <c r="D35" s="11" t="s">
        <v>123</v>
      </c>
      <c r="E35" s="12" t="s">
        <v>71</v>
      </c>
      <c r="F35" s="11" t="s">
        <v>419</v>
      </c>
      <c r="G35" s="11" t="s">
        <v>101</v>
      </c>
      <c r="H35" s="11" t="s">
        <v>420</v>
      </c>
      <c r="I35" s="11" t="s">
        <v>88</v>
      </c>
      <c r="J35" s="11" t="s">
        <v>273</v>
      </c>
      <c r="K35" s="11" t="s">
        <v>406</v>
      </c>
      <c r="L35" s="12" t="s">
        <v>26</v>
      </c>
      <c r="M35" s="11" t="s">
        <v>421</v>
      </c>
      <c r="N35" s="11" t="s">
        <v>422</v>
      </c>
      <c r="O35" s="11" t="s">
        <v>423</v>
      </c>
      <c r="P35" s="11" t="s">
        <v>278</v>
      </c>
      <c r="Q35" s="11" t="s">
        <v>424</v>
      </c>
      <c r="R35" s="11" t="s">
        <v>412</v>
      </c>
      <c r="S35" s="11" t="s">
        <v>425</v>
      </c>
      <c r="T35" s="11" t="s">
        <v>414</v>
      </c>
      <c r="U35" s="11" t="s">
        <v>415</v>
      </c>
      <c r="V35" s="11" t="s">
        <v>184</v>
      </c>
      <c r="W35" s="11" t="s">
        <v>416</v>
      </c>
      <c r="X35" s="13" t="str">
        <f aca="false">IF(LEFT(H35,1)="-","N","Y")</f>
        <v>Y</v>
      </c>
      <c r="Y35" s="13" t="n">
        <f aca="false">VALUE(LEFT(A35,1))</f>
        <v>3</v>
      </c>
    </row>
    <row r="36" customFormat="false" ht="43.25" hidden="false" customHeight="false" outlineLevel="0" collapsed="false">
      <c r="A36" s="11" t="s">
        <v>426</v>
      </c>
      <c r="B36" s="11" t="s">
        <v>403</v>
      </c>
      <c r="C36" s="11" t="s">
        <v>427</v>
      </c>
      <c r="D36" s="11" t="s">
        <v>123</v>
      </c>
      <c r="E36" s="12" t="s">
        <v>71</v>
      </c>
      <c r="F36" s="11" t="s">
        <v>428</v>
      </c>
      <c r="G36" s="11" t="s">
        <v>101</v>
      </c>
      <c r="H36" s="11" t="s">
        <v>429</v>
      </c>
      <c r="I36" s="11" t="s">
        <v>88</v>
      </c>
      <c r="J36" s="11" t="s">
        <v>273</v>
      </c>
      <c r="K36" s="11" t="s">
        <v>430</v>
      </c>
      <c r="L36" s="12" t="s">
        <v>26</v>
      </c>
      <c r="M36" s="11" t="s">
        <v>431</v>
      </c>
      <c r="N36" s="11" t="s">
        <v>432</v>
      </c>
      <c r="O36" s="11" t="s">
        <v>433</v>
      </c>
      <c r="P36" s="11" t="s">
        <v>278</v>
      </c>
      <c r="Q36" s="11" t="s">
        <v>434</v>
      </c>
      <c r="R36" s="11" t="s">
        <v>435</v>
      </c>
      <c r="S36" s="11" t="s">
        <v>436</v>
      </c>
      <c r="T36" s="11" t="s">
        <v>437</v>
      </c>
      <c r="U36" s="11" t="s">
        <v>438</v>
      </c>
      <c r="V36" s="11" t="s">
        <v>84</v>
      </c>
      <c r="W36" s="11" t="s">
        <v>73</v>
      </c>
      <c r="X36" s="13" t="str">
        <f aca="false">IF(LEFT(H36,1)="-","N","Y")</f>
        <v>Y</v>
      </c>
      <c r="Y36" s="13" t="n">
        <f aca="false">VALUE(LEFT(A36,1))</f>
        <v>3</v>
      </c>
    </row>
    <row r="37" customFormat="false" ht="43.25" hidden="false" customHeight="false" outlineLevel="0" collapsed="false">
      <c r="A37" s="11" t="s">
        <v>439</v>
      </c>
      <c r="B37" s="11" t="s">
        <v>403</v>
      </c>
      <c r="C37" s="11" t="s">
        <v>440</v>
      </c>
      <c r="D37" s="11" t="s">
        <v>70</v>
      </c>
      <c r="E37" s="12" t="s">
        <v>71</v>
      </c>
      <c r="F37" s="11" t="s">
        <v>70</v>
      </c>
      <c r="G37" s="11" t="s">
        <v>72</v>
      </c>
      <c r="H37" s="11" t="s">
        <v>441</v>
      </c>
      <c r="I37" s="11" t="s">
        <v>88</v>
      </c>
      <c r="J37" s="11" t="s">
        <v>163</v>
      </c>
      <c r="K37" s="11" t="s">
        <v>442</v>
      </c>
      <c r="L37" s="12" t="s">
        <v>26</v>
      </c>
      <c r="M37" s="11" t="s">
        <v>443</v>
      </c>
      <c r="N37" s="11" t="s">
        <v>444</v>
      </c>
      <c r="O37" s="11" t="s">
        <v>445</v>
      </c>
      <c r="P37" s="11" t="s">
        <v>278</v>
      </c>
      <c r="Q37" s="11" t="s">
        <v>446</v>
      </c>
      <c r="R37" s="11" t="s">
        <v>412</v>
      </c>
      <c r="S37" s="11" t="s">
        <v>413</v>
      </c>
      <c r="T37" s="11" t="s">
        <v>414</v>
      </c>
      <c r="U37" s="11" t="s">
        <v>371</v>
      </c>
      <c r="V37" s="11" t="s">
        <v>184</v>
      </c>
      <c r="W37" s="11" t="s">
        <v>416</v>
      </c>
      <c r="X37" s="13" t="str">
        <f aca="false">IF(LEFT(H37,1)="-","N","Y")</f>
        <v>Y</v>
      </c>
      <c r="Y37" s="13" t="n">
        <f aca="false">VALUE(LEFT(A37,1))</f>
        <v>3</v>
      </c>
    </row>
    <row r="38" customFormat="false" ht="43.25" hidden="false" customHeight="false" outlineLevel="0" collapsed="false">
      <c r="A38" s="11" t="s">
        <v>447</v>
      </c>
      <c r="B38" s="11" t="s">
        <v>403</v>
      </c>
      <c r="C38" s="11" t="s">
        <v>448</v>
      </c>
      <c r="D38" s="11" t="s">
        <v>123</v>
      </c>
      <c r="E38" s="12" t="s">
        <v>71</v>
      </c>
      <c r="F38" s="11" t="s">
        <v>449</v>
      </c>
      <c r="G38" s="11" t="s">
        <v>101</v>
      </c>
      <c r="H38" s="11" t="s">
        <v>450</v>
      </c>
      <c r="I38" s="11" t="s">
        <v>88</v>
      </c>
      <c r="J38" s="11" t="s">
        <v>163</v>
      </c>
      <c r="K38" s="11" t="s">
        <v>451</v>
      </c>
      <c r="L38" s="12" t="s">
        <v>26</v>
      </c>
      <c r="M38" s="11" t="s">
        <v>452</v>
      </c>
      <c r="N38" s="11" t="s">
        <v>453</v>
      </c>
      <c r="O38" s="11" t="s">
        <v>454</v>
      </c>
      <c r="P38" s="11" t="s">
        <v>455</v>
      </c>
      <c r="Q38" s="11" t="s">
        <v>456</v>
      </c>
      <c r="R38" s="11" t="s">
        <v>457</v>
      </c>
      <c r="S38" s="11" t="s">
        <v>458</v>
      </c>
      <c r="T38" s="11" t="s">
        <v>110</v>
      </c>
      <c r="U38" s="11" t="s">
        <v>267</v>
      </c>
      <c r="V38" s="11" t="s">
        <v>359</v>
      </c>
      <c r="W38" s="11" t="s">
        <v>269</v>
      </c>
      <c r="X38" s="13" t="str">
        <f aca="false">IF(LEFT(H38,1)="-","N","Y")</f>
        <v>Y</v>
      </c>
      <c r="Y38" s="13" t="n">
        <f aca="false">VALUE(LEFT(A38,1))</f>
        <v>3</v>
      </c>
    </row>
    <row r="39" customFormat="false" ht="43.25" hidden="false" customHeight="false" outlineLevel="0" collapsed="false">
      <c r="A39" s="11" t="s">
        <v>459</v>
      </c>
      <c r="B39" s="11" t="s">
        <v>403</v>
      </c>
      <c r="C39" s="11" t="s">
        <v>460</v>
      </c>
      <c r="D39" s="11" t="s">
        <v>123</v>
      </c>
      <c r="E39" s="12" t="s">
        <v>71</v>
      </c>
      <c r="F39" s="11" t="s">
        <v>461</v>
      </c>
      <c r="G39" s="11" t="s">
        <v>101</v>
      </c>
      <c r="H39" s="11" t="s">
        <v>462</v>
      </c>
      <c r="I39" s="11" t="s">
        <v>88</v>
      </c>
      <c r="J39" s="11" t="s">
        <v>273</v>
      </c>
      <c r="K39" s="11" t="s">
        <v>463</v>
      </c>
      <c r="L39" s="12" t="s">
        <v>397</v>
      </c>
      <c r="M39" s="11" t="s">
        <v>464</v>
      </c>
      <c r="N39" s="11" t="s">
        <v>465</v>
      </c>
      <c r="O39" s="11" t="s">
        <v>466</v>
      </c>
      <c r="P39" s="11" t="s">
        <v>278</v>
      </c>
      <c r="Q39" s="11" t="s">
        <v>467</v>
      </c>
      <c r="R39" s="11" t="s">
        <v>457</v>
      </c>
      <c r="S39" s="11" t="s">
        <v>265</v>
      </c>
      <c r="T39" s="11" t="s">
        <v>110</v>
      </c>
      <c r="U39" s="11" t="s">
        <v>267</v>
      </c>
      <c r="V39" s="11" t="s">
        <v>84</v>
      </c>
      <c r="W39" s="11" t="s">
        <v>269</v>
      </c>
      <c r="X39" s="13" t="str">
        <f aca="false">IF(LEFT(H39,1)="-","N","Y")</f>
        <v>Y</v>
      </c>
      <c r="Y39" s="13" t="n">
        <f aca="false">VALUE(LEFT(A39,1))</f>
        <v>3</v>
      </c>
    </row>
    <row r="40" customFormat="false" ht="43.25" hidden="false" customHeight="false" outlineLevel="0" collapsed="false">
      <c r="A40" s="11" t="s">
        <v>468</v>
      </c>
      <c r="B40" s="11" t="s">
        <v>403</v>
      </c>
      <c r="C40" s="11" t="s">
        <v>469</v>
      </c>
      <c r="D40" s="11" t="s">
        <v>123</v>
      </c>
      <c r="E40" s="12" t="s">
        <v>250</v>
      </c>
      <c r="F40" s="11" t="s">
        <v>251</v>
      </c>
      <c r="G40" s="11" t="s">
        <v>101</v>
      </c>
      <c r="H40" s="11" t="s">
        <v>470</v>
      </c>
      <c r="I40" s="11" t="s">
        <v>88</v>
      </c>
      <c r="J40" s="11" t="s">
        <v>273</v>
      </c>
      <c r="K40" s="11" t="s">
        <v>471</v>
      </c>
      <c r="L40" s="12" t="s">
        <v>26</v>
      </c>
      <c r="M40" s="11" t="s">
        <v>472</v>
      </c>
      <c r="N40" s="11" t="s">
        <v>473</v>
      </c>
      <c r="O40" s="11" t="s">
        <v>474</v>
      </c>
      <c r="P40" s="11" t="s">
        <v>278</v>
      </c>
      <c r="Q40" s="11" t="s">
        <v>475</v>
      </c>
      <c r="R40" s="11" t="s">
        <v>476</v>
      </c>
      <c r="S40" s="11" t="s">
        <v>477</v>
      </c>
      <c r="T40" s="11" t="s">
        <v>414</v>
      </c>
      <c r="U40" s="11" t="s">
        <v>478</v>
      </c>
      <c r="V40" s="11" t="s">
        <v>247</v>
      </c>
      <c r="W40" s="11" t="s">
        <v>73</v>
      </c>
      <c r="X40" s="13" t="str">
        <f aca="false">IF(LEFT(H40,1)="-","N","Y")</f>
        <v>Y</v>
      </c>
      <c r="Y40" s="13" t="n">
        <f aca="false">VALUE(LEFT(A40,1))</f>
        <v>3</v>
      </c>
    </row>
    <row r="41" customFormat="false" ht="43.25" hidden="false" customHeight="false" outlineLevel="0" collapsed="false">
      <c r="A41" s="11" t="s">
        <v>479</v>
      </c>
      <c r="B41" s="11" t="s">
        <v>403</v>
      </c>
      <c r="C41" s="11" t="s">
        <v>480</v>
      </c>
      <c r="D41" s="11" t="s">
        <v>123</v>
      </c>
      <c r="E41" s="12" t="s">
        <v>250</v>
      </c>
      <c r="F41" s="11" t="s">
        <v>251</v>
      </c>
      <c r="G41" s="11" t="s">
        <v>101</v>
      </c>
      <c r="H41" s="11" t="s">
        <v>481</v>
      </c>
      <c r="I41" s="11" t="s">
        <v>88</v>
      </c>
      <c r="J41" s="11" t="s">
        <v>163</v>
      </c>
      <c r="K41" s="11" t="s">
        <v>482</v>
      </c>
      <c r="L41" s="12" t="s">
        <v>26</v>
      </c>
      <c r="M41" s="11" t="s">
        <v>483</v>
      </c>
      <c r="N41" s="11" t="s">
        <v>484</v>
      </c>
      <c r="O41" s="11" t="s">
        <v>485</v>
      </c>
      <c r="P41" s="11" t="s">
        <v>278</v>
      </c>
      <c r="Q41" s="11" t="s">
        <v>486</v>
      </c>
      <c r="R41" s="11" t="s">
        <v>412</v>
      </c>
      <c r="S41" s="11" t="s">
        <v>413</v>
      </c>
      <c r="T41" s="11" t="s">
        <v>414</v>
      </c>
      <c r="U41" s="11" t="s">
        <v>415</v>
      </c>
      <c r="V41" s="11" t="s">
        <v>184</v>
      </c>
      <c r="W41" s="11" t="s">
        <v>416</v>
      </c>
      <c r="X41" s="13" t="str">
        <f aca="false">IF(LEFT(H41,1)="-","N","Y")</f>
        <v>Y</v>
      </c>
      <c r="Y41" s="13" t="n">
        <f aca="false">VALUE(LEFT(A41,1))</f>
        <v>3</v>
      </c>
    </row>
    <row r="42" customFormat="false" ht="43.25" hidden="false" customHeight="false" outlineLevel="0" collapsed="false">
      <c r="A42" s="11" t="s">
        <v>487</v>
      </c>
      <c r="B42" s="11" t="s">
        <v>403</v>
      </c>
      <c r="C42" s="11" t="s">
        <v>488</v>
      </c>
      <c r="D42" s="11" t="s">
        <v>123</v>
      </c>
      <c r="E42" s="12" t="s">
        <v>250</v>
      </c>
      <c r="F42" s="11" t="s">
        <v>251</v>
      </c>
      <c r="G42" s="11" t="s">
        <v>101</v>
      </c>
      <c r="H42" s="11" t="s">
        <v>489</v>
      </c>
      <c r="I42" s="11" t="s">
        <v>88</v>
      </c>
      <c r="J42" s="11" t="s">
        <v>163</v>
      </c>
      <c r="K42" s="11" t="s">
        <v>482</v>
      </c>
      <c r="L42" s="12" t="s">
        <v>26</v>
      </c>
      <c r="M42" s="11" t="s">
        <v>490</v>
      </c>
      <c r="N42" s="11" t="s">
        <v>491</v>
      </c>
      <c r="O42" s="11" t="s">
        <v>485</v>
      </c>
      <c r="P42" s="11" t="s">
        <v>278</v>
      </c>
      <c r="Q42" s="11" t="s">
        <v>492</v>
      </c>
      <c r="R42" s="11" t="s">
        <v>493</v>
      </c>
      <c r="S42" s="11" t="s">
        <v>425</v>
      </c>
      <c r="T42" s="11" t="s">
        <v>414</v>
      </c>
      <c r="U42" s="11" t="s">
        <v>415</v>
      </c>
      <c r="V42" s="11" t="s">
        <v>184</v>
      </c>
      <c r="W42" s="11" t="s">
        <v>416</v>
      </c>
      <c r="X42" s="13" t="str">
        <f aca="false">IF(LEFT(H42,1)="-","N","Y")</f>
        <v>Y</v>
      </c>
      <c r="Y42" s="13" t="n">
        <f aca="false">VALUE(LEFT(A42,1))</f>
        <v>3</v>
      </c>
    </row>
    <row r="43" customFormat="false" ht="43.25" hidden="false" customHeight="false" outlineLevel="0" collapsed="false">
      <c r="A43" s="11" t="s">
        <v>494</v>
      </c>
      <c r="B43" s="11" t="s">
        <v>495</v>
      </c>
      <c r="C43" s="11" t="s">
        <v>496</v>
      </c>
      <c r="D43" s="11" t="s">
        <v>123</v>
      </c>
      <c r="E43" s="12" t="s">
        <v>250</v>
      </c>
      <c r="F43" s="11" t="s">
        <v>251</v>
      </c>
      <c r="G43" s="11" t="s">
        <v>72</v>
      </c>
      <c r="H43" s="11" t="s">
        <v>497</v>
      </c>
      <c r="I43" s="11" t="s">
        <v>74</v>
      </c>
      <c r="J43" s="11" t="s">
        <v>273</v>
      </c>
      <c r="K43" s="11" t="s">
        <v>498</v>
      </c>
      <c r="L43" s="12" t="s">
        <v>26</v>
      </c>
      <c r="M43" s="11" t="s">
        <v>499</v>
      </c>
      <c r="N43" s="11" t="s">
        <v>500</v>
      </c>
      <c r="O43" s="11" t="s">
        <v>501</v>
      </c>
      <c r="P43" s="11" t="s">
        <v>502</v>
      </c>
      <c r="Q43" s="11" t="s">
        <v>503</v>
      </c>
      <c r="R43" s="11" t="s">
        <v>435</v>
      </c>
      <c r="S43" s="11" t="s">
        <v>504</v>
      </c>
      <c r="T43" s="11" t="s">
        <v>505</v>
      </c>
      <c r="U43" s="11" t="s">
        <v>506</v>
      </c>
      <c r="V43" s="11" t="s">
        <v>184</v>
      </c>
      <c r="W43" s="11" t="s">
        <v>73</v>
      </c>
      <c r="X43" s="13" t="str">
        <f aca="false">IF(LEFT(H43,1)="-","N","Y")</f>
        <v>N</v>
      </c>
      <c r="Y43" s="13" t="n">
        <f aca="false">VALUE(LEFT(A43,1))</f>
        <v>4</v>
      </c>
    </row>
    <row r="44" customFormat="false" ht="43.25" hidden="false" customHeight="false" outlineLevel="0" collapsed="false">
      <c r="A44" s="11" t="s">
        <v>507</v>
      </c>
      <c r="B44" s="11" t="s">
        <v>495</v>
      </c>
      <c r="C44" s="11" t="s">
        <v>508</v>
      </c>
      <c r="D44" s="11" t="s">
        <v>70</v>
      </c>
      <c r="E44" s="12" t="s">
        <v>71</v>
      </c>
      <c r="F44" s="11" t="s">
        <v>70</v>
      </c>
      <c r="G44" s="11" t="s">
        <v>72</v>
      </c>
      <c r="H44" s="11" t="s">
        <v>497</v>
      </c>
      <c r="I44" s="11" t="s">
        <v>74</v>
      </c>
      <c r="J44" s="11" t="s">
        <v>273</v>
      </c>
      <c r="K44" s="11" t="s">
        <v>498</v>
      </c>
      <c r="L44" s="12" t="s">
        <v>26</v>
      </c>
      <c r="M44" s="11" t="s">
        <v>509</v>
      </c>
      <c r="N44" s="11" t="s">
        <v>500</v>
      </c>
      <c r="O44" s="11" t="s">
        <v>501</v>
      </c>
      <c r="P44" s="11" t="s">
        <v>502</v>
      </c>
      <c r="Q44" s="11" t="s">
        <v>503</v>
      </c>
      <c r="R44" s="11" t="s">
        <v>435</v>
      </c>
      <c r="S44" s="11" t="s">
        <v>504</v>
      </c>
      <c r="T44" s="11" t="s">
        <v>505</v>
      </c>
      <c r="U44" s="11" t="s">
        <v>506</v>
      </c>
      <c r="V44" s="11" t="s">
        <v>150</v>
      </c>
      <c r="W44" s="11" t="s">
        <v>73</v>
      </c>
      <c r="X44" s="13" t="str">
        <f aca="false">IF(LEFT(H44,1)="-","N","Y")</f>
        <v>N</v>
      </c>
      <c r="Y44" s="13" t="n">
        <f aca="false">VALUE(LEFT(A44,1))</f>
        <v>4</v>
      </c>
    </row>
    <row r="45" customFormat="false" ht="43.25" hidden="false" customHeight="false" outlineLevel="0" collapsed="false">
      <c r="A45" s="11" t="s">
        <v>510</v>
      </c>
      <c r="B45" s="11" t="s">
        <v>495</v>
      </c>
      <c r="C45" s="11" t="s">
        <v>511</v>
      </c>
      <c r="D45" s="11" t="s">
        <v>70</v>
      </c>
      <c r="E45" s="12" t="s">
        <v>71</v>
      </c>
      <c r="F45" s="11" t="s">
        <v>70</v>
      </c>
      <c r="G45" s="11" t="s">
        <v>72</v>
      </c>
      <c r="H45" s="11" t="s">
        <v>497</v>
      </c>
      <c r="I45" s="11" t="s">
        <v>74</v>
      </c>
      <c r="J45" s="11" t="s">
        <v>273</v>
      </c>
      <c r="K45" s="11" t="s">
        <v>498</v>
      </c>
      <c r="L45" s="12" t="s">
        <v>26</v>
      </c>
      <c r="M45" s="11" t="s">
        <v>512</v>
      </c>
      <c r="N45" s="11" t="s">
        <v>500</v>
      </c>
      <c r="O45" s="11" t="s">
        <v>501</v>
      </c>
      <c r="P45" s="11" t="s">
        <v>107</v>
      </c>
      <c r="Q45" s="11" t="s">
        <v>503</v>
      </c>
      <c r="R45" s="11" t="s">
        <v>435</v>
      </c>
      <c r="S45" s="11" t="s">
        <v>504</v>
      </c>
      <c r="T45" s="11" t="s">
        <v>505</v>
      </c>
      <c r="U45" s="11" t="s">
        <v>506</v>
      </c>
      <c r="V45" s="11" t="s">
        <v>84</v>
      </c>
      <c r="W45" s="11" t="s">
        <v>112</v>
      </c>
      <c r="X45" s="13" t="str">
        <f aca="false">IF(LEFT(H45,1)="-","N","Y")</f>
        <v>N</v>
      </c>
      <c r="Y45" s="13" t="n">
        <f aca="false">VALUE(LEFT(A45,1))</f>
        <v>4</v>
      </c>
    </row>
    <row r="46" customFormat="false" ht="43.25" hidden="false" customHeight="false" outlineLevel="0" collapsed="false">
      <c r="A46" s="11" t="s">
        <v>513</v>
      </c>
      <c r="B46" s="11" t="s">
        <v>495</v>
      </c>
      <c r="C46" s="11" t="s">
        <v>514</v>
      </c>
      <c r="D46" s="11" t="s">
        <v>70</v>
      </c>
      <c r="E46" s="12" t="s">
        <v>71</v>
      </c>
      <c r="F46" s="11" t="s">
        <v>70</v>
      </c>
      <c r="G46" s="11" t="s">
        <v>72</v>
      </c>
      <c r="H46" s="11" t="s">
        <v>497</v>
      </c>
      <c r="I46" s="11" t="s">
        <v>74</v>
      </c>
      <c r="J46" s="11" t="s">
        <v>273</v>
      </c>
      <c r="K46" s="11" t="s">
        <v>498</v>
      </c>
      <c r="L46" s="12" t="s">
        <v>26</v>
      </c>
      <c r="M46" s="11" t="s">
        <v>499</v>
      </c>
      <c r="N46" s="11" t="s">
        <v>500</v>
      </c>
      <c r="O46" s="11" t="s">
        <v>501</v>
      </c>
      <c r="P46" s="11" t="s">
        <v>515</v>
      </c>
      <c r="Q46" s="11" t="s">
        <v>503</v>
      </c>
      <c r="R46" s="11" t="s">
        <v>435</v>
      </c>
      <c r="S46" s="11" t="s">
        <v>504</v>
      </c>
      <c r="T46" s="11" t="s">
        <v>516</v>
      </c>
      <c r="U46" s="11" t="s">
        <v>506</v>
      </c>
      <c r="V46" s="11" t="s">
        <v>184</v>
      </c>
      <c r="W46" s="11" t="s">
        <v>73</v>
      </c>
      <c r="X46" s="13" t="str">
        <f aca="false">IF(LEFT(H46,1)="-","N","Y")</f>
        <v>N</v>
      </c>
      <c r="Y46" s="13" t="n">
        <f aca="false">VALUE(LEFT(A46,1))</f>
        <v>4</v>
      </c>
    </row>
    <row r="47" customFormat="false" ht="43.25" hidden="false" customHeight="false" outlineLevel="0" collapsed="false">
      <c r="A47" s="11" t="s">
        <v>517</v>
      </c>
      <c r="B47" s="11" t="s">
        <v>495</v>
      </c>
      <c r="C47" s="11" t="s">
        <v>518</v>
      </c>
      <c r="D47" s="11" t="s">
        <v>70</v>
      </c>
      <c r="E47" s="12" t="s">
        <v>71</v>
      </c>
      <c r="F47" s="11" t="s">
        <v>70</v>
      </c>
      <c r="G47" s="11" t="s">
        <v>72</v>
      </c>
      <c r="H47" s="11" t="s">
        <v>497</v>
      </c>
      <c r="I47" s="11" t="s">
        <v>74</v>
      </c>
      <c r="J47" s="11" t="s">
        <v>273</v>
      </c>
      <c r="K47" s="11" t="s">
        <v>498</v>
      </c>
      <c r="L47" s="12" t="s">
        <v>26</v>
      </c>
      <c r="M47" s="11" t="s">
        <v>499</v>
      </c>
      <c r="N47" s="11" t="s">
        <v>500</v>
      </c>
      <c r="O47" s="11" t="s">
        <v>501</v>
      </c>
      <c r="P47" s="11" t="s">
        <v>515</v>
      </c>
      <c r="Q47" s="11" t="s">
        <v>503</v>
      </c>
      <c r="R47" s="11" t="s">
        <v>435</v>
      </c>
      <c r="S47" s="11" t="s">
        <v>504</v>
      </c>
      <c r="T47" s="11" t="s">
        <v>516</v>
      </c>
      <c r="U47" s="11" t="s">
        <v>506</v>
      </c>
      <c r="V47" s="11" t="s">
        <v>184</v>
      </c>
      <c r="W47" s="11" t="s">
        <v>73</v>
      </c>
      <c r="X47" s="13" t="str">
        <f aca="false">IF(LEFT(H47,1)="-","N","Y")</f>
        <v>N</v>
      </c>
      <c r="Y47" s="13" t="n">
        <f aca="false">VALUE(LEFT(A47,1))</f>
        <v>4</v>
      </c>
    </row>
    <row r="48" customFormat="false" ht="43.25" hidden="false" customHeight="false" outlineLevel="0" collapsed="false">
      <c r="A48" s="11" t="s">
        <v>519</v>
      </c>
      <c r="B48" s="11" t="s">
        <v>495</v>
      </c>
      <c r="C48" s="11" t="s">
        <v>520</v>
      </c>
      <c r="D48" s="11" t="s">
        <v>123</v>
      </c>
      <c r="E48" s="12" t="s">
        <v>250</v>
      </c>
      <c r="F48" s="11" t="s">
        <v>251</v>
      </c>
      <c r="G48" s="11" t="s">
        <v>72</v>
      </c>
      <c r="H48" s="11" t="s">
        <v>497</v>
      </c>
      <c r="I48" s="11" t="s">
        <v>74</v>
      </c>
      <c r="J48" s="11" t="s">
        <v>273</v>
      </c>
      <c r="K48" s="11" t="s">
        <v>498</v>
      </c>
      <c r="L48" s="12" t="s">
        <v>26</v>
      </c>
      <c r="M48" s="11" t="s">
        <v>499</v>
      </c>
      <c r="N48" s="11" t="s">
        <v>500</v>
      </c>
      <c r="O48" s="11" t="s">
        <v>501</v>
      </c>
      <c r="P48" s="11" t="s">
        <v>502</v>
      </c>
      <c r="Q48" s="11" t="s">
        <v>503</v>
      </c>
      <c r="R48" s="11" t="s">
        <v>435</v>
      </c>
      <c r="S48" s="11" t="s">
        <v>504</v>
      </c>
      <c r="T48" s="11" t="s">
        <v>505</v>
      </c>
      <c r="U48" s="11" t="s">
        <v>506</v>
      </c>
      <c r="V48" s="11" t="s">
        <v>521</v>
      </c>
      <c r="W48" s="11" t="s">
        <v>73</v>
      </c>
      <c r="X48" s="13" t="str">
        <f aca="false">IF(LEFT(H48,1)="-","N","Y")</f>
        <v>N</v>
      </c>
      <c r="Y48" s="13" t="n">
        <f aca="false">VALUE(LEFT(A48,1))</f>
        <v>4</v>
      </c>
    </row>
    <row r="49" customFormat="false" ht="43.25" hidden="false" customHeight="false" outlineLevel="0" collapsed="false">
      <c r="A49" s="11" t="s">
        <v>522</v>
      </c>
      <c r="B49" s="11" t="s">
        <v>495</v>
      </c>
      <c r="C49" s="11" t="s">
        <v>523</v>
      </c>
      <c r="D49" s="11" t="s">
        <v>123</v>
      </c>
      <c r="E49" s="12" t="s">
        <v>250</v>
      </c>
      <c r="F49" s="11" t="s">
        <v>251</v>
      </c>
      <c r="G49" s="11" t="s">
        <v>72</v>
      </c>
      <c r="H49" s="11" t="s">
        <v>497</v>
      </c>
      <c r="I49" s="11" t="s">
        <v>74</v>
      </c>
      <c r="J49" s="11" t="s">
        <v>273</v>
      </c>
      <c r="K49" s="11" t="s">
        <v>498</v>
      </c>
      <c r="L49" s="12" t="s">
        <v>26</v>
      </c>
      <c r="M49" s="11" t="s">
        <v>499</v>
      </c>
      <c r="N49" s="11" t="s">
        <v>500</v>
      </c>
      <c r="O49" s="11" t="s">
        <v>501</v>
      </c>
      <c r="P49" s="11" t="s">
        <v>502</v>
      </c>
      <c r="Q49" s="11" t="s">
        <v>503</v>
      </c>
      <c r="R49" s="11" t="s">
        <v>435</v>
      </c>
      <c r="S49" s="11" t="s">
        <v>504</v>
      </c>
      <c r="T49" s="11" t="s">
        <v>505</v>
      </c>
      <c r="U49" s="11" t="s">
        <v>506</v>
      </c>
      <c r="V49" s="11" t="s">
        <v>247</v>
      </c>
      <c r="W49" s="11" t="s">
        <v>73</v>
      </c>
      <c r="X49" s="13" t="str">
        <f aca="false">IF(LEFT(H49,1)="-","N","Y")</f>
        <v>N</v>
      </c>
      <c r="Y49" s="13" t="n">
        <f aca="false">VALUE(LEFT(A49,1))</f>
        <v>4</v>
      </c>
    </row>
    <row r="50" customFormat="false" ht="43.25" hidden="false" customHeight="false" outlineLevel="0" collapsed="false">
      <c r="A50" s="11" t="s">
        <v>524</v>
      </c>
      <c r="B50" s="11" t="s">
        <v>495</v>
      </c>
      <c r="C50" s="11" t="s">
        <v>525</v>
      </c>
      <c r="D50" s="11" t="s">
        <v>70</v>
      </c>
      <c r="E50" s="12" t="s">
        <v>71</v>
      </c>
      <c r="F50" s="11" t="s">
        <v>70</v>
      </c>
      <c r="G50" s="11" t="s">
        <v>72</v>
      </c>
      <c r="H50" s="11" t="s">
        <v>497</v>
      </c>
      <c r="I50" s="11" t="s">
        <v>74</v>
      </c>
      <c r="J50" s="11" t="s">
        <v>273</v>
      </c>
      <c r="K50" s="11" t="s">
        <v>498</v>
      </c>
      <c r="L50" s="12" t="s">
        <v>26</v>
      </c>
      <c r="M50" s="11" t="s">
        <v>526</v>
      </c>
      <c r="N50" s="11" t="s">
        <v>500</v>
      </c>
      <c r="O50" s="11" t="s">
        <v>501</v>
      </c>
      <c r="P50" s="11" t="s">
        <v>515</v>
      </c>
      <c r="Q50" s="11" t="s">
        <v>503</v>
      </c>
      <c r="R50" s="11" t="s">
        <v>435</v>
      </c>
      <c r="S50" s="11" t="s">
        <v>504</v>
      </c>
      <c r="T50" s="11" t="s">
        <v>516</v>
      </c>
      <c r="U50" s="11" t="s">
        <v>506</v>
      </c>
      <c r="V50" s="11" t="s">
        <v>84</v>
      </c>
      <c r="W50" s="11" t="s">
        <v>73</v>
      </c>
      <c r="X50" s="13" t="str">
        <f aca="false">IF(LEFT(H50,1)="-","N","Y")</f>
        <v>N</v>
      </c>
      <c r="Y50" s="13" t="n">
        <f aca="false">VALUE(LEFT(A50,1))</f>
        <v>4</v>
      </c>
    </row>
    <row r="51" customFormat="false" ht="43.25" hidden="false" customHeight="false" outlineLevel="0" collapsed="false">
      <c r="A51" s="11" t="s">
        <v>527</v>
      </c>
      <c r="B51" s="11" t="s">
        <v>495</v>
      </c>
      <c r="C51" s="11" t="s">
        <v>528</v>
      </c>
      <c r="D51" s="11" t="s">
        <v>123</v>
      </c>
      <c r="E51" s="12" t="s">
        <v>250</v>
      </c>
      <c r="F51" s="11" t="s">
        <v>251</v>
      </c>
      <c r="G51" s="11" t="s">
        <v>72</v>
      </c>
      <c r="H51" s="11" t="s">
        <v>497</v>
      </c>
      <c r="I51" s="11" t="s">
        <v>74</v>
      </c>
      <c r="J51" s="11" t="s">
        <v>273</v>
      </c>
      <c r="K51" s="11" t="s">
        <v>498</v>
      </c>
      <c r="L51" s="12" t="s">
        <v>26</v>
      </c>
      <c r="M51" s="11" t="s">
        <v>499</v>
      </c>
      <c r="N51" s="11" t="s">
        <v>500</v>
      </c>
      <c r="O51" s="11" t="s">
        <v>501</v>
      </c>
      <c r="P51" s="11" t="s">
        <v>515</v>
      </c>
      <c r="Q51" s="11" t="s">
        <v>503</v>
      </c>
      <c r="R51" s="11" t="s">
        <v>435</v>
      </c>
      <c r="S51" s="11" t="s">
        <v>504</v>
      </c>
      <c r="T51" s="11" t="s">
        <v>516</v>
      </c>
      <c r="U51" s="11" t="s">
        <v>506</v>
      </c>
      <c r="V51" s="11" t="s">
        <v>84</v>
      </c>
      <c r="W51" s="11" t="s">
        <v>73</v>
      </c>
      <c r="X51" s="13" t="str">
        <f aca="false">IF(LEFT(H51,1)="-","N","Y")</f>
        <v>N</v>
      </c>
      <c r="Y51" s="13" t="n">
        <f aca="false">VALUE(LEFT(A51,1))</f>
        <v>4</v>
      </c>
    </row>
    <row r="52" customFormat="false" ht="43.25" hidden="false" customHeight="false" outlineLevel="0" collapsed="false">
      <c r="A52" s="11" t="s">
        <v>529</v>
      </c>
      <c r="B52" s="11" t="s">
        <v>495</v>
      </c>
      <c r="C52" s="11" t="s">
        <v>530</v>
      </c>
      <c r="D52" s="11" t="s">
        <v>123</v>
      </c>
      <c r="E52" s="12" t="s">
        <v>250</v>
      </c>
      <c r="F52" s="11" t="s">
        <v>251</v>
      </c>
      <c r="G52" s="11" t="s">
        <v>72</v>
      </c>
      <c r="H52" s="11" t="s">
        <v>497</v>
      </c>
      <c r="I52" s="11" t="s">
        <v>74</v>
      </c>
      <c r="J52" s="11" t="s">
        <v>273</v>
      </c>
      <c r="K52" s="11" t="s">
        <v>498</v>
      </c>
      <c r="L52" s="12" t="s">
        <v>26</v>
      </c>
      <c r="M52" s="11" t="s">
        <v>531</v>
      </c>
      <c r="N52" s="11" t="s">
        <v>500</v>
      </c>
      <c r="O52" s="11" t="s">
        <v>501</v>
      </c>
      <c r="P52" s="11" t="s">
        <v>515</v>
      </c>
      <c r="Q52" s="11" t="s">
        <v>503</v>
      </c>
      <c r="R52" s="11" t="s">
        <v>435</v>
      </c>
      <c r="S52" s="11" t="s">
        <v>504</v>
      </c>
      <c r="T52" s="11" t="s">
        <v>516</v>
      </c>
      <c r="U52" s="11" t="s">
        <v>506</v>
      </c>
      <c r="V52" s="11" t="s">
        <v>247</v>
      </c>
      <c r="W52" s="11" t="s">
        <v>73</v>
      </c>
      <c r="X52" s="13" t="str">
        <f aca="false">IF(LEFT(H52,1)="-","N","Y")</f>
        <v>N</v>
      </c>
      <c r="Y52" s="13" t="n">
        <f aca="false">VALUE(LEFT(A52,1))</f>
        <v>4</v>
      </c>
    </row>
    <row r="53" customFormat="false" ht="43.25" hidden="false" customHeight="false" outlineLevel="0" collapsed="false">
      <c r="A53" s="11" t="s">
        <v>532</v>
      </c>
      <c r="B53" s="11" t="s">
        <v>495</v>
      </c>
      <c r="C53" s="11" t="s">
        <v>533</v>
      </c>
      <c r="D53" s="11" t="s">
        <v>123</v>
      </c>
      <c r="E53" s="12" t="s">
        <v>250</v>
      </c>
      <c r="F53" s="11" t="s">
        <v>251</v>
      </c>
      <c r="G53" s="11" t="s">
        <v>72</v>
      </c>
      <c r="H53" s="11" t="s">
        <v>497</v>
      </c>
      <c r="I53" s="11" t="s">
        <v>74</v>
      </c>
      <c r="J53" s="11" t="s">
        <v>273</v>
      </c>
      <c r="K53" s="11" t="s">
        <v>498</v>
      </c>
      <c r="L53" s="12" t="s">
        <v>26</v>
      </c>
      <c r="M53" s="11" t="s">
        <v>499</v>
      </c>
      <c r="N53" s="11" t="s">
        <v>500</v>
      </c>
      <c r="O53" s="11" t="s">
        <v>501</v>
      </c>
      <c r="P53" s="11" t="s">
        <v>515</v>
      </c>
      <c r="Q53" s="11" t="s">
        <v>503</v>
      </c>
      <c r="R53" s="11" t="s">
        <v>435</v>
      </c>
      <c r="S53" s="11" t="s">
        <v>504</v>
      </c>
      <c r="T53" s="11" t="s">
        <v>516</v>
      </c>
      <c r="U53" s="11" t="s">
        <v>506</v>
      </c>
      <c r="V53" s="11" t="s">
        <v>84</v>
      </c>
      <c r="W53" s="11" t="s">
        <v>73</v>
      </c>
      <c r="X53" s="13" t="str">
        <f aca="false">IF(LEFT(H53,1)="-","N","Y")</f>
        <v>N</v>
      </c>
      <c r="Y53" s="13" t="n">
        <f aca="false">VALUE(LEFT(A53,1))</f>
        <v>4</v>
      </c>
    </row>
    <row r="54" customFormat="false" ht="43.25" hidden="false" customHeight="false" outlineLevel="0" collapsed="false">
      <c r="A54" s="11" t="s">
        <v>534</v>
      </c>
      <c r="B54" s="11" t="s">
        <v>495</v>
      </c>
      <c r="C54" s="11" t="s">
        <v>535</v>
      </c>
      <c r="D54" s="11" t="s">
        <v>70</v>
      </c>
      <c r="E54" s="12" t="s">
        <v>71</v>
      </c>
      <c r="F54" s="11" t="s">
        <v>70</v>
      </c>
      <c r="G54" s="11" t="s">
        <v>72</v>
      </c>
      <c r="H54" s="11" t="s">
        <v>497</v>
      </c>
      <c r="I54" s="11" t="s">
        <v>74</v>
      </c>
      <c r="J54" s="11" t="s">
        <v>273</v>
      </c>
      <c r="K54" s="11" t="s">
        <v>498</v>
      </c>
      <c r="L54" s="12" t="s">
        <v>26</v>
      </c>
      <c r="M54" s="11" t="s">
        <v>499</v>
      </c>
      <c r="N54" s="11" t="s">
        <v>500</v>
      </c>
      <c r="O54" s="11" t="s">
        <v>501</v>
      </c>
      <c r="P54" s="11" t="s">
        <v>515</v>
      </c>
      <c r="Q54" s="11" t="s">
        <v>503</v>
      </c>
      <c r="R54" s="11" t="s">
        <v>435</v>
      </c>
      <c r="S54" s="11" t="s">
        <v>504</v>
      </c>
      <c r="T54" s="11" t="s">
        <v>516</v>
      </c>
      <c r="U54" s="11" t="s">
        <v>506</v>
      </c>
      <c r="V54" s="11" t="s">
        <v>84</v>
      </c>
      <c r="W54" s="11" t="s">
        <v>73</v>
      </c>
      <c r="X54" s="13" t="str">
        <f aca="false">IF(LEFT(H54,1)="-","N","Y")</f>
        <v>N</v>
      </c>
      <c r="Y54" s="13" t="n">
        <f aca="false">VALUE(LEFT(A54,1))</f>
        <v>4</v>
      </c>
    </row>
    <row r="55" customFormat="false" ht="43.25" hidden="false" customHeight="false" outlineLevel="0" collapsed="false">
      <c r="A55" s="11" t="s">
        <v>536</v>
      </c>
      <c r="B55" s="11" t="s">
        <v>495</v>
      </c>
      <c r="C55" s="11" t="s">
        <v>537</v>
      </c>
      <c r="D55" s="11" t="s">
        <v>70</v>
      </c>
      <c r="E55" s="12" t="s">
        <v>71</v>
      </c>
      <c r="F55" s="11" t="s">
        <v>70</v>
      </c>
      <c r="G55" s="11" t="s">
        <v>72</v>
      </c>
      <c r="H55" s="11" t="s">
        <v>497</v>
      </c>
      <c r="I55" s="11" t="s">
        <v>74</v>
      </c>
      <c r="J55" s="11" t="s">
        <v>273</v>
      </c>
      <c r="K55" s="11" t="s">
        <v>498</v>
      </c>
      <c r="L55" s="12" t="s">
        <v>26</v>
      </c>
      <c r="M55" s="11" t="s">
        <v>499</v>
      </c>
      <c r="N55" s="11" t="s">
        <v>500</v>
      </c>
      <c r="O55" s="11" t="s">
        <v>501</v>
      </c>
      <c r="P55" s="11" t="s">
        <v>515</v>
      </c>
      <c r="Q55" s="11" t="s">
        <v>503</v>
      </c>
      <c r="R55" s="11" t="s">
        <v>435</v>
      </c>
      <c r="S55" s="11" t="s">
        <v>504</v>
      </c>
      <c r="T55" s="11" t="s">
        <v>516</v>
      </c>
      <c r="U55" s="11" t="s">
        <v>506</v>
      </c>
      <c r="V55" s="11" t="s">
        <v>84</v>
      </c>
      <c r="W55" s="11" t="s">
        <v>73</v>
      </c>
      <c r="X55" s="13" t="str">
        <f aca="false">IF(LEFT(H55,1)="-","N","Y")</f>
        <v>N</v>
      </c>
      <c r="Y55" s="13" t="n">
        <f aca="false">VALUE(LEFT(A55,1))</f>
        <v>4</v>
      </c>
    </row>
    <row r="56" customFormat="false" ht="43.25" hidden="false" customHeight="false" outlineLevel="0" collapsed="false">
      <c r="A56" s="11" t="s">
        <v>538</v>
      </c>
      <c r="B56" s="11" t="s">
        <v>495</v>
      </c>
      <c r="C56" s="11" t="s">
        <v>539</v>
      </c>
      <c r="D56" s="11" t="s">
        <v>70</v>
      </c>
      <c r="E56" s="12" t="s">
        <v>71</v>
      </c>
      <c r="F56" s="11" t="s">
        <v>70</v>
      </c>
      <c r="G56" s="11" t="s">
        <v>72</v>
      </c>
      <c r="H56" s="11" t="s">
        <v>497</v>
      </c>
      <c r="I56" s="11" t="s">
        <v>74</v>
      </c>
      <c r="J56" s="11" t="s">
        <v>273</v>
      </c>
      <c r="K56" s="11" t="s">
        <v>498</v>
      </c>
      <c r="L56" s="12" t="s">
        <v>26</v>
      </c>
      <c r="M56" s="11" t="s">
        <v>499</v>
      </c>
      <c r="N56" s="11" t="s">
        <v>500</v>
      </c>
      <c r="O56" s="11" t="s">
        <v>501</v>
      </c>
      <c r="P56" s="11" t="s">
        <v>515</v>
      </c>
      <c r="Q56" s="11" t="s">
        <v>503</v>
      </c>
      <c r="R56" s="11" t="s">
        <v>435</v>
      </c>
      <c r="S56" s="11" t="s">
        <v>504</v>
      </c>
      <c r="T56" s="11" t="s">
        <v>516</v>
      </c>
      <c r="U56" s="11" t="s">
        <v>506</v>
      </c>
      <c r="V56" s="11" t="s">
        <v>84</v>
      </c>
      <c r="W56" s="11" t="s">
        <v>73</v>
      </c>
      <c r="X56" s="13" t="str">
        <f aca="false">IF(LEFT(H56,1)="-","N","Y")</f>
        <v>N</v>
      </c>
      <c r="Y56" s="13" t="n">
        <f aca="false">VALUE(LEFT(A56,1))</f>
        <v>4</v>
      </c>
    </row>
    <row r="57" customFormat="false" ht="43.25" hidden="false" customHeight="false" outlineLevel="0" collapsed="false">
      <c r="A57" s="11" t="s">
        <v>540</v>
      </c>
      <c r="B57" s="11" t="s">
        <v>495</v>
      </c>
      <c r="C57" s="11" t="s">
        <v>541</v>
      </c>
      <c r="D57" s="11" t="s">
        <v>70</v>
      </c>
      <c r="E57" s="12" t="s">
        <v>71</v>
      </c>
      <c r="F57" s="11" t="s">
        <v>70</v>
      </c>
      <c r="G57" s="11" t="s">
        <v>72</v>
      </c>
      <c r="H57" s="11" t="s">
        <v>497</v>
      </c>
      <c r="I57" s="11" t="s">
        <v>74</v>
      </c>
      <c r="J57" s="11" t="s">
        <v>273</v>
      </c>
      <c r="K57" s="11" t="s">
        <v>498</v>
      </c>
      <c r="L57" s="12" t="s">
        <v>26</v>
      </c>
      <c r="M57" s="11" t="s">
        <v>499</v>
      </c>
      <c r="N57" s="11" t="s">
        <v>500</v>
      </c>
      <c r="O57" s="11" t="s">
        <v>501</v>
      </c>
      <c r="P57" s="11" t="s">
        <v>515</v>
      </c>
      <c r="Q57" s="11" t="s">
        <v>503</v>
      </c>
      <c r="R57" s="11" t="s">
        <v>435</v>
      </c>
      <c r="S57" s="11" t="s">
        <v>504</v>
      </c>
      <c r="T57" s="11" t="s">
        <v>516</v>
      </c>
      <c r="U57" s="11" t="s">
        <v>506</v>
      </c>
      <c r="V57" s="11" t="s">
        <v>84</v>
      </c>
      <c r="W57" s="11" t="s">
        <v>73</v>
      </c>
      <c r="X57" s="13" t="str">
        <f aca="false">IF(LEFT(H57,1)="-","N","Y")</f>
        <v>N</v>
      </c>
      <c r="Y57" s="13" t="n">
        <f aca="false">VALUE(LEFT(A57,1))</f>
        <v>4</v>
      </c>
    </row>
    <row r="58" customFormat="false" ht="43.25" hidden="false" customHeight="false" outlineLevel="0" collapsed="false">
      <c r="A58" s="11" t="s">
        <v>542</v>
      </c>
      <c r="B58" s="11" t="s">
        <v>495</v>
      </c>
      <c r="C58" s="11" t="s">
        <v>543</v>
      </c>
      <c r="D58" s="11" t="s">
        <v>123</v>
      </c>
      <c r="E58" s="12" t="s">
        <v>71</v>
      </c>
      <c r="F58" s="11" t="s">
        <v>544</v>
      </c>
      <c r="G58" s="11" t="s">
        <v>101</v>
      </c>
      <c r="H58" s="11" t="s">
        <v>73</v>
      </c>
      <c r="I58" s="11" t="s">
        <v>198</v>
      </c>
      <c r="J58" s="11" t="s">
        <v>273</v>
      </c>
      <c r="K58" s="11" t="s">
        <v>545</v>
      </c>
      <c r="L58" s="12" t="s">
        <v>26</v>
      </c>
      <c r="M58" s="11" t="s">
        <v>546</v>
      </c>
      <c r="N58" s="11" t="s">
        <v>547</v>
      </c>
      <c r="O58" s="11" t="s">
        <v>548</v>
      </c>
      <c r="P58" s="11" t="s">
        <v>278</v>
      </c>
      <c r="Q58" s="11" t="s">
        <v>549</v>
      </c>
      <c r="R58" s="11" t="s">
        <v>435</v>
      </c>
      <c r="S58" s="11" t="s">
        <v>550</v>
      </c>
      <c r="T58" s="11" t="s">
        <v>551</v>
      </c>
      <c r="U58" s="11" t="s">
        <v>478</v>
      </c>
      <c r="V58" s="11" t="s">
        <v>84</v>
      </c>
      <c r="W58" s="11" t="s">
        <v>73</v>
      </c>
      <c r="X58" s="13" t="str">
        <f aca="false">IF(LEFT(H58,1)="-","N","Y")</f>
        <v>N</v>
      </c>
      <c r="Y58" s="13" t="n">
        <f aca="false">VALUE(LEFT(A58,1))</f>
        <v>4</v>
      </c>
    </row>
    <row r="59" customFormat="false" ht="43.25" hidden="false" customHeight="false" outlineLevel="0" collapsed="false">
      <c r="A59" s="11" t="s">
        <v>552</v>
      </c>
      <c r="B59" s="11" t="s">
        <v>553</v>
      </c>
      <c r="C59" s="11" t="s">
        <v>554</v>
      </c>
      <c r="D59" s="11" t="s">
        <v>70</v>
      </c>
      <c r="E59" s="12" t="s">
        <v>71</v>
      </c>
      <c r="F59" s="11" t="s">
        <v>70</v>
      </c>
      <c r="G59" s="11" t="s">
        <v>101</v>
      </c>
      <c r="H59" s="11" t="s">
        <v>555</v>
      </c>
      <c r="I59" s="11" t="s">
        <v>88</v>
      </c>
      <c r="J59" s="11" t="s">
        <v>163</v>
      </c>
      <c r="K59" s="11" t="s">
        <v>556</v>
      </c>
      <c r="L59" s="12" t="s">
        <v>26</v>
      </c>
      <c r="M59" s="11" t="s">
        <v>557</v>
      </c>
      <c r="N59" s="11" t="s">
        <v>558</v>
      </c>
      <c r="O59" s="11" t="s">
        <v>559</v>
      </c>
      <c r="P59" s="11" t="s">
        <v>357</v>
      </c>
      <c r="Q59" s="11" t="s">
        <v>560</v>
      </c>
      <c r="R59" s="11" t="s">
        <v>561</v>
      </c>
      <c r="S59" s="11" t="s">
        <v>265</v>
      </c>
      <c r="T59" s="11" t="s">
        <v>110</v>
      </c>
      <c r="U59" s="11" t="s">
        <v>267</v>
      </c>
      <c r="V59" s="11" t="s">
        <v>84</v>
      </c>
      <c r="W59" s="11" t="s">
        <v>269</v>
      </c>
      <c r="X59" s="13" t="str">
        <f aca="false">IF(LEFT(H59,1)="-","N","Y")</f>
        <v>Y</v>
      </c>
      <c r="Y59" s="13" t="n">
        <f aca="false">VALUE(LEFT(A59,1))</f>
        <v>5</v>
      </c>
    </row>
    <row r="60" customFormat="false" ht="32.8" hidden="false" customHeight="false" outlineLevel="0" collapsed="false">
      <c r="A60" s="11" t="s">
        <v>562</v>
      </c>
      <c r="B60" s="11" t="s">
        <v>553</v>
      </c>
      <c r="C60" s="11" t="s">
        <v>563</v>
      </c>
      <c r="D60" s="11" t="s">
        <v>70</v>
      </c>
      <c r="E60" s="12" t="s">
        <v>71</v>
      </c>
      <c r="F60" s="11" t="s">
        <v>70</v>
      </c>
      <c r="G60" s="11" t="s">
        <v>101</v>
      </c>
      <c r="H60" s="11" t="s">
        <v>73</v>
      </c>
      <c r="I60" s="11" t="s">
        <v>198</v>
      </c>
      <c r="J60" s="11" t="s">
        <v>163</v>
      </c>
      <c r="K60" s="11" t="s">
        <v>564</v>
      </c>
      <c r="L60" s="12" t="s">
        <v>24</v>
      </c>
      <c r="M60" s="11" t="s">
        <v>565</v>
      </c>
      <c r="N60" s="11" t="s">
        <v>566</v>
      </c>
      <c r="O60" s="11" t="s">
        <v>567</v>
      </c>
      <c r="P60" s="11" t="s">
        <v>73</v>
      </c>
      <c r="Q60" s="11" t="s">
        <v>202</v>
      </c>
      <c r="R60" s="11" t="s">
        <v>73</v>
      </c>
      <c r="S60" s="11" t="s">
        <v>568</v>
      </c>
      <c r="T60" s="11" t="s">
        <v>380</v>
      </c>
      <c r="U60" s="11" t="s">
        <v>381</v>
      </c>
      <c r="V60" s="11" t="s">
        <v>324</v>
      </c>
      <c r="W60" s="11" t="s">
        <v>73</v>
      </c>
      <c r="X60" s="13" t="str">
        <f aca="false">IF(LEFT(H60,1)="-","N","Y")</f>
        <v>N</v>
      </c>
      <c r="Y60" s="13" t="n">
        <f aca="false">VALUE(LEFT(A60,1))</f>
        <v>5</v>
      </c>
    </row>
    <row r="61" customFormat="false" ht="43.25" hidden="false" customHeight="false" outlineLevel="0" collapsed="false">
      <c r="A61" s="11" t="s">
        <v>569</v>
      </c>
      <c r="B61" s="11" t="s">
        <v>570</v>
      </c>
      <c r="C61" s="11" t="s">
        <v>571</v>
      </c>
      <c r="D61" s="11" t="s">
        <v>70</v>
      </c>
      <c r="E61" s="12" t="s">
        <v>71</v>
      </c>
      <c r="F61" s="11" t="s">
        <v>70</v>
      </c>
      <c r="G61" s="11" t="s">
        <v>101</v>
      </c>
      <c r="H61" s="11" t="s">
        <v>572</v>
      </c>
      <c r="I61" s="11" t="s">
        <v>88</v>
      </c>
      <c r="J61" s="11" t="s">
        <v>163</v>
      </c>
      <c r="K61" s="11" t="s">
        <v>573</v>
      </c>
      <c r="L61" s="12" t="s">
        <v>26</v>
      </c>
      <c r="M61" s="11" t="s">
        <v>574</v>
      </c>
      <c r="N61" s="11" t="s">
        <v>575</v>
      </c>
      <c r="O61" s="11" t="s">
        <v>576</v>
      </c>
      <c r="P61" s="11" t="s">
        <v>278</v>
      </c>
      <c r="Q61" s="11" t="s">
        <v>577</v>
      </c>
      <c r="R61" s="11" t="s">
        <v>578</v>
      </c>
      <c r="S61" s="11" t="s">
        <v>579</v>
      </c>
      <c r="T61" s="11" t="s">
        <v>380</v>
      </c>
      <c r="U61" s="11" t="s">
        <v>381</v>
      </c>
      <c r="V61" s="11" t="s">
        <v>247</v>
      </c>
      <c r="W61" s="11" t="s">
        <v>73</v>
      </c>
      <c r="X61" s="13" t="str">
        <f aca="false">IF(LEFT(H61,1)="-","N","Y")</f>
        <v>Y</v>
      </c>
      <c r="Y61" s="13" t="n">
        <f aca="false">VALUE(LEFT(A61,1))</f>
        <v>5</v>
      </c>
    </row>
    <row r="62" customFormat="false" ht="43.25" hidden="false" customHeight="false" outlineLevel="0" collapsed="false">
      <c r="A62" s="11" t="s">
        <v>580</v>
      </c>
      <c r="B62" s="11" t="s">
        <v>570</v>
      </c>
      <c r="C62" s="11" t="s">
        <v>581</v>
      </c>
      <c r="D62" s="11" t="s">
        <v>70</v>
      </c>
      <c r="E62" s="12" t="s">
        <v>71</v>
      </c>
      <c r="F62" s="11" t="s">
        <v>70</v>
      </c>
      <c r="G62" s="11" t="s">
        <v>101</v>
      </c>
      <c r="H62" s="11" t="s">
        <v>582</v>
      </c>
      <c r="I62" s="11" t="s">
        <v>88</v>
      </c>
      <c r="J62" s="11" t="s">
        <v>163</v>
      </c>
      <c r="K62" s="11" t="s">
        <v>583</v>
      </c>
      <c r="L62" s="12" t="s">
        <v>26</v>
      </c>
      <c r="M62" s="11" t="s">
        <v>584</v>
      </c>
      <c r="N62" s="11" t="s">
        <v>585</v>
      </c>
      <c r="O62" s="11" t="s">
        <v>586</v>
      </c>
      <c r="P62" s="11" t="s">
        <v>587</v>
      </c>
      <c r="Q62" s="11" t="s">
        <v>588</v>
      </c>
      <c r="R62" s="11" t="s">
        <v>578</v>
      </c>
      <c r="S62" s="11" t="s">
        <v>589</v>
      </c>
      <c r="T62" s="11" t="s">
        <v>590</v>
      </c>
      <c r="U62" s="11" t="s">
        <v>381</v>
      </c>
      <c r="V62" s="11" t="s">
        <v>247</v>
      </c>
      <c r="W62" s="11" t="s">
        <v>73</v>
      </c>
      <c r="X62" s="13" t="str">
        <f aca="false">IF(LEFT(H62,1)="-","N","Y")</f>
        <v>Y</v>
      </c>
      <c r="Y62" s="13" t="n">
        <f aca="false">VALUE(LEFT(A62,1))</f>
        <v>5</v>
      </c>
    </row>
    <row r="63" customFormat="false" ht="43.25" hidden="false" customHeight="false" outlineLevel="0" collapsed="false">
      <c r="A63" s="11" t="s">
        <v>591</v>
      </c>
      <c r="B63" s="11" t="s">
        <v>570</v>
      </c>
      <c r="C63" s="11" t="s">
        <v>592</v>
      </c>
      <c r="D63" s="11" t="s">
        <v>70</v>
      </c>
      <c r="E63" s="12" t="s">
        <v>71</v>
      </c>
      <c r="F63" s="11" t="s">
        <v>70</v>
      </c>
      <c r="G63" s="11" t="s">
        <v>101</v>
      </c>
      <c r="H63" s="11" t="s">
        <v>593</v>
      </c>
      <c r="I63" s="11" t="s">
        <v>88</v>
      </c>
      <c r="J63" s="11" t="s">
        <v>163</v>
      </c>
      <c r="K63" s="11" t="s">
        <v>564</v>
      </c>
      <c r="L63" s="12" t="s">
        <v>24</v>
      </c>
      <c r="M63" s="11" t="s">
        <v>594</v>
      </c>
      <c r="N63" s="11" t="s">
        <v>595</v>
      </c>
      <c r="O63" s="11" t="s">
        <v>596</v>
      </c>
      <c r="P63" s="11" t="s">
        <v>73</v>
      </c>
      <c r="Q63" s="11" t="s">
        <v>597</v>
      </c>
      <c r="R63" s="11" t="s">
        <v>73</v>
      </c>
      <c r="S63" s="11" t="s">
        <v>568</v>
      </c>
      <c r="T63" s="11" t="s">
        <v>380</v>
      </c>
      <c r="U63" s="11" t="s">
        <v>381</v>
      </c>
      <c r="V63" s="11" t="s">
        <v>84</v>
      </c>
      <c r="W63" s="11" t="s">
        <v>73</v>
      </c>
      <c r="X63" s="13" t="str">
        <f aca="false">IF(LEFT(H63,1)="-","N","Y")</f>
        <v>Y</v>
      </c>
      <c r="Y63" s="13" t="n">
        <f aca="false">VALUE(LEFT(A63,1))</f>
        <v>5</v>
      </c>
    </row>
    <row r="64" customFormat="false" ht="43.25" hidden="false" customHeight="false" outlineLevel="0" collapsed="false">
      <c r="A64" s="11" t="s">
        <v>598</v>
      </c>
      <c r="B64" s="11" t="s">
        <v>570</v>
      </c>
      <c r="C64" s="11" t="s">
        <v>599</v>
      </c>
      <c r="D64" s="11" t="s">
        <v>123</v>
      </c>
      <c r="E64" s="12" t="s">
        <v>250</v>
      </c>
      <c r="F64" s="11" t="s">
        <v>251</v>
      </c>
      <c r="G64" s="11" t="s">
        <v>101</v>
      </c>
      <c r="H64" s="11" t="s">
        <v>600</v>
      </c>
      <c r="I64" s="11" t="s">
        <v>88</v>
      </c>
      <c r="J64" s="11" t="s">
        <v>273</v>
      </c>
      <c r="K64" s="11" t="s">
        <v>601</v>
      </c>
      <c r="L64" s="12" t="s">
        <v>26</v>
      </c>
      <c r="M64" s="11" t="s">
        <v>602</v>
      </c>
      <c r="N64" s="11" t="s">
        <v>603</v>
      </c>
      <c r="O64" s="11" t="s">
        <v>604</v>
      </c>
      <c r="P64" s="11" t="s">
        <v>278</v>
      </c>
      <c r="Q64" s="11" t="s">
        <v>605</v>
      </c>
      <c r="R64" s="11" t="s">
        <v>476</v>
      </c>
      <c r="S64" s="11" t="s">
        <v>579</v>
      </c>
      <c r="T64" s="11" t="s">
        <v>380</v>
      </c>
      <c r="U64" s="11" t="s">
        <v>381</v>
      </c>
      <c r="V64" s="11" t="s">
        <v>84</v>
      </c>
      <c r="W64" s="11" t="s">
        <v>73</v>
      </c>
      <c r="X64" s="13" t="str">
        <f aca="false">IF(LEFT(H64,1)="-","N","Y")</f>
        <v>Y</v>
      </c>
      <c r="Y64" s="13" t="n">
        <f aca="false">VALUE(LEFT(A64,1))</f>
        <v>5</v>
      </c>
    </row>
    <row r="65" customFormat="false" ht="32.8" hidden="false" customHeight="false" outlineLevel="0" collapsed="false">
      <c r="A65" s="11" t="s">
        <v>606</v>
      </c>
      <c r="B65" s="11" t="s">
        <v>570</v>
      </c>
      <c r="C65" s="11" t="s">
        <v>607</v>
      </c>
      <c r="D65" s="11" t="s">
        <v>123</v>
      </c>
      <c r="E65" s="12" t="s">
        <v>250</v>
      </c>
      <c r="F65" s="11" t="s">
        <v>251</v>
      </c>
      <c r="G65" s="11" t="s">
        <v>72</v>
      </c>
      <c r="H65" s="11" t="s">
        <v>73</v>
      </c>
      <c r="I65" s="11" t="s">
        <v>74</v>
      </c>
      <c r="J65" s="11" t="s">
        <v>163</v>
      </c>
      <c r="K65" s="11" t="s">
        <v>608</v>
      </c>
      <c r="L65" s="12" t="s">
        <v>397</v>
      </c>
      <c r="M65" s="11" t="s">
        <v>609</v>
      </c>
      <c r="N65" s="11" t="s">
        <v>610</v>
      </c>
      <c r="O65" s="11" t="s">
        <v>611</v>
      </c>
      <c r="P65" s="11" t="s">
        <v>73</v>
      </c>
      <c r="Q65" s="11" t="s">
        <v>612</v>
      </c>
      <c r="R65" s="11" t="s">
        <v>73</v>
      </c>
      <c r="S65" s="11" t="s">
        <v>613</v>
      </c>
      <c r="T65" s="11" t="s">
        <v>380</v>
      </c>
      <c r="U65" s="11" t="s">
        <v>381</v>
      </c>
      <c r="V65" s="11" t="s">
        <v>73</v>
      </c>
      <c r="W65" s="11" t="s">
        <v>73</v>
      </c>
      <c r="X65" s="13" t="str">
        <f aca="false">IF(LEFT(H65,1)="-","N","Y")</f>
        <v>N</v>
      </c>
      <c r="Y65" s="13" t="n">
        <f aca="false">VALUE(LEFT(A65,1))</f>
        <v>5</v>
      </c>
    </row>
    <row r="66" customFormat="false" ht="43.25" hidden="false" customHeight="false" outlineLevel="0" collapsed="false">
      <c r="A66" s="11" t="s">
        <v>614</v>
      </c>
      <c r="B66" s="11" t="s">
        <v>570</v>
      </c>
      <c r="C66" s="11" t="s">
        <v>615</v>
      </c>
      <c r="D66" s="11" t="s">
        <v>70</v>
      </c>
      <c r="E66" s="12" t="s">
        <v>71</v>
      </c>
      <c r="F66" s="11" t="s">
        <v>70</v>
      </c>
      <c r="G66" s="11" t="s">
        <v>101</v>
      </c>
      <c r="H66" s="11" t="s">
        <v>616</v>
      </c>
      <c r="I66" s="11" t="s">
        <v>88</v>
      </c>
      <c r="J66" s="11" t="s">
        <v>163</v>
      </c>
      <c r="K66" s="11" t="s">
        <v>617</v>
      </c>
      <c r="L66" s="12" t="s">
        <v>26</v>
      </c>
      <c r="M66" s="11" t="s">
        <v>618</v>
      </c>
      <c r="N66" s="11" t="s">
        <v>619</v>
      </c>
      <c r="O66" s="11" t="s">
        <v>620</v>
      </c>
      <c r="P66" s="11" t="s">
        <v>278</v>
      </c>
      <c r="Q66" s="11" t="s">
        <v>621</v>
      </c>
      <c r="R66" s="11" t="s">
        <v>578</v>
      </c>
      <c r="S66" s="11" t="s">
        <v>622</v>
      </c>
      <c r="T66" s="11" t="s">
        <v>110</v>
      </c>
      <c r="U66" s="11" t="s">
        <v>371</v>
      </c>
      <c r="V66" s="11" t="s">
        <v>213</v>
      </c>
      <c r="W66" s="11" t="s">
        <v>73</v>
      </c>
      <c r="X66" s="13" t="str">
        <f aca="false">IF(LEFT(H66,1)="-","N","Y")</f>
        <v>Y</v>
      </c>
      <c r="Y66" s="13" t="n">
        <f aca="false">VALUE(LEFT(A66,1))</f>
        <v>5</v>
      </c>
    </row>
  </sheetData>
  <conditionalFormatting sqref="L4:L66">
    <cfRule type="cellIs" priority="2" operator="equal" aboveAverage="0" equalAverage="0" bottom="0" percent="0" rank="0" text="" dxfId="0">
      <formula>"PASS"</formula>
    </cfRule>
    <cfRule type="cellIs" priority="3" operator="equal" aboveAverage="0" equalAverage="0" bottom="0" percent="0" rank="0" text="" dxfId="1">
      <formula>"FAIL"</formula>
    </cfRule>
    <cfRule type="cellIs" priority="4" operator="equal" aboveAverage="0" equalAverage="0" bottom="0" percent="0" rank="0" text="" dxfId="2">
      <formula>"N/A"</formula>
    </cfRule>
  </conditionalFormatting>
  <dataValidations count="2">
    <dataValidation allowBlank="false" errorStyle="stop" operator="between" showDropDown="false" showErrorMessage="false" showInputMessage="false" sqref="L4:L66" type="list">
      <formula1>"PASS,FAIL,N/A"</formula1>
      <formula2>0</formula2>
    </dataValidation>
    <dataValidation allowBlank="false" errorStyle="stop" operator="between" showDropDown="false" showErrorMessage="false" showInputMessage="false" sqref="E4:E66"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52"/>
    <col collapsed="false" customWidth="true" hidden="false" outlineLevel="0" max="3" min="3" style="0" width="14"/>
    <col collapsed="false" customWidth="true" hidden="false" outlineLevel="0" max="4" min="4" style="0" width="60"/>
  </cols>
  <sheetData>
    <row r="1" customFormat="false" ht="15" hidden="false" customHeight="false" outlineLevel="0" collapsed="false">
      <c r="A1" s="9" t="s">
        <v>623</v>
      </c>
    </row>
    <row r="3" customFormat="false" ht="15" hidden="false" customHeight="false" outlineLevel="0" collapsed="false">
      <c r="A3" s="10" t="s">
        <v>624</v>
      </c>
      <c r="B3" s="10" t="s">
        <v>625</v>
      </c>
      <c r="C3" s="10" t="s">
        <v>626</v>
      </c>
      <c r="D3" s="10" t="s">
        <v>627</v>
      </c>
    </row>
    <row r="4" customFormat="false" ht="15" hidden="false" customHeight="false" outlineLevel="0" collapsed="false">
      <c r="A4" s="11" t="s">
        <v>628</v>
      </c>
      <c r="B4" s="11" t="s">
        <v>629</v>
      </c>
      <c r="C4" s="13" t="n">
        <f aca="false">COUNTA(01_CIS_Assessment!$A$4:$A$66)</f>
        <v>63</v>
      </c>
      <c r="D4" s="11" t="s">
        <v>630</v>
      </c>
    </row>
    <row r="5" customFormat="false" ht="15" hidden="false" customHeight="false" outlineLevel="0" collapsed="false">
      <c r="A5" s="11" t="s">
        <v>24</v>
      </c>
      <c r="B5" s="11"/>
      <c r="C5" s="13" t="n">
        <f aca="false">COUNTIF(01_CIS_Assessment!$L$4:$L$66,"PASS")</f>
        <v>12</v>
      </c>
      <c r="D5" s="11"/>
    </row>
    <row r="6" customFormat="false" ht="15" hidden="false" customHeight="false" outlineLevel="0" collapsed="false">
      <c r="A6" s="11" t="s">
        <v>26</v>
      </c>
      <c r="B6" s="11"/>
      <c r="C6" s="13" t="n">
        <f aca="false">COUNTIF(01_CIS_Assessment!$L$4:$L$66,"FAIL")</f>
        <v>48</v>
      </c>
      <c r="D6" s="11"/>
    </row>
    <row r="7" customFormat="false" ht="15" hidden="false" customHeight="false" outlineLevel="0" collapsed="false">
      <c r="A7" s="11" t="s">
        <v>397</v>
      </c>
      <c r="B7" s="11"/>
      <c r="C7" s="13" t="n">
        <f aca="false">COUNTIF(01_CIS_Assessment!$L$4:$L$66,"N/A")</f>
        <v>3</v>
      </c>
      <c r="D7" s="11" t="s">
        <v>631</v>
      </c>
    </row>
    <row r="8" customFormat="false" ht="15" hidden="false" customHeight="false" outlineLevel="0" collapsed="false">
      <c r="A8" s="11" t="s">
        <v>632</v>
      </c>
      <c r="B8" s="11" t="s">
        <v>633</v>
      </c>
      <c r="C8" s="13" t="n">
        <f aca="false">C4-C7</f>
        <v>60</v>
      </c>
      <c r="D8" s="11"/>
    </row>
    <row r="9" customFormat="false" ht="15" hidden="false" customHeight="false" outlineLevel="0" collapsed="false">
      <c r="A9" s="11" t="s">
        <v>634</v>
      </c>
      <c r="B9" s="11" t="s">
        <v>635</v>
      </c>
      <c r="C9" s="14" t="n">
        <f aca="false">C5/C8</f>
        <v>0.2</v>
      </c>
      <c r="D9" s="11"/>
    </row>
    <row r="10" customFormat="false" ht="15" hidden="false" customHeight="false" outlineLevel="0" collapsed="false">
      <c r="A10" s="11" t="s">
        <v>636</v>
      </c>
      <c r="B10" s="11"/>
      <c r="C10" s="13" t="n">
        <f aca="false">COUNTIF(01_CIS_Assessment!$D$4:$D$66,"Level 1")</f>
        <v>41</v>
      </c>
      <c r="D10" s="11"/>
    </row>
    <row r="11" customFormat="false" ht="15" hidden="false" customHeight="false" outlineLevel="0" collapsed="false">
      <c r="A11" s="11" t="s">
        <v>637</v>
      </c>
      <c r="B11" s="11" t="s">
        <v>638</v>
      </c>
      <c r="C11" s="14" t="n">
        <f aca="false">COUNTIFS(01_CIS_Assessment!$D$4:$D$66,"Level 1",01_CIS_Assessment!$L$4:$L$66,"PASS")/(C10-COUNTIFS(01_CIS_Assessment!$D$4:$D$66,"Level 1",01_CIS_Assessment!$L$4:$L$66,"N/A"))</f>
        <v>0.275</v>
      </c>
      <c r="D11" s="11"/>
    </row>
    <row r="12" customFormat="false" ht="15" hidden="false" customHeight="false" outlineLevel="0" collapsed="false">
      <c r="A12" s="11" t="s">
        <v>639</v>
      </c>
      <c r="B12" s="11" t="s">
        <v>640</v>
      </c>
      <c r="C12" s="13" t="n">
        <f aca="false">COUNTIF(01_CIS_Assessment!$E$4:$E$66,"Y")</f>
        <v>47</v>
      </c>
      <c r="D12" s="11"/>
    </row>
    <row r="13" customFormat="false" ht="15" hidden="false" customHeight="false" outlineLevel="0" collapsed="false">
      <c r="A13" s="11" t="s">
        <v>641</v>
      </c>
      <c r="B13" s="11" t="s">
        <v>642</v>
      </c>
      <c r="C13" s="14" t="n">
        <f aca="false">COUNTIFS(01_CIS_Assessment!$E$4:$E$66,"Y",01_CIS_Assessment!$L$4:$L$66,"PASS")/(C12-COUNTIFS(01_CIS_Assessment!$E$4:$E$66,"Y",01_CIS_Assessment!$L$4:$L$66,"N/A"))</f>
        <v>0.244444444444444</v>
      </c>
      <c r="D13" s="13" t="str">
        <f aca="false">IF(C13&gt;=0.9,"Baseline met","Baseline NOT met")</f>
        <v>Baseline NOT met</v>
      </c>
    </row>
    <row r="14" customFormat="false" ht="15" hidden="false" customHeight="false" outlineLevel="0" collapsed="false">
      <c r="A14" s="11" t="s">
        <v>643</v>
      </c>
      <c r="B14" s="11"/>
      <c r="C14" s="14" t="n">
        <f aca="false">COUNTIFS(01_CIS_Assessment!$G$4:$G$66,"Automated",01_CIS_Assessment!$L$4:$L$66,"PASS")/(COUNTIF(01_CIS_Assessment!$G$4:$G$66,"Automated")-COUNTIFS(01_CIS_Assessment!$G$4:$G$66,"Automated",01_CIS_Assessment!$L$4:$L$66,"N/A"))</f>
        <v>0.272727272727273</v>
      </c>
      <c r="D14" s="11" t="s">
        <v>644</v>
      </c>
    </row>
    <row r="15" customFormat="false" ht="15" hidden="false" customHeight="false" outlineLevel="0" collapsed="false">
      <c r="A15" s="11" t="s">
        <v>645</v>
      </c>
      <c r="B15" s="11"/>
      <c r="C15" s="14" t="n">
        <f aca="false">COUNTIFS(01_CIS_Assessment!$G$4:$G$66,"Manual",01_CIS_Assessment!$L$4:$L$66,"PASS")/(COUNTIF(01_CIS_Assessment!$G$4:$G$66,"Manual")-COUNTIFS(01_CIS_Assessment!$G$4:$G$66,"Manual",01_CIS_Assessment!$L$4:$L$66,"N/A"))</f>
        <v>0.111111111111111</v>
      </c>
      <c r="D15" s="11" t="s">
        <v>646</v>
      </c>
    </row>
    <row r="16" customFormat="false" ht="15" hidden="false" customHeight="false" outlineLevel="0" collapsed="false">
      <c r="A16" s="11" t="s">
        <v>647</v>
      </c>
      <c r="B16" s="11"/>
      <c r="C16" s="13" t="n">
        <f aca="false">COUNTIF(01_CIS_Assessment!$X$4:$X$66,"Y")</f>
        <v>37</v>
      </c>
      <c r="D16" s="11"/>
    </row>
    <row r="17" customFormat="false" ht="15" hidden="false" customHeight="false" outlineLevel="0" collapsed="false">
      <c r="A17" s="11" t="s">
        <v>648</v>
      </c>
      <c r="B17" s="11"/>
      <c r="C17" s="14" t="n">
        <f aca="false">C16/C4</f>
        <v>0.587301587301587</v>
      </c>
      <c r="D17" s="11" t="s">
        <v>649</v>
      </c>
    </row>
    <row r="18" customFormat="false" ht="15" hidden="false" customHeight="false" outlineLevel="0" collapsed="false">
      <c r="A18" s="11" t="s">
        <v>650</v>
      </c>
      <c r="B18" s="11"/>
      <c r="C18" s="13" t="n">
        <f aca="false">COUNTIF(06_Findings_Register!$B$4:$B$18,"Critical")</f>
        <v>3</v>
      </c>
      <c r="D18" s="11"/>
    </row>
    <row r="19" customFormat="false" ht="15" hidden="false" customHeight="false" outlineLevel="0" collapsed="false">
      <c r="A19" s="11" t="s">
        <v>651</v>
      </c>
      <c r="B19" s="11"/>
      <c r="C19" s="13" t="n">
        <f aca="false">COUNTIF(06_Findings_Register!$B$4:$B$18,"High")</f>
        <v>6</v>
      </c>
      <c r="D19" s="11"/>
    </row>
    <row r="20" customFormat="false" ht="15" hidden="false" customHeight="false" outlineLevel="0" collapsed="false">
      <c r="A20" s="11" t="s">
        <v>652</v>
      </c>
      <c r="B20" s="11"/>
      <c r="C20" s="13" t="n">
        <f aca="false">COUNTIF(06_Findings_Register!$B$4:$B$18,"Medium")</f>
        <v>4</v>
      </c>
      <c r="D20" s="11"/>
    </row>
    <row r="21" customFormat="false" ht="15" hidden="false" customHeight="false" outlineLevel="0" collapsed="false">
      <c r="A21" s="11" t="s">
        <v>653</v>
      </c>
      <c r="B21" s="11"/>
      <c r="C21" s="13" t="n">
        <f aca="false">COUNTIF(06_Findings_Register!$B$4:$B$18,"Low")</f>
        <v>2</v>
      </c>
      <c r="D21" s="11"/>
    </row>
    <row r="22" customFormat="false" ht="15" hidden="false" customHeight="false" outlineLevel="0" collapsed="false">
      <c r="A22" s="11" t="s">
        <v>654</v>
      </c>
      <c r="B22" s="11"/>
      <c r="C22" s="13" t="n">
        <f aca="false">COUNTIF(04_CUEC_Closeout!$E$4:$E$7,"PERFORMED")</f>
        <v>0</v>
      </c>
      <c r="D22" s="11" t="s">
        <v>655</v>
      </c>
    </row>
    <row r="23" customFormat="false" ht="22.35" hidden="false" customHeight="false" outlineLevel="0" collapsed="false">
      <c r="A23" s="15" t="s">
        <v>656</v>
      </c>
      <c r="B23" s="11" t="s">
        <v>657</v>
      </c>
      <c r="C23" s="13" t="str">
        <f aca="false">IF(AND(C13&gt;=0.9,C18=0,C19=0),"GO","NO-GO")</f>
        <v>NO-GO</v>
      </c>
      <c r="D23" s="11" t="s">
        <v>658</v>
      </c>
    </row>
    <row r="26" customFormat="false" ht="15" hidden="false" customHeight="false" outlineLevel="0" collapsed="false">
      <c r="A26" s="9" t="s">
        <v>659</v>
      </c>
    </row>
    <row r="27" customFormat="false" ht="15" hidden="false" customHeight="false" outlineLevel="0" collapsed="false">
      <c r="A27" s="16" t="s">
        <v>43</v>
      </c>
      <c r="B27" s="16" t="s">
        <v>660</v>
      </c>
      <c r="C27" s="16" t="s">
        <v>24</v>
      </c>
      <c r="D27" s="16" t="s">
        <v>26</v>
      </c>
      <c r="E27" s="16" t="s">
        <v>397</v>
      </c>
      <c r="F27" s="16" t="s">
        <v>661</v>
      </c>
    </row>
    <row r="28" customFormat="false" ht="15" hidden="false" customHeight="false" outlineLevel="0" collapsed="false">
      <c r="A28" s="11" t="s">
        <v>68</v>
      </c>
      <c r="B28" s="13" t="n">
        <f aca="false">COUNTIF(01_CIS_Assessment!$Y$4:$Y$66,1)</f>
        <v>21</v>
      </c>
      <c r="C28" s="13" t="n">
        <f aca="false">COUNTIFS(01_CIS_Assessment!$Y$4:$Y$66,1,01_CIS_Assessment!$L$4:$L$66,"PASS")</f>
        <v>7</v>
      </c>
      <c r="D28" s="13" t="n">
        <f aca="false">COUNTIFS(01_CIS_Assessment!$Y$4:$Y$66,1,01_CIS_Assessment!$L$4:$L$66,"FAIL")</f>
        <v>14</v>
      </c>
      <c r="E28" s="13" t="n">
        <f aca="false">COUNTIFS(01_CIS_Assessment!$Y$4:$Y$66,1,01_CIS_Assessment!$L$4:$L$66,"N/A")</f>
        <v>0</v>
      </c>
      <c r="F28" s="14" t="n">
        <f aca="false">IF(B28-E28=0,0,C28/(B28-E28))</f>
        <v>0.333333333333333</v>
      </c>
    </row>
    <row r="29" customFormat="false" ht="15" hidden="false" customHeight="false" outlineLevel="0" collapsed="false">
      <c r="A29" s="11" t="s">
        <v>662</v>
      </c>
      <c r="B29" s="13" t="n">
        <f aca="false">COUNTIF(01_CIS_Assessment!$Y$4:$Y$66,2)</f>
        <v>9</v>
      </c>
      <c r="C29" s="13" t="n">
        <f aca="false">COUNTIFS(01_CIS_Assessment!$Y$4:$Y$66,2,01_CIS_Assessment!$L$4:$L$66,"PASS")</f>
        <v>3</v>
      </c>
      <c r="D29" s="13" t="n">
        <f aca="false">COUNTIFS(01_CIS_Assessment!$Y$4:$Y$66,2,01_CIS_Assessment!$L$4:$L$66,"FAIL")</f>
        <v>5</v>
      </c>
      <c r="E29" s="13" t="n">
        <f aca="false">COUNTIFS(01_CIS_Assessment!$Y$4:$Y$66,2,01_CIS_Assessment!$L$4:$L$66,"N/A")</f>
        <v>1</v>
      </c>
      <c r="F29" s="14" t="n">
        <f aca="false">IF(B29-E29=0,0,C29/(B29-E29))</f>
        <v>0.375</v>
      </c>
    </row>
    <row r="30" customFormat="false" ht="15" hidden="false" customHeight="false" outlineLevel="0" collapsed="false">
      <c r="A30" s="11" t="s">
        <v>403</v>
      </c>
      <c r="B30" s="13" t="n">
        <f aca="false">COUNTIF(01_CIS_Assessment!$Y$4:$Y$66,3)</f>
        <v>9</v>
      </c>
      <c r="C30" s="13" t="n">
        <f aca="false">COUNTIFS(01_CIS_Assessment!$Y$4:$Y$66,3,01_CIS_Assessment!$L$4:$L$66,"PASS")</f>
        <v>0</v>
      </c>
      <c r="D30" s="13" t="n">
        <f aca="false">COUNTIFS(01_CIS_Assessment!$Y$4:$Y$66,3,01_CIS_Assessment!$L$4:$L$66,"FAIL")</f>
        <v>8</v>
      </c>
      <c r="E30" s="13" t="n">
        <f aca="false">COUNTIFS(01_CIS_Assessment!$Y$4:$Y$66,3,01_CIS_Assessment!$L$4:$L$66,"N/A")</f>
        <v>1</v>
      </c>
      <c r="F30" s="14" t="n">
        <f aca="false">IF(B30-E30=0,0,C30/(B30-E30))</f>
        <v>0</v>
      </c>
    </row>
    <row r="31" customFormat="false" ht="15" hidden="false" customHeight="false" outlineLevel="0" collapsed="false">
      <c r="A31" s="11" t="s">
        <v>495</v>
      </c>
      <c r="B31" s="13" t="n">
        <f aca="false">COUNTIF(01_CIS_Assessment!$Y$4:$Y$66,4)</f>
        <v>16</v>
      </c>
      <c r="C31" s="13" t="n">
        <f aca="false">COUNTIFS(01_CIS_Assessment!$Y$4:$Y$66,4,01_CIS_Assessment!$L$4:$L$66,"PASS")</f>
        <v>0</v>
      </c>
      <c r="D31" s="13" t="n">
        <f aca="false">COUNTIFS(01_CIS_Assessment!$Y$4:$Y$66,4,01_CIS_Assessment!$L$4:$L$66,"FAIL")</f>
        <v>16</v>
      </c>
      <c r="E31" s="13" t="n">
        <f aca="false">COUNTIFS(01_CIS_Assessment!$Y$4:$Y$66,4,01_CIS_Assessment!$L$4:$L$66,"N/A")</f>
        <v>0</v>
      </c>
      <c r="F31" s="14" t="n">
        <f aca="false">IF(B31-E31=0,0,C31/(B31-E31))</f>
        <v>0</v>
      </c>
    </row>
    <row r="32" customFormat="false" ht="15" hidden="false" customHeight="false" outlineLevel="0" collapsed="false">
      <c r="A32" s="11" t="s">
        <v>570</v>
      </c>
      <c r="B32" s="13" t="n">
        <f aca="false">COUNTIF(01_CIS_Assessment!$Y$4:$Y$66,5)</f>
        <v>8</v>
      </c>
      <c r="C32" s="13" t="n">
        <f aca="false">COUNTIFS(01_CIS_Assessment!$Y$4:$Y$66,5,01_CIS_Assessment!$L$4:$L$66,"PASS")</f>
        <v>2</v>
      </c>
      <c r="D32" s="13" t="n">
        <f aca="false">COUNTIFS(01_CIS_Assessment!$Y$4:$Y$66,5,01_CIS_Assessment!$L$4:$L$66,"FAIL")</f>
        <v>5</v>
      </c>
      <c r="E32" s="13" t="n">
        <f aca="false">COUNTIFS(01_CIS_Assessment!$Y$4:$Y$66,5,01_CIS_Assessment!$L$4:$L$66,"N/A")</f>
        <v>1</v>
      </c>
      <c r="F32" s="14" t="n">
        <f aca="false">IF(B32-E32=0,0,C32/(B32-E32))</f>
        <v>0.285714285714286</v>
      </c>
    </row>
    <row r="33" customFormat="false" ht="15" hidden="false" customHeight="false" outlineLevel="0" collapsed="false">
      <c r="A33" s="15" t="s">
        <v>663</v>
      </c>
      <c r="B33" s="13" t="n">
        <f aca="false">SUM(B28:B32)</f>
        <v>63</v>
      </c>
      <c r="C33" s="13" t="n">
        <f aca="false">SUM(C28:C32)</f>
        <v>12</v>
      </c>
      <c r="D33" s="13" t="n">
        <f aca="false">SUM(D28:D32)</f>
        <v>48</v>
      </c>
      <c r="E33" s="13" t="n">
        <f aca="false">SUM(E28:E32)</f>
        <v>3</v>
      </c>
      <c r="F33" s="14" t="n">
        <f aca="false">C33/(B33-E33)</f>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0"/>
    <col collapsed="false" customWidth="true" hidden="false" outlineLevel="0" max="3" min="3" style="0" width="16"/>
    <col collapsed="false" customWidth="true" hidden="false" outlineLevel="0" max="4" min="4" style="0" width="52"/>
    <col collapsed="false" customWidth="true" hidden="false" outlineLevel="0" max="5" min="5" style="0" width="8"/>
    <col collapsed="false" customWidth="true" hidden="false" outlineLevel="0" max="6" min="6" style="0" width="10"/>
    <col collapsed="false" customWidth="true" hidden="false" outlineLevel="0" max="7" min="7" style="0" width="8"/>
    <col collapsed="false" customWidth="true" hidden="false" outlineLevel="0" max="8" min="8" style="0" width="70"/>
    <col collapsed="false" customWidth="true" hidden="false" outlineLevel="0" max="9" min="9" style="0" width="10"/>
  </cols>
  <sheetData>
    <row r="1" customFormat="false" ht="15" hidden="false" customHeight="false" outlineLevel="0" collapsed="false">
      <c r="A1" s="9" t="s">
        <v>664</v>
      </c>
    </row>
    <row r="3" customFormat="false" ht="22.35" hidden="false" customHeight="false" outlineLevel="0" collapsed="false">
      <c r="A3" s="10" t="s">
        <v>665</v>
      </c>
      <c r="B3" s="10" t="s">
        <v>666</v>
      </c>
      <c r="C3" s="10" t="s">
        <v>667</v>
      </c>
      <c r="D3" s="10" t="s">
        <v>668</v>
      </c>
      <c r="E3" s="10" t="s">
        <v>669</v>
      </c>
      <c r="F3" s="10" t="s">
        <v>670</v>
      </c>
      <c r="G3" s="10" t="s">
        <v>626</v>
      </c>
      <c r="H3" s="10" t="s">
        <v>671</v>
      </c>
      <c r="I3" s="10" t="s">
        <v>672</v>
      </c>
    </row>
    <row r="4" customFormat="false" ht="32.8" hidden="false" customHeight="false" outlineLevel="0" collapsed="false">
      <c r="A4" s="11" t="s">
        <v>673</v>
      </c>
      <c r="B4" s="11" t="s">
        <v>113</v>
      </c>
      <c r="C4" s="11" t="s">
        <v>115</v>
      </c>
      <c r="D4" s="11" t="s">
        <v>674</v>
      </c>
      <c r="E4" s="11" t="s">
        <v>70</v>
      </c>
      <c r="F4" s="11" t="s">
        <v>101</v>
      </c>
      <c r="G4" s="11" t="s">
        <v>24</v>
      </c>
      <c r="H4" s="11" t="s">
        <v>116</v>
      </c>
      <c r="I4" s="11" t="s">
        <v>73</v>
      </c>
    </row>
    <row r="5" customFormat="false" ht="53.7" hidden="false" customHeight="false" outlineLevel="0" collapsed="false">
      <c r="A5" s="11" t="s">
        <v>675</v>
      </c>
      <c r="B5" s="11" t="s">
        <v>336</v>
      </c>
      <c r="C5" s="11" t="s">
        <v>338</v>
      </c>
      <c r="D5" s="11" t="s">
        <v>676</v>
      </c>
      <c r="E5" s="11" t="s">
        <v>70</v>
      </c>
      <c r="F5" s="11" t="s">
        <v>101</v>
      </c>
      <c r="G5" s="11" t="s">
        <v>26</v>
      </c>
      <c r="H5" s="11" t="s">
        <v>340</v>
      </c>
      <c r="I5" s="11" t="s">
        <v>345</v>
      </c>
    </row>
    <row r="6" customFormat="false" ht="22.35" hidden="false" customHeight="false" outlineLevel="0" collapsed="false">
      <c r="A6" s="11" t="s">
        <v>677</v>
      </c>
      <c r="B6" s="11" t="s">
        <v>417</v>
      </c>
      <c r="C6" s="11" t="s">
        <v>420</v>
      </c>
      <c r="D6" s="11" t="s">
        <v>678</v>
      </c>
      <c r="E6" s="11" t="s">
        <v>123</v>
      </c>
      <c r="F6" s="11" t="s">
        <v>101</v>
      </c>
      <c r="G6" s="11" t="s">
        <v>26</v>
      </c>
      <c r="H6" s="11" t="s">
        <v>421</v>
      </c>
      <c r="I6" s="11" t="s">
        <v>412</v>
      </c>
    </row>
    <row r="7" customFormat="false" ht="43.25" hidden="false" customHeight="false" outlineLevel="0" collapsed="false">
      <c r="A7" s="11" t="s">
        <v>679</v>
      </c>
      <c r="B7" s="11" t="s">
        <v>510</v>
      </c>
      <c r="C7" s="11" t="s">
        <v>497</v>
      </c>
      <c r="D7" s="11" t="s">
        <v>680</v>
      </c>
      <c r="E7" s="11" t="s">
        <v>70</v>
      </c>
      <c r="F7" s="11" t="s">
        <v>72</v>
      </c>
      <c r="G7" s="11" t="s">
        <v>26</v>
      </c>
      <c r="H7" s="11" t="s">
        <v>512</v>
      </c>
      <c r="I7" s="11" t="s">
        <v>435</v>
      </c>
    </row>
    <row r="8" customFormat="false" ht="32.8" hidden="false" customHeight="false" outlineLevel="0" collapsed="false">
      <c r="A8" s="11" t="s">
        <v>681</v>
      </c>
      <c r="B8" s="11" t="s">
        <v>580</v>
      </c>
      <c r="C8" s="11" t="s">
        <v>582</v>
      </c>
      <c r="D8" s="11" t="s">
        <v>682</v>
      </c>
      <c r="E8" s="11" t="s">
        <v>70</v>
      </c>
      <c r="F8" s="11" t="s">
        <v>101</v>
      </c>
      <c r="G8" s="11" t="s">
        <v>26</v>
      </c>
      <c r="H8" s="11" t="s">
        <v>584</v>
      </c>
      <c r="I8" s="11" t="s">
        <v>578</v>
      </c>
    </row>
  </sheetData>
  <conditionalFormatting sqref="G4:G8">
    <cfRule type="cellIs" priority="2" operator="equal" aboveAverage="0" equalAverage="0" bottom="0" percent="0" rank="0" text="" dxfId="0">
      <formula>"PASS"</formula>
    </cfRule>
    <cfRule type="cellIs" priority="3" operator="equal" aboveAverage="0" equalAverage="0" bottom="0" percent="0" rank="0" text="" dxfId="1">
      <formula>"FAIL"</formula>
    </cfRule>
    <cfRule type="cellIs" priority="4" operator="equal" aboveAverage="0" equalAverage="0" bottom="0" percent="0" rank="0" text="" dxfId="2">
      <formula>"N/A"</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0"/>
    <col collapsed="false" customWidth="true" hidden="false" outlineLevel="0" max="3" min="3" style="0" width="18"/>
    <col collapsed="false" customWidth="true" hidden="false" outlineLevel="0" max="4" min="4" style="0" width="34"/>
    <col collapsed="false" customWidth="true" hidden="false" outlineLevel="0" max="5" min="5" style="0" width="18"/>
    <col collapsed="false" customWidth="true" hidden="false" outlineLevel="0" max="6" min="6" style="0" width="60"/>
    <col collapsed="false" customWidth="true" hidden="false" outlineLevel="0" max="7" min="7" style="0" width="18"/>
    <col collapsed="false" customWidth="true" hidden="false" outlineLevel="0" max="8" min="8" style="0" width="12"/>
    <col collapsed="false" customWidth="true" hidden="false" outlineLevel="0" max="9" min="9" style="0" width="22"/>
  </cols>
  <sheetData>
    <row r="1" customFormat="false" ht="15" hidden="false" customHeight="false" outlineLevel="0" collapsed="false">
      <c r="A1" s="9" t="s">
        <v>683</v>
      </c>
    </row>
    <row r="3" customFormat="false" ht="22.35" hidden="false" customHeight="false" outlineLevel="0" collapsed="false">
      <c r="A3" s="10" t="s">
        <v>64</v>
      </c>
      <c r="B3" s="10" t="s">
        <v>684</v>
      </c>
      <c r="C3" s="10" t="s">
        <v>685</v>
      </c>
      <c r="D3" s="10" t="s">
        <v>686</v>
      </c>
      <c r="E3" s="10" t="s">
        <v>687</v>
      </c>
      <c r="F3" s="10" t="s">
        <v>688</v>
      </c>
      <c r="G3" s="10" t="s">
        <v>689</v>
      </c>
      <c r="H3" s="10" t="s">
        <v>690</v>
      </c>
      <c r="I3" s="10" t="s">
        <v>691</v>
      </c>
    </row>
    <row r="4" customFormat="false" ht="22.35" hidden="false" customHeight="false" outlineLevel="0" collapsed="false">
      <c r="A4" s="11" t="s">
        <v>416</v>
      </c>
      <c r="B4" s="11" t="s">
        <v>692</v>
      </c>
      <c r="C4" s="11" t="s">
        <v>693</v>
      </c>
      <c r="D4" s="11" t="s">
        <v>694</v>
      </c>
      <c r="E4" s="11" t="s">
        <v>695</v>
      </c>
      <c r="F4" s="11" t="s">
        <v>696</v>
      </c>
      <c r="G4" s="11" t="s">
        <v>697</v>
      </c>
      <c r="H4" s="11" t="s">
        <v>698</v>
      </c>
      <c r="I4" s="11" t="s">
        <v>699</v>
      </c>
    </row>
    <row r="5" customFormat="false" ht="32.8" hidden="false" customHeight="false" outlineLevel="0" collapsed="false">
      <c r="A5" s="11" t="s">
        <v>112</v>
      </c>
      <c r="B5" s="11" t="s">
        <v>700</v>
      </c>
      <c r="C5" s="11" t="s">
        <v>701</v>
      </c>
      <c r="D5" s="11" t="s">
        <v>702</v>
      </c>
      <c r="E5" s="11" t="s">
        <v>695</v>
      </c>
      <c r="F5" s="11" t="s">
        <v>703</v>
      </c>
      <c r="G5" s="11" t="s">
        <v>704</v>
      </c>
      <c r="H5" s="11" t="s">
        <v>130</v>
      </c>
      <c r="I5" s="11" t="s">
        <v>705</v>
      </c>
    </row>
    <row r="6" customFormat="false" ht="32.8" hidden="false" customHeight="false" outlineLevel="0" collapsed="false">
      <c r="A6" s="11" t="s">
        <v>172</v>
      </c>
      <c r="B6" s="11" t="s">
        <v>706</v>
      </c>
      <c r="C6" s="11" t="s">
        <v>707</v>
      </c>
      <c r="D6" s="11" t="s">
        <v>708</v>
      </c>
      <c r="E6" s="11" t="s">
        <v>695</v>
      </c>
      <c r="F6" s="11" t="s">
        <v>709</v>
      </c>
      <c r="G6" s="11" t="s">
        <v>697</v>
      </c>
      <c r="H6" s="11" t="s">
        <v>710</v>
      </c>
      <c r="I6" s="11" t="s">
        <v>711</v>
      </c>
    </row>
    <row r="7" customFormat="false" ht="32.8" hidden="false" customHeight="false" outlineLevel="0" collapsed="false">
      <c r="A7" s="11" t="s">
        <v>269</v>
      </c>
      <c r="B7" s="11" t="s">
        <v>712</v>
      </c>
      <c r="C7" s="11" t="s">
        <v>713</v>
      </c>
      <c r="D7" s="11" t="s">
        <v>714</v>
      </c>
      <c r="E7" s="11" t="s">
        <v>695</v>
      </c>
      <c r="F7" s="11" t="s">
        <v>715</v>
      </c>
      <c r="G7" s="11" t="s">
        <v>704</v>
      </c>
      <c r="H7" s="11" t="s">
        <v>716</v>
      </c>
      <c r="I7" s="11" t="s">
        <v>717</v>
      </c>
    </row>
  </sheetData>
  <conditionalFormatting sqref="E4:E7">
    <cfRule type="cellIs" priority="2" operator="equal" aboveAverage="0" equalAverage="0" bottom="0" percent="0" rank="0" text="" dxfId="1">
      <formula>"NOT PERFORMED"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6"/>
    <col collapsed="false" customWidth="true" hidden="false" outlineLevel="0" max="3" min="3" style="0" width="12"/>
    <col collapsed="false" customWidth="true" hidden="false" outlineLevel="0" max="4" min="4" style="0" width="20"/>
    <col collapsed="false" customWidth="true" hidden="false" outlineLevel="0" max="5" min="5" style="0" width="70"/>
    <col collapsed="false" customWidth="true" hidden="false" outlineLevel="0" max="6" min="6" style="0" width="10"/>
  </cols>
  <sheetData>
    <row r="1" customFormat="false" ht="15" hidden="false" customHeight="false" outlineLevel="0" collapsed="false">
      <c r="A1" s="9" t="s">
        <v>718</v>
      </c>
    </row>
    <row r="3" customFormat="false" ht="15" hidden="false" customHeight="false" outlineLevel="0" collapsed="false">
      <c r="A3" s="10" t="s">
        <v>719</v>
      </c>
      <c r="B3" s="10" t="s">
        <v>720</v>
      </c>
      <c r="C3" s="10" t="s">
        <v>721</v>
      </c>
      <c r="D3" s="10" t="s">
        <v>722</v>
      </c>
      <c r="E3" s="10" t="s">
        <v>723</v>
      </c>
      <c r="F3" s="10" t="s">
        <v>724</v>
      </c>
    </row>
    <row r="4" customFormat="false" ht="43.25" hidden="false" customHeight="false" outlineLevel="0" collapsed="false">
      <c r="A4" s="11" t="s">
        <v>725</v>
      </c>
      <c r="B4" s="11" t="s">
        <v>726</v>
      </c>
      <c r="C4" s="11" t="s">
        <v>727</v>
      </c>
      <c r="D4" s="11" t="s">
        <v>728</v>
      </c>
      <c r="E4" s="11" t="s">
        <v>729</v>
      </c>
      <c r="F4" s="11" t="s">
        <v>730</v>
      </c>
    </row>
    <row r="5" customFormat="false" ht="22.35" hidden="false" customHeight="false" outlineLevel="0" collapsed="false">
      <c r="A5" s="11" t="s">
        <v>731</v>
      </c>
      <c r="B5" s="11" t="s">
        <v>732</v>
      </c>
      <c r="C5" s="11" t="s">
        <v>727</v>
      </c>
      <c r="D5" s="11" t="s">
        <v>733</v>
      </c>
      <c r="E5" s="11" t="s">
        <v>734</v>
      </c>
      <c r="F5" s="11" t="s">
        <v>73</v>
      </c>
    </row>
    <row r="6" customFormat="false" ht="22.35" hidden="false" customHeight="false" outlineLevel="0" collapsed="false">
      <c r="A6" s="11" t="s">
        <v>735</v>
      </c>
      <c r="B6" s="11" t="s">
        <v>736</v>
      </c>
      <c r="C6" s="11" t="s">
        <v>727</v>
      </c>
      <c r="D6" s="11" t="s">
        <v>733</v>
      </c>
      <c r="E6" s="11" t="s">
        <v>737</v>
      </c>
      <c r="F6" s="11" t="s">
        <v>73</v>
      </c>
    </row>
    <row r="7" customFormat="false" ht="22.35" hidden="false" customHeight="false" outlineLevel="0" collapsed="false">
      <c r="A7" s="11" t="s">
        <v>738</v>
      </c>
      <c r="B7" s="11" t="s">
        <v>739</v>
      </c>
      <c r="C7" s="11" t="s">
        <v>727</v>
      </c>
      <c r="D7" s="11" t="s">
        <v>733</v>
      </c>
      <c r="E7" s="11" t="s">
        <v>740</v>
      </c>
      <c r="F7" s="11" t="s">
        <v>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9"/>
    <col collapsed="false" customWidth="true" hidden="false" outlineLevel="0" max="3" min="3" style="0" width="36"/>
    <col collapsed="false" customWidth="true" hidden="false" outlineLevel="0" max="4" min="4" style="0" width="16"/>
    <col collapsed="false" customWidth="true" hidden="false" outlineLevel="0" max="5" min="5" style="0" width="60"/>
    <col collapsed="false" customWidth="true" hidden="false" outlineLevel="0" max="6" min="6" style="0" width="40"/>
    <col collapsed="false" customWidth="true" hidden="false" outlineLevel="0" max="7" min="7" style="0" width="52"/>
    <col collapsed="false" customWidth="true" hidden="false" outlineLevel="0" max="8" min="8" style="0" width="8"/>
    <col collapsed="false" customWidth="true" hidden="false" outlineLevel="0" max="10" min="9" style="0" width="18"/>
    <col collapsed="false" customWidth="true" hidden="false" outlineLevel="0" max="11" min="11" style="0" width="12"/>
    <col collapsed="false" customWidth="true" hidden="false" outlineLevel="0" max="12" min="12" style="0" width="14"/>
    <col collapsed="false" customWidth="true" hidden="false" outlineLevel="0" max="14" min="13" style="0" width="8"/>
  </cols>
  <sheetData>
    <row r="1" customFormat="false" ht="15" hidden="false" customHeight="false" outlineLevel="0" collapsed="false">
      <c r="A1" s="9" t="s">
        <v>741</v>
      </c>
    </row>
    <row r="3" customFormat="false" ht="22.35" hidden="false" customHeight="false" outlineLevel="0" collapsed="false">
      <c r="A3" s="10" t="s">
        <v>59</v>
      </c>
      <c r="B3" s="10" t="s">
        <v>742</v>
      </c>
      <c r="C3" s="10" t="s">
        <v>743</v>
      </c>
      <c r="D3" s="10" t="s">
        <v>744</v>
      </c>
      <c r="E3" s="10" t="s">
        <v>745</v>
      </c>
      <c r="F3" s="10" t="s">
        <v>746</v>
      </c>
      <c r="G3" s="10" t="s">
        <v>747</v>
      </c>
      <c r="H3" s="10" t="s">
        <v>748</v>
      </c>
      <c r="I3" s="10" t="s">
        <v>689</v>
      </c>
      <c r="J3" s="10" t="s">
        <v>721</v>
      </c>
      <c r="K3" s="10" t="s">
        <v>724</v>
      </c>
      <c r="L3" s="10" t="s">
        <v>63</v>
      </c>
      <c r="M3" s="10" t="s">
        <v>749</v>
      </c>
      <c r="N3" s="10" t="s">
        <v>670</v>
      </c>
    </row>
    <row r="4" customFormat="false" ht="53.7" hidden="false" customHeight="false" outlineLevel="0" collapsed="false">
      <c r="A4" s="11" t="s">
        <v>578</v>
      </c>
      <c r="B4" s="11" t="s">
        <v>750</v>
      </c>
      <c r="C4" s="11" t="s">
        <v>751</v>
      </c>
      <c r="D4" s="11" t="s">
        <v>752</v>
      </c>
      <c r="E4" s="11" t="s">
        <v>753</v>
      </c>
      <c r="F4" s="11" t="s">
        <v>754</v>
      </c>
      <c r="G4" s="11" t="s">
        <v>755</v>
      </c>
      <c r="H4" s="11" t="s">
        <v>756</v>
      </c>
      <c r="I4" s="11" t="s">
        <v>697</v>
      </c>
      <c r="J4" s="11" t="s">
        <v>757</v>
      </c>
      <c r="K4" s="11" t="s">
        <v>758</v>
      </c>
      <c r="L4" s="11" t="s">
        <v>247</v>
      </c>
      <c r="M4" s="11" t="s">
        <v>73</v>
      </c>
      <c r="N4" s="12" t="s">
        <v>759</v>
      </c>
    </row>
    <row r="5" customFormat="false" ht="53.7" hidden="false" customHeight="false" outlineLevel="0" collapsed="false">
      <c r="A5" s="11" t="s">
        <v>181</v>
      </c>
      <c r="B5" s="11" t="s">
        <v>750</v>
      </c>
      <c r="C5" s="11" t="s">
        <v>760</v>
      </c>
      <c r="D5" s="11" t="s">
        <v>761</v>
      </c>
      <c r="E5" s="11" t="s">
        <v>762</v>
      </c>
      <c r="F5" s="11" t="s">
        <v>763</v>
      </c>
      <c r="G5" s="11" t="s">
        <v>764</v>
      </c>
      <c r="H5" s="11" t="s">
        <v>756</v>
      </c>
      <c r="I5" s="11" t="s">
        <v>697</v>
      </c>
      <c r="J5" s="11" t="s">
        <v>765</v>
      </c>
      <c r="K5" s="11" t="s">
        <v>766</v>
      </c>
      <c r="L5" s="11" t="s">
        <v>767</v>
      </c>
      <c r="M5" s="11" t="s">
        <v>172</v>
      </c>
      <c r="N5" s="12" t="s">
        <v>759</v>
      </c>
    </row>
    <row r="6" customFormat="false" ht="85.05" hidden="false" customHeight="false" outlineLevel="0" collapsed="false">
      <c r="A6" s="11" t="s">
        <v>332</v>
      </c>
      <c r="B6" s="11" t="s">
        <v>750</v>
      </c>
      <c r="C6" s="11" t="s">
        <v>768</v>
      </c>
      <c r="D6" s="11" t="s">
        <v>769</v>
      </c>
      <c r="E6" s="11" t="s">
        <v>770</v>
      </c>
      <c r="F6" s="11" t="s">
        <v>771</v>
      </c>
      <c r="G6" s="11" t="s">
        <v>772</v>
      </c>
      <c r="H6" s="11" t="s">
        <v>756</v>
      </c>
      <c r="I6" s="11" t="s">
        <v>704</v>
      </c>
      <c r="J6" s="11" t="s">
        <v>773</v>
      </c>
      <c r="K6" s="11" t="s">
        <v>774</v>
      </c>
      <c r="L6" s="11" t="s">
        <v>775</v>
      </c>
      <c r="M6" s="11" t="s">
        <v>269</v>
      </c>
      <c r="N6" s="12" t="s">
        <v>759</v>
      </c>
    </row>
    <row r="7" customFormat="false" ht="64.15" hidden="false" customHeight="false" outlineLevel="0" collapsed="false">
      <c r="A7" s="11" t="s">
        <v>776</v>
      </c>
      <c r="B7" s="11" t="s">
        <v>777</v>
      </c>
      <c r="C7" s="11" t="s">
        <v>778</v>
      </c>
      <c r="D7" s="11" t="s">
        <v>779</v>
      </c>
      <c r="E7" s="11" t="s">
        <v>780</v>
      </c>
      <c r="F7" s="11" t="s">
        <v>781</v>
      </c>
      <c r="G7" s="11" t="s">
        <v>782</v>
      </c>
      <c r="H7" s="11" t="s">
        <v>783</v>
      </c>
      <c r="I7" s="11" t="s">
        <v>704</v>
      </c>
      <c r="J7" s="11" t="s">
        <v>784</v>
      </c>
      <c r="K7" s="11" t="s">
        <v>785</v>
      </c>
      <c r="L7" s="11" t="s">
        <v>84</v>
      </c>
      <c r="M7" s="11" t="s">
        <v>73</v>
      </c>
      <c r="N7" s="12" t="s">
        <v>759</v>
      </c>
    </row>
    <row r="8" customFormat="false" ht="74.6" hidden="false" customHeight="false" outlineLevel="0" collapsed="false">
      <c r="A8" s="11" t="s">
        <v>457</v>
      </c>
      <c r="B8" s="11" t="s">
        <v>777</v>
      </c>
      <c r="C8" s="11" t="s">
        <v>786</v>
      </c>
      <c r="D8" s="11" t="s">
        <v>787</v>
      </c>
      <c r="E8" s="11" t="s">
        <v>788</v>
      </c>
      <c r="F8" s="11" t="s">
        <v>789</v>
      </c>
      <c r="G8" s="11" t="s">
        <v>790</v>
      </c>
      <c r="H8" s="11" t="s">
        <v>783</v>
      </c>
      <c r="I8" s="11" t="s">
        <v>704</v>
      </c>
      <c r="J8" s="11" t="s">
        <v>791</v>
      </c>
      <c r="K8" s="11" t="s">
        <v>792</v>
      </c>
      <c r="L8" s="11" t="s">
        <v>359</v>
      </c>
      <c r="M8" s="11" t="s">
        <v>269</v>
      </c>
      <c r="N8" s="12" t="s">
        <v>759</v>
      </c>
    </row>
    <row r="9" customFormat="false" ht="43.25" hidden="false" customHeight="false" outlineLevel="0" collapsed="false">
      <c r="A9" s="11" t="s">
        <v>412</v>
      </c>
      <c r="B9" s="11" t="s">
        <v>777</v>
      </c>
      <c r="C9" s="11" t="s">
        <v>793</v>
      </c>
      <c r="D9" s="11" t="s">
        <v>693</v>
      </c>
      <c r="E9" s="11" t="s">
        <v>794</v>
      </c>
      <c r="F9" s="11" t="s">
        <v>795</v>
      </c>
      <c r="G9" s="11" t="s">
        <v>796</v>
      </c>
      <c r="H9" s="11" t="s">
        <v>797</v>
      </c>
      <c r="I9" s="11" t="s">
        <v>697</v>
      </c>
      <c r="J9" s="11" t="s">
        <v>784</v>
      </c>
      <c r="K9" s="11" t="s">
        <v>798</v>
      </c>
      <c r="L9" s="11" t="s">
        <v>184</v>
      </c>
      <c r="M9" s="11" t="s">
        <v>416</v>
      </c>
      <c r="N9" s="12" t="s">
        <v>759</v>
      </c>
    </row>
    <row r="10" customFormat="false" ht="53.7" hidden="false" customHeight="false" outlineLevel="0" collapsed="false">
      <c r="A10" s="11" t="s">
        <v>435</v>
      </c>
      <c r="B10" s="11" t="s">
        <v>777</v>
      </c>
      <c r="C10" s="11" t="s">
        <v>799</v>
      </c>
      <c r="D10" s="11" t="s">
        <v>800</v>
      </c>
      <c r="E10" s="11" t="s">
        <v>801</v>
      </c>
      <c r="F10" s="11" t="s">
        <v>802</v>
      </c>
      <c r="G10" s="11" t="s">
        <v>803</v>
      </c>
      <c r="H10" s="11" t="s">
        <v>783</v>
      </c>
      <c r="I10" s="11" t="s">
        <v>697</v>
      </c>
      <c r="J10" s="11" t="s">
        <v>804</v>
      </c>
      <c r="K10" s="11" t="s">
        <v>805</v>
      </c>
      <c r="L10" s="11" t="s">
        <v>806</v>
      </c>
      <c r="M10" s="11" t="s">
        <v>416</v>
      </c>
      <c r="N10" s="12" t="s">
        <v>759</v>
      </c>
    </row>
    <row r="11" customFormat="false" ht="64.15" hidden="false" customHeight="false" outlineLevel="0" collapsed="false">
      <c r="A11" s="11" t="s">
        <v>130</v>
      </c>
      <c r="B11" s="11" t="s">
        <v>777</v>
      </c>
      <c r="C11" s="11" t="s">
        <v>807</v>
      </c>
      <c r="D11" s="11" t="s">
        <v>808</v>
      </c>
      <c r="E11" s="11" t="s">
        <v>809</v>
      </c>
      <c r="F11" s="11" t="s">
        <v>810</v>
      </c>
      <c r="G11" s="11" t="s">
        <v>811</v>
      </c>
      <c r="H11" s="11" t="s">
        <v>756</v>
      </c>
      <c r="I11" s="11" t="s">
        <v>704</v>
      </c>
      <c r="J11" s="11" t="s">
        <v>784</v>
      </c>
      <c r="K11" s="11" t="s">
        <v>812</v>
      </c>
      <c r="L11" s="11" t="s">
        <v>84</v>
      </c>
      <c r="M11" s="11" t="s">
        <v>112</v>
      </c>
      <c r="N11" s="12" t="s">
        <v>759</v>
      </c>
    </row>
    <row r="12" customFormat="false" ht="64.15" hidden="false" customHeight="false" outlineLevel="0" collapsed="false">
      <c r="A12" s="11" t="s">
        <v>223</v>
      </c>
      <c r="B12" s="11" t="s">
        <v>777</v>
      </c>
      <c r="C12" s="11" t="s">
        <v>813</v>
      </c>
      <c r="D12" s="11" t="s">
        <v>814</v>
      </c>
      <c r="E12" s="11" t="s">
        <v>815</v>
      </c>
      <c r="F12" s="11" t="s">
        <v>816</v>
      </c>
      <c r="G12" s="11" t="s">
        <v>817</v>
      </c>
      <c r="H12" s="11" t="s">
        <v>783</v>
      </c>
      <c r="I12" s="11" t="s">
        <v>697</v>
      </c>
      <c r="J12" s="11" t="s">
        <v>804</v>
      </c>
      <c r="K12" s="11" t="s">
        <v>818</v>
      </c>
      <c r="L12" s="11" t="s">
        <v>806</v>
      </c>
      <c r="M12" s="11" t="s">
        <v>172</v>
      </c>
      <c r="N12" s="12" t="s">
        <v>759</v>
      </c>
    </row>
    <row r="13" customFormat="false" ht="32.8" hidden="false" customHeight="false" outlineLevel="0" collapsed="false">
      <c r="A13" s="11" t="s">
        <v>819</v>
      </c>
      <c r="B13" s="11" t="s">
        <v>820</v>
      </c>
      <c r="C13" s="11" t="s">
        <v>821</v>
      </c>
      <c r="D13" s="11" t="s">
        <v>203</v>
      </c>
      <c r="E13" s="11" t="s">
        <v>822</v>
      </c>
      <c r="F13" s="11" t="s">
        <v>823</v>
      </c>
      <c r="G13" s="11" t="s">
        <v>824</v>
      </c>
      <c r="H13" s="11" t="s">
        <v>756</v>
      </c>
      <c r="I13" s="11" t="s">
        <v>704</v>
      </c>
      <c r="J13" s="11" t="s">
        <v>791</v>
      </c>
      <c r="K13" s="11" t="s">
        <v>825</v>
      </c>
      <c r="L13" s="11" t="s">
        <v>213</v>
      </c>
      <c r="M13" s="11" t="s">
        <v>172</v>
      </c>
      <c r="N13" s="12" t="s">
        <v>759</v>
      </c>
    </row>
    <row r="14" customFormat="false" ht="32.8" hidden="false" customHeight="false" outlineLevel="0" collapsed="false">
      <c r="A14" s="11" t="s">
        <v>148</v>
      </c>
      <c r="B14" s="11" t="s">
        <v>820</v>
      </c>
      <c r="C14" s="11" t="s">
        <v>826</v>
      </c>
      <c r="D14" s="11" t="s">
        <v>827</v>
      </c>
      <c r="E14" s="11" t="s">
        <v>828</v>
      </c>
      <c r="F14" s="11" t="s">
        <v>829</v>
      </c>
      <c r="G14" s="11" t="s">
        <v>830</v>
      </c>
      <c r="H14" s="11" t="s">
        <v>756</v>
      </c>
      <c r="I14" s="11" t="s">
        <v>697</v>
      </c>
      <c r="J14" s="11" t="s">
        <v>831</v>
      </c>
      <c r="K14" s="11" t="s">
        <v>832</v>
      </c>
      <c r="L14" s="11" t="s">
        <v>150</v>
      </c>
      <c r="M14" s="11" t="s">
        <v>73</v>
      </c>
      <c r="N14" s="12" t="s">
        <v>759</v>
      </c>
    </row>
    <row r="15" customFormat="false" ht="22.35" hidden="false" customHeight="false" outlineLevel="0" collapsed="false">
      <c r="A15" s="11" t="s">
        <v>476</v>
      </c>
      <c r="B15" s="11" t="s">
        <v>833</v>
      </c>
      <c r="C15" s="11" t="s">
        <v>834</v>
      </c>
      <c r="D15" s="11" t="s">
        <v>835</v>
      </c>
      <c r="E15" s="11" t="s">
        <v>836</v>
      </c>
      <c r="F15" s="11" t="s">
        <v>837</v>
      </c>
      <c r="G15" s="11" t="s">
        <v>838</v>
      </c>
      <c r="H15" s="11" t="s">
        <v>756</v>
      </c>
      <c r="I15" s="11" t="s">
        <v>697</v>
      </c>
      <c r="J15" s="11" t="s">
        <v>839</v>
      </c>
      <c r="K15" s="11" t="s">
        <v>840</v>
      </c>
      <c r="L15" s="11" t="s">
        <v>247</v>
      </c>
      <c r="M15" s="11" t="s">
        <v>73</v>
      </c>
      <c r="N15" s="12" t="s">
        <v>759</v>
      </c>
    </row>
    <row r="16" customFormat="false" ht="43.25" hidden="false" customHeight="false" outlineLevel="0" collapsed="false">
      <c r="A16" s="11" t="s">
        <v>313</v>
      </c>
      <c r="B16" s="11" t="s">
        <v>833</v>
      </c>
      <c r="C16" s="11" t="s">
        <v>841</v>
      </c>
      <c r="D16" s="11" t="s">
        <v>842</v>
      </c>
      <c r="E16" s="11" t="s">
        <v>843</v>
      </c>
      <c r="F16" s="11" t="s">
        <v>844</v>
      </c>
      <c r="G16" s="11" t="s">
        <v>845</v>
      </c>
      <c r="H16" s="11" t="s">
        <v>756</v>
      </c>
      <c r="I16" s="11" t="s">
        <v>704</v>
      </c>
      <c r="J16" s="11" t="s">
        <v>839</v>
      </c>
      <c r="K16" s="11" t="s">
        <v>840</v>
      </c>
      <c r="L16" s="11" t="s">
        <v>247</v>
      </c>
      <c r="M16" s="11" t="s">
        <v>269</v>
      </c>
      <c r="N16" s="12" t="s">
        <v>759</v>
      </c>
    </row>
    <row r="17" customFormat="false" ht="32.8" hidden="false" customHeight="false" outlineLevel="0" collapsed="false">
      <c r="A17" s="11" t="s">
        <v>95</v>
      </c>
      <c r="B17" s="11" t="s">
        <v>820</v>
      </c>
      <c r="C17" s="11" t="s">
        <v>846</v>
      </c>
      <c r="D17" s="11" t="s">
        <v>847</v>
      </c>
      <c r="E17" s="11" t="s">
        <v>848</v>
      </c>
      <c r="F17" s="11" t="s">
        <v>849</v>
      </c>
      <c r="G17" s="11" t="s">
        <v>850</v>
      </c>
      <c r="H17" s="11" t="s">
        <v>756</v>
      </c>
      <c r="I17" s="11" t="s">
        <v>697</v>
      </c>
      <c r="J17" s="11" t="s">
        <v>831</v>
      </c>
      <c r="K17" s="11" t="s">
        <v>832</v>
      </c>
      <c r="L17" s="11" t="s">
        <v>247</v>
      </c>
      <c r="M17" s="11" t="s">
        <v>73</v>
      </c>
      <c r="N17" s="12" t="s">
        <v>759</v>
      </c>
    </row>
    <row r="18" customFormat="false" ht="32.8" hidden="false" customHeight="false" outlineLevel="0" collapsed="false">
      <c r="A18" s="11" t="s">
        <v>368</v>
      </c>
      <c r="B18" s="11" t="s">
        <v>820</v>
      </c>
      <c r="C18" s="11" t="s">
        <v>851</v>
      </c>
      <c r="D18" s="11" t="s">
        <v>360</v>
      </c>
      <c r="E18" s="11" t="s">
        <v>852</v>
      </c>
      <c r="F18" s="11" t="s">
        <v>853</v>
      </c>
      <c r="G18" s="11" t="s">
        <v>854</v>
      </c>
      <c r="H18" s="11" t="s">
        <v>756</v>
      </c>
      <c r="I18" s="11" t="s">
        <v>704</v>
      </c>
      <c r="J18" s="11" t="s">
        <v>791</v>
      </c>
      <c r="K18" s="11" t="s">
        <v>855</v>
      </c>
      <c r="L18" s="11" t="s">
        <v>372</v>
      </c>
      <c r="M18" s="11" t="s">
        <v>73</v>
      </c>
      <c r="N18" s="12" t="s">
        <v>759</v>
      </c>
    </row>
  </sheetData>
  <conditionalFormatting sqref="B4:B18">
    <cfRule type="cellIs" priority="2" operator="equal" aboveAverage="0" equalAverage="0" bottom="0" percent="0" rank="0" text="" dxfId="3">
      <formula>"Critical"</formula>
    </cfRule>
    <cfRule type="cellIs" priority="3" operator="equal" aboveAverage="0" equalAverage="0" bottom="0" percent="0" rank="0" text="" dxfId="1">
      <formula>"High"</formula>
    </cfRule>
    <cfRule type="cellIs" priority="4" operator="equal" aboveAverage="0" equalAverage="0" bottom="0" percent="0" rank="0" text="" dxfId="4">
      <formula>"Medium"</formula>
    </cfRule>
    <cfRule type="cellIs" priority="5" operator="equal" aboveAverage="0" equalAverage="0" bottom="0" percent="0" rank="0" text="" dxfId="5">
      <formula>"Low"</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20"/>
  </cols>
  <sheetData>
    <row r="1" customFormat="false" ht="15" hidden="false" customHeight="false" outlineLevel="0" collapsed="false">
      <c r="A1" s="9" t="s">
        <v>856</v>
      </c>
    </row>
    <row r="3" customFormat="false" ht="15" hidden="false" customHeight="false" outlineLevel="0" collapsed="false">
      <c r="A3" s="10" t="s">
        <v>742</v>
      </c>
      <c r="B3" s="10" t="s">
        <v>857</v>
      </c>
    </row>
    <row r="4" customFormat="false" ht="22.35" hidden="false" customHeight="false" outlineLevel="0" collapsed="false">
      <c r="A4" s="11" t="s">
        <v>750</v>
      </c>
      <c r="B4" s="11" t="s">
        <v>858</v>
      </c>
    </row>
    <row r="5" customFormat="false" ht="15" hidden="false" customHeight="false" outlineLevel="0" collapsed="false">
      <c r="A5" s="11" t="s">
        <v>777</v>
      </c>
      <c r="B5" s="11" t="s">
        <v>859</v>
      </c>
    </row>
    <row r="6" customFormat="false" ht="15" hidden="false" customHeight="false" outlineLevel="0" collapsed="false">
      <c r="A6" s="11" t="s">
        <v>820</v>
      </c>
      <c r="B6" s="11" t="s">
        <v>860</v>
      </c>
    </row>
    <row r="7" customFormat="false" ht="15" hidden="false" customHeight="false" outlineLevel="0" collapsed="false">
      <c r="A7" s="11" t="s">
        <v>833</v>
      </c>
      <c r="B7" s="11" t="s">
        <v>861</v>
      </c>
    </row>
  </sheetData>
  <conditionalFormatting sqref="A4:A7">
    <cfRule type="cellIs" priority="2" operator="equal" aboveAverage="0" equalAverage="0" bottom="0" percent="0" rank="0" text="" dxfId="3">
      <formula>"Critical"</formula>
    </cfRule>
    <cfRule type="cellIs" priority="3" operator="equal" aboveAverage="0" equalAverage="0" bottom="0" percent="0" rank="0" text="" dxfId="1">
      <formula>"High"</formula>
    </cfRule>
    <cfRule type="cellIs" priority="4" operator="equal" aboveAverage="0" equalAverage="0" bottom="0" percent="0" rank="0" text="" dxfId="4">
      <formula>"Medium"</formula>
    </cfRule>
    <cfRule type="cellIs" priority="5" operator="equal" aboveAverage="0" equalAverage="0" bottom="0" percent="0" rank="0" text="" dxfId="5">
      <formula>"Low"</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6"/>
    <col collapsed="false" customWidth="true" hidden="false" outlineLevel="0" max="3" min="3" style="0" width="20"/>
    <col collapsed="false" customWidth="true" hidden="false" outlineLevel="0" max="4" min="4" style="0" width="30"/>
    <col collapsed="false" customWidth="true" hidden="false" outlineLevel="0" max="5" min="5" style="0" width="22"/>
    <col collapsed="false" customWidth="true" hidden="false" outlineLevel="0" max="6" min="6" style="0" width="30"/>
    <col collapsed="false" customWidth="true" hidden="false" outlineLevel="0" max="7" min="7" style="0" width="18"/>
  </cols>
  <sheetData>
    <row r="1" customFormat="false" ht="15" hidden="false" customHeight="false" outlineLevel="0" collapsed="false">
      <c r="A1" s="9" t="s">
        <v>862</v>
      </c>
    </row>
    <row r="3" customFormat="false" ht="22.35" hidden="false" customHeight="false" outlineLevel="0" collapsed="false">
      <c r="A3" s="10" t="s">
        <v>59</v>
      </c>
      <c r="B3" s="10" t="s">
        <v>743</v>
      </c>
      <c r="C3" s="10" t="s">
        <v>744</v>
      </c>
      <c r="D3" s="10" t="s">
        <v>60</v>
      </c>
      <c r="E3" s="10" t="s">
        <v>61</v>
      </c>
      <c r="F3" s="10" t="s">
        <v>62</v>
      </c>
      <c r="G3" s="10" t="s">
        <v>63</v>
      </c>
    </row>
    <row r="4" customFormat="false" ht="22.35" hidden="false" customHeight="false" outlineLevel="0" collapsed="false">
      <c r="A4" s="11" t="s">
        <v>578</v>
      </c>
      <c r="B4" s="11" t="s">
        <v>751</v>
      </c>
      <c r="C4" s="11" t="s">
        <v>752</v>
      </c>
      <c r="D4" s="11" t="s">
        <v>863</v>
      </c>
      <c r="E4" s="11" t="s">
        <v>590</v>
      </c>
      <c r="F4" s="11" t="s">
        <v>864</v>
      </c>
      <c r="G4" s="11" t="s">
        <v>247</v>
      </c>
    </row>
    <row r="5" customFormat="false" ht="22.35" hidden="false" customHeight="false" outlineLevel="0" collapsed="false">
      <c r="A5" s="11" t="s">
        <v>181</v>
      </c>
      <c r="B5" s="11" t="s">
        <v>760</v>
      </c>
      <c r="C5" s="11" t="s">
        <v>761</v>
      </c>
      <c r="D5" s="11" t="s">
        <v>865</v>
      </c>
      <c r="E5" s="11" t="s">
        <v>866</v>
      </c>
      <c r="F5" s="11" t="s">
        <v>867</v>
      </c>
      <c r="G5" s="11" t="s">
        <v>767</v>
      </c>
    </row>
    <row r="6" customFormat="false" ht="22.35" hidden="false" customHeight="false" outlineLevel="0" collapsed="false">
      <c r="A6" s="11" t="s">
        <v>332</v>
      </c>
      <c r="B6" s="11" t="s">
        <v>768</v>
      </c>
      <c r="C6" s="11" t="s">
        <v>868</v>
      </c>
      <c r="D6" s="11" t="s">
        <v>869</v>
      </c>
      <c r="E6" s="11" t="s">
        <v>870</v>
      </c>
      <c r="F6" s="11" t="s">
        <v>871</v>
      </c>
      <c r="G6" s="11" t="s">
        <v>775</v>
      </c>
    </row>
    <row r="7" customFormat="false" ht="15" hidden="false" customHeight="false" outlineLevel="0" collapsed="false">
      <c r="A7" s="11" t="s">
        <v>776</v>
      </c>
      <c r="B7" s="11" t="s">
        <v>778</v>
      </c>
      <c r="C7" s="11" t="s">
        <v>336</v>
      </c>
      <c r="D7" s="11" t="s">
        <v>346</v>
      </c>
      <c r="E7" s="11" t="s">
        <v>347</v>
      </c>
      <c r="F7" s="11" t="s">
        <v>872</v>
      </c>
      <c r="G7" s="11" t="s">
        <v>84</v>
      </c>
    </row>
    <row r="8" customFormat="false" ht="22.35" hidden="false" customHeight="false" outlineLevel="0" collapsed="false">
      <c r="A8" s="11" t="s">
        <v>457</v>
      </c>
      <c r="B8" s="11" t="s">
        <v>786</v>
      </c>
      <c r="C8" s="11" t="s">
        <v>873</v>
      </c>
      <c r="D8" s="11" t="s">
        <v>265</v>
      </c>
      <c r="E8" s="11" t="s">
        <v>110</v>
      </c>
      <c r="F8" s="11" t="s">
        <v>874</v>
      </c>
      <c r="G8" s="11" t="s">
        <v>359</v>
      </c>
    </row>
    <row r="9" customFormat="false" ht="22.35" hidden="false" customHeight="false" outlineLevel="0" collapsed="false">
      <c r="A9" s="11" t="s">
        <v>412</v>
      </c>
      <c r="B9" s="11" t="s">
        <v>793</v>
      </c>
      <c r="C9" s="11" t="s">
        <v>693</v>
      </c>
      <c r="D9" s="11" t="s">
        <v>425</v>
      </c>
      <c r="E9" s="11" t="s">
        <v>414</v>
      </c>
      <c r="F9" s="11" t="s">
        <v>875</v>
      </c>
      <c r="G9" s="11" t="s">
        <v>184</v>
      </c>
    </row>
    <row r="10" customFormat="false" ht="22.35" hidden="false" customHeight="false" outlineLevel="0" collapsed="false">
      <c r="A10" s="11" t="s">
        <v>435</v>
      </c>
      <c r="B10" s="11" t="s">
        <v>799</v>
      </c>
      <c r="C10" s="11" t="s">
        <v>800</v>
      </c>
      <c r="D10" s="11" t="s">
        <v>550</v>
      </c>
      <c r="E10" s="11" t="s">
        <v>876</v>
      </c>
      <c r="F10" s="11" t="s">
        <v>877</v>
      </c>
      <c r="G10" s="11" t="s">
        <v>806</v>
      </c>
    </row>
    <row r="11" customFormat="false" ht="22.35" hidden="false" customHeight="false" outlineLevel="0" collapsed="false">
      <c r="A11" s="11" t="s">
        <v>130</v>
      </c>
      <c r="B11" s="11" t="s">
        <v>807</v>
      </c>
      <c r="C11" s="11" t="s">
        <v>878</v>
      </c>
      <c r="D11" s="11" t="s">
        <v>120</v>
      </c>
      <c r="E11" s="11" t="s">
        <v>138</v>
      </c>
      <c r="F11" s="11" t="s">
        <v>879</v>
      </c>
      <c r="G11" s="11" t="s">
        <v>84</v>
      </c>
    </row>
    <row r="12" customFormat="false" ht="22.35" hidden="false" customHeight="false" outlineLevel="0" collapsed="false">
      <c r="A12" s="11" t="s">
        <v>223</v>
      </c>
      <c r="B12" s="11" t="s">
        <v>813</v>
      </c>
      <c r="C12" s="11" t="s">
        <v>880</v>
      </c>
      <c r="D12" s="11" t="s">
        <v>881</v>
      </c>
      <c r="E12" s="11" t="s">
        <v>882</v>
      </c>
      <c r="F12" s="11" t="s">
        <v>883</v>
      </c>
      <c r="G12" s="11" t="s">
        <v>806</v>
      </c>
    </row>
    <row r="13" customFormat="false" ht="15" hidden="false" customHeight="false" outlineLevel="0" collapsed="false">
      <c r="A13" s="11" t="s">
        <v>819</v>
      </c>
      <c r="B13" s="11" t="s">
        <v>821</v>
      </c>
      <c r="C13" s="11" t="s">
        <v>203</v>
      </c>
      <c r="D13" s="11" t="s">
        <v>159</v>
      </c>
      <c r="E13" s="11" t="s">
        <v>110</v>
      </c>
      <c r="F13" s="11" t="s">
        <v>884</v>
      </c>
      <c r="G13" s="11" t="s">
        <v>213</v>
      </c>
    </row>
    <row r="14" customFormat="false" ht="15" hidden="false" customHeight="false" outlineLevel="0" collapsed="false">
      <c r="A14" s="11" t="s">
        <v>148</v>
      </c>
      <c r="B14" s="11" t="s">
        <v>826</v>
      </c>
      <c r="C14" s="11" t="s">
        <v>827</v>
      </c>
      <c r="D14" s="11" t="s">
        <v>149</v>
      </c>
      <c r="E14" s="11" t="s">
        <v>110</v>
      </c>
      <c r="F14" s="11" t="s">
        <v>885</v>
      </c>
      <c r="G14" s="11" t="s">
        <v>150</v>
      </c>
    </row>
    <row r="15" customFormat="false" ht="22.35" hidden="false" customHeight="false" outlineLevel="0" collapsed="false">
      <c r="A15" s="11" t="s">
        <v>476</v>
      </c>
      <c r="B15" s="11" t="s">
        <v>834</v>
      </c>
      <c r="C15" s="11" t="s">
        <v>835</v>
      </c>
      <c r="D15" s="11" t="s">
        <v>886</v>
      </c>
      <c r="E15" s="11" t="s">
        <v>887</v>
      </c>
      <c r="F15" s="11" t="s">
        <v>888</v>
      </c>
      <c r="G15" s="11" t="s">
        <v>247</v>
      </c>
    </row>
    <row r="16" customFormat="false" ht="22.35" hidden="false" customHeight="false" outlineLevel="0" collapsed="false">
      <c r="A16" s="11" t="s">
        <v>313</v>
      </c>
      <c r="B16" s="11" t="s">
        <v>841</v>
      </c>
      <c r="C16" s="11" t="s">
        <v>842</v>
      </c>
      <c r="D16" s="11" t="s">
        <v>889</v>
      </c>
      <c r="E16" s="11" t="s">
        <v>890</v>
      </c>
      <c r="F16" s="11" t="s">
        <v>891</v>
      </c>
      <c r="G16" s="11" t="s">
        <v>247</v>
      </c>
    </row>
    <row r="17" customFormat="false" ht="22.35" hidden="false" customHeight="false" outlineLevel="0" collapsed="false">
      <c r="A17" s="11" t="s">
        <v>95</v>
      </c>
      <c r="B17" s="11" t="s">
        <v>846</v>
      </c>
      <c r="C17" s="11" t="s">
        <v>847</v>
      </c>
      <c r="D17" s="11" t="s">
        <v>892</v>
      </c>
      <c r="E17" s="11" t="s">
        <v>893</v>
      </c>
      <c r="F17" s="11" t="s">
        <v>894</v>
      </c>
      <c r="G17" s="11" t="s">
        <v>247</v>
      </c>
    </row>
    <row r="18" customFormat="false" ht="15" hidden="false" customHeight="false" outlineLevel="0" collapsed="false">
      <c r="A18" s="11" t="s">
        <v>368</v>
      </c>
      <c r="B18" s="11" t="s">
        <v>851</v>
      </c>
      <c r="C18" s="11" t="s">
        <v>360</v>
      </c>
      <c r="D18" s="11" t="s">
        <v>369</v>
      </c>
      <c r="E18" s="11" t="s">
        <v>370</v>
      </c>
      <c r="F18" s="11" t="s">
        <v>895</v>
      </c>
      <c r="G18" s="11" t="s">
        <v>372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50"/>
    <col collapsed="false" customWidth="true" hidden="false" outlineLevel="0" max="3" min="3" style="0" width="80"/>
    <col collapsed="false" customWidth="true" hidden="false" outlineLevel="0" max="4" min="4" style="0" width="12"/>
  </cols>
  <sheetData>
    <row r="1" customFormat="false" ht="15" hidden="false" customHeight="false" outlineLevel="0" collapsed="false">
      <c r="A1" s="9" t="s">
        <v>896</v>
      </c>
    </row>
    <row r="3" customFormat="false" ht="15" hidden="false" customHeight="false" outlineLevel="0" collapsed="false">
      <c r="A3" s="10" t="s">
        <v>897</v>
      </c>
      <c r="B3" s="10" t="s">
        <v>898</v>
      </c>
      <c r="C3" s="10" t="s">
        <v>899</v>
      </c>
      <c r="D3" s="10" t="s">
        <v>900</v>
      </c>
    </row>
    <row r="4" customFormat="false" ht="15" hidden="false" customHeight="false" outlineLevel="0" collapsed="false">
      <c r="A4" s="11" t="s">
        <v>901</v>
      </c>
      <c r="B4" s="11" t="s">
        <v>902</v>
      </c>
      <c r="C4" s="11" t="s">
        <v>903</v>
      </c>
      <c r="D4" s="11" t="s">
        <v>904</v>
      </c>
    </row>
    <row r="5" customFormat="false" ht="22.35" hidden="false" customHeight="false" outlineLevel="0" collapsed="false">
      <c r="A5" s="11" t="s">
        <v>901</v>
      </c>
      <c r="B5" s="11" t="s">
        <v>905</v>
      </c>
      <c r="C5" s="11" t="s">
        <v>906</v>
      </c>
      <c r="D5" s="11" t="s">
        <v>904</v>
      </c>
    </row>
    <row r="6" customFormat="false" ht="22.35" hidden="false" customHeight="false" outlineLevel="0" collapsed="false">
      <c r="A6" s="11" t="s">
        <v>901</v>
      </c>
      <c r="B6" s="11" t="s">
        <v>907</v>
      </c>
      <c r="C6" s="11" t="s">
        <v>908</v>
      </c>
      <c r="D6" s="11" t="s">
        <v>904</v>
      </c>
    </row>
    <row r="7" customFormat="false" ht="22.35" hidden="false" customHeight="false" outlineLevel="0" collapsed="false">
      <c r="A7" s="11" t="s">
        <v>909</v>
      </c>
      <c r="B7" s="11" t="s">
        <v>910</v>
      </c>
      <c r="C7" s="11" t="s">
        <v>911</v>
      </c>
      <c r="D7" s="11" t="s">
        <v>904</v>
      </c>
    </row>
    <row r="8" customFormat="false" ht="22.35" hidden="false" customHeight="false" outlineLevel="0" collapsed="false">
      <c r="A8" s="11" t="s">
        <v>909</v>
      </c>
      <c r="B8" s="11" t="s">
        <v>912</v>
      </c>
      <c r="C8" s="11" t="s">
        <v>913</v>
      </c>
      <c r="D8" s="11" t="s">
        <v>904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2"/>
    <col collapsed="false" customWidth="true" hidden="false" outlineLevel="0" max="3" min="3" style="0" width="50"/>
    <col collapsed="false" customWidth="true" hidden="false" outlineLevel="0" max="5" min="4" style="0" width="11"/>
    <col collapsed="false" customWidth="true" hidden="false" outlineLevel="0" max="6" min="6" style="0" width="8"/>
    <col collapsed="false" customWidth="true" hidden="false" outlineLevel="0" max="7" min="7" style="0" width="10"/>
    <col collapsed="false" customWidth="true" hidden="false" outlineLevel="0" max="8" min="8" style="0" width="80"/>
  </cols>
  <sheetData>
    <row r="1" customFormat="false" ht="15" hidden="false" customHeight="false" outlineLevel="0" collapsed="false">
      <c r="A1" s="9" t="s">
        <v>914</v>
      </c>
    </row>
    <row r="3" customFormat="false" ht="22.35" hidden="false" customHeight="false" outlineLevel="0" collapsed="false">
      <c r="A3" s="10" t="s">
        <v>915</v>
      </c>
      <c r="B3" s="10" t="s">
        <v>916</v>
      </c>
      <c r="C3" s="10" t="s">
        <v>917</v>
      </c>
      <c r="D3" s="10" t="s">
        <v>918</v>
      </c>
      <c r="E3" s="10" t="s">
        <v>919</v>
      </c>
      <c r="F3" s="10" t="s">
        <v>661</v>
      </c>
      <c r="G3" s="10" t="s">
        <v>920</v>
      </c>
      <c r="H3" s="10" t="s">
        <v>921</v>
      </c>
    </row>
    <row r="4" customFormat="false" ht="15" hidden="false" customHeight="false" outlineLevel="0" collapsed="false">
      <c r="A4" s="11" t="s">
        <v>922</v>
      </c>
      <c r="B4" s="11" t="s">
        <v>923</v>
      </c>
      <c r="C4" s="11" t="s">
        <v>924</v>
      </c>
      <c r="D4" s="12" t="n">
        <v>3</v>
      </c>
      <c r="E4" s="12" t="n">
        <v>4</v>
      </c>
      <c r="F4" s="13" t="n">
        <f aca="false">D4*E4</f>
        <v>12</v>
      </c>
      <c r="G4" s="13" t="str">
        <f aca="false">IF(F4&lt;=4,"Low",IF(F4&lt;=9,"Medium",IF(F4&lt;=14,"High","Critical")))</f>
        <v>High</v>
      </c>
      <c r="H4" s="11" t="s">
        <v>925</v>
      </c>
    </row>
    <row r="5" customFormat="false" ht="32.8" hidden="false" customHeight="false" outlineLevel="0" collapsed="false">
      <c r="A5" s="11" t="s">
        <v>926</v>
      </c>
      <c r="B5" s="11" t="s">
        <v>927</v>
      </c>
      <c r="C5" s="11" t="s">
        <v>928</v>
      </c>
      <c r="D5" s="12" t="n">
        <v>4</v>
      </c>
      <c r="E5" s="12" t="n">
        <v>5</v>
      </c>
      <c r="F5" s="13" t="n">
        <f aca="false">D5*E5</f>
        <v>20</v>
      </c>
      <c r="G5" s="13" t="str">
        <f aca="false">IF(F5&lt;=4,"Low",IF(F5&lt;=9,"Medium",IF(F5&lt;=14,"High","Critical")))</f>
        <v>Critical</v>
      </c>
      <c r="H5" s="11" t="s">
        <v>929</v>
      </c>
    </row>
    <row r="6" customFormat="false" ht="32.8" hidden="false" customHeight="false" outlineLevel="0" collapsed="false">
      <c r="A6" s="11" t="s">
        <v>930</v>
      </c>
      <c r="B6" s="11" t="s">
        <v>784</v>
      </c>
      <c r="C6" s="11" t="s">
        <v>931</v>
      </c>
      <c r="D6" s="12" t="n">
        <v>2</v>
      </c>
      <c r="E6" s="12" t="n">
        <v>5</v>
      </c>
      <c r="F6" s="13" t="n">
        <f aca="false">D6*E6</f>
        <v>10</v>
      </c>
      <c r="G6" s="13" t="str">
        <f aca="false">IF(F6&lt;=4,"Low",IF(F6&lt;=9,"Medium",IF(F6&lt;=14,"High","Critical")))</f>
        <v>High</v>
      </c>
      <c r="H6" s="11" t="s">
        <v>932</v>
      </c>
    </row>
    <row r="7" customFormat="false" ht="22.35" hidden="false" customHeight="false" outlineLevel="0" collapsed="false">
      <c r="A7" s="11" t="s">
        <v>933</v>
      </c>
      <c r="B7" s="11" t="s">
        <v>791</v>
      </c>
      <c r="C7" s="11" t="s">
        <v>934</v>
      </c>
      <c r="D7" s="12" t="n">
        <v>2</v>
      </c>
      <c r="E7" s="12" t="n">
        <v>4</v>
      </c>
      <c r="F7" s="13" t="n">
        <f aca="false">D7*E7</f>
        <v>8</v>
      </c>
      <c r="G7" s="13" t="str">
        <f aca="false">IF(F7&lt;=4,"Low",IF(F7&lt;=9,"Medium",IF(F7&lt;=14,"High","Critical")))</f>
        <v>Medium</v>
      </c>
      <c r="H7" s="11" t="s">
        <v>935</v>
      </c>
    </row>
    <row r="8" customFormat="false" ht="22.35" hidden="false" customHeight="false" outlineLevel="0" collapsed="false">
      <c r="A8" s="11" t="s">
        <v>936</v>
      </c>
      <c r="B8" s="11" t="s">
        <v>804</v>
      </c>
      <c r="C8" s="11" t="s">
        <v>937</v>
      </c>
      <c r="D8" s="12" t="n">
        <v>2</v>
      </c>
      <c r="E8" s="12" t="n">
        <v>3</v>
      </c>
      <c r="F8" s="13" t="n">
        <f aca="false">D8*E8</f>
        <v>6</v>
      </c>
      <c r="G8" s="13" t="str">
        <f aca="false">IF(F8&lt;=4,"Low",IF(F8&lt;=9,"Medium",IF(F8&lt;=14,"High","Critical")))</f>
        <v>Medium</v>
      </c>
      <c r="H8" s="11" t="s">
        <v>938</v>
      </c>
    </row>
    <row r="9" customFormat="false" ht="22.35" hidden="false" customHeight="false" outlineLevel="0" collapsed="false">
      <c r="A9" s="11" t="s">
        <v>939</v>
      </c>
      <c r="B9" s="11" t="s">
        <v>940</v>
      </c>
      <c r="C9" s="11" t="s">
        <v>941</v>
      </c>
      <c r="D9" s="12" t="n">
        <v>1</v>
      </c>
      <c r="E9" s="12" t="n">
        <v>3</v>
      </c>
      <c r="F9" s="13" t="n">
        <f aca="false">D9*E9</f>
        <v>3</v>
      </c>
      <c r="G9" s="13" t="str">
        <f aca="false">IF(F9&lt;=4,"Low",IF(F9&lt;=9,"Medium",IF(F9&lt;=14,"High","Critical")))</f>
        <v>Low</v>
      </c>
      <c r="H9" s="11" t="s">
        <v>942</v>
      </c>
    </row>
    <row r="11" customFormat="false" ht="15" hidden="false" customHeight="false" outlineLevel="0" collapsed="false">
      <c r="A11" s="15" t="s">
        <v>943</v>
      </c>
      <c r="D11" s="12" t="n">
        <v>4</v>
      </c>
      <c r="E11" s="12" t="n">
        <v>5</v>
      </c>
      <c r="F11" s="13" t="n">
        <f aca="false">D11*E11</f>
        <v>20</v>
      </c>
    </row>
    <row r="12" customFormat="false" ht="22.35" hidden="false" customHeight="false" outlineLevel="0" collapsed="false">
      <c r="A12" s="15" t="s">
        <v>944</v>
      </c>
      <c r="F12" s="13" t="n">
        <f aca="false">F11-F4</f>
        <v>8</v>
      </c>
    </row>
    <row r="13" customFormat="false" ht="22.35" hidden="false" customHeight="false" outlineLevel="0" collapsed="false">
      <c r="A13" s="15" t="s">
        <v>945</v>
      </c>
      <c r="F13" s="13" t="n">
        <f aca="false">F11-F5</f>
        <v>0</v>
      </c>
    </row>
    <row r="14" customFormat="false" ht="22.35" hidden="false" customHeight="false" outlineLevel="0" collapsed="false">
      <c r="A14" s="15" t="s">
        <v>946</v>
      </c>
      <c r="F14" s="12" t="n">
        <v>6</v>
      </c>
      <c r="G14" s="13" t="str">
        <f aca="false">IF(F8&lt;=F14,"Met at step 5","Not met")</f>
        <v>Met at step 5</v>
      </c>
    </row>
    <row r="15" customFormat="false" ht="22.35" hidden="false" customHeight="false" outlineLevel="0" collapsed="false">
      <c r="A15" s="15" t="s">
        <v>947</v>
      </c>
      <c r="F15" s="12" t="n">
        <v>4</v>
      </c>
      <c r="G15" s="13" t="str">
        <f aca="false">IF(F9&lt;=F15,"Met at step 6","Not met")</f>
        <v>Met at step 6</v>
      </c>
    </row>
  </sheetData>
  <conditionalFormatting sqref="G4:G9">
    <cfRule type="cellIs" priority="2" operator="equal" aboveAverage="0" equalAverage="0" bottom="0" percent="0" rank="0" text="" dxfId="3">
      <formula>"Critical"</formula>
    </cfRule>
    <cfRule type="cellIs" priority="3" operator="equal" aboveAverage="0" equalAverage="0" bottom="0" percent="0" rank="0" text="" dxfId="1">
      <formula>"High"</formula>
    </cfRule>
    <cfRule type="cellIs" priority="4" operator="equal" aboveAverage="0" equalAverage="0" bottom="0" percent="0" rank="0" text="" dxfId="4">
      <formula>"Medium"</formula>
    </cfRule>
    <cfRule type="cellIs" priority="5" operator="equal" aboveAverage="0" equalAverage="0" bottom="0" percent="0" rank="0" text="" dxfId="5">
      <formula>"Low"</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6" min="3" style="0" width="12"/>
    <col collapsed="false" customWidth="true" hidden="false" outlineLevel="0" max="7" min="7" style="0" width="10"/>
  </cols>
  <sheetData>
    <row r="1" customFormat="false" ht="15" hidden="false" customHeight="false" outlineLevel="0" collapsed="false">
      <c r="A1" s="9" t="s">
        <v>948</v>
      </c>
    </row>
    <row r="3" customFormat="false" ht="15" hidden="false" customHeight="false" outlineLevel="0" collapsed="false">
      <c r="A3" s="10" t="s">
        <v>63</v>
      </c>
      <c r="B3" s="10" t="s">
        <v>949</v>
      </c>
      <c r="C3" s="10" t="s">
        <v>950</v>
      </c>
      <c r="D3" s="10" t="s">
        <v>951</v>
      </c>
      <c r="E3" s="10" t="s">
        <v>952</v>
      </c>
      <c r="F3" s="10" t="s">
        <v>953</v>
      </c>
      <c r="G3" s="10" t="s">
        <v>954</v>
      </c>
    </row>
    <row r="4" customFormat="false" ht="15" hidden="false" customHeight="false" outlineLevel="0" collapsed="false">
      <c r="A4" s="11" t="s">
        <v>521</v>
      </c>
      <c r="B4" s="11" t="n">
        <v>20</v>
      </c>
      <c r="C4" s="11" t="n">
        <v>6</v>
      </c>
      <c r="D4" s="13" t="str">
        <f aca="false">IF(C4&lt;=4,"Low",IF(C4&lt;=9,"Medium",IF(C4&lt;=14,"High","Critical")))</f>
        <v>Medium</v>
      </c>
      <c r="E4" s="13" t="n">
        <f aca="false">C4</f>
        <v>6</v>
      </c>
      <c r="F4" s="13" t="str">
        <f aca="false">IF(E4&lt;=4,"Low",IF(E4&lt;=9,"Medium",IF(E4&lt;=14,"High","Critical")))</f>
        <v>Medium</v>
      </c>
      <c r="G4" s="13" t="n">
        <f aca="false">E4-C4</f>
        <v>0</v>
      </c>
    </row>
    <row r="5" customFormat="false" ht="15" hidden="false" customHeight="false" outlineLevel="0" collapsed="false">
      <c r="A5" s="11" t="s">
        <v>324</v>
      </c>
      <c r="B5" s="11" t="n">
        <v>20</v>
      </c>
      <c r="C5" s="11" t="n">
        <v>8</v>
      </c>
      <c r="D5" s="13" t="str">
        <f aca="false">IF(C5&lt;=4,"Low",IF(C5&lt;=9,"Medium",IF(C5&lt;=14,"High","Critical")))</f>
        <v>Medium</v>
      </c>
      <c r="E5" s="13" t="n">
        <f aca="false">C5</f>
        <v>8</v>
      </c>
      <c r="F5" s="13" t="str">
        <f aca="false">IF(E5&lt;=4,"Low",IF(E5&lt;=9,"Medium",IF(E5&lt;=14,"High","Critical")))</f>
        <v>Medium</v>
      </c>
      <c r="G5" s="13" t="n">
        <f aca="false">E5-C5</f>
        <v>0</v>
      </c>
    </row>
    <row r="6" customFormat="false" ht="15" hidden="false" customHeight="false" outlineLevel="0" collapsed="false">
      <c r="A6" s="11" t="s">
        <v>302</v>
      </c>
      <c r="B6" s="11" t="n">
        <v>12</v>
      </c>
      <c r="C6" s="11" t="n">
        <v>6</v>
      </c>
      <c r="D6" s="13" t="str">
        <f aca="false">IF(C6&lt;=4,"Low",IF(C6&lt;=9,"Medium",IF(C6&lt;=14,"High","Critical")))</f>
        <v>Medium</v>
      </c>
      <c r="E6" s="13" t="n">
        <f aca="false">C6</f>
        <v>6</v>
      </c>
      <c r="F6" s="13" t="str">
        <f aca="false">IF(E6&lt;=4,"Low",IF(E6&lt;=9,"Medium",IF(E6&lt;=14,"High","Critical")))</f>
        <v>Medium</v>
      </c>
      <c r="G6" s="13" t="n">
        <f aca="false">E6-C6</f>
        <v>0</v>
      </c>
    </row>
    <row r="7" customFormat="false" ht="15" hidden="false" customHeight="false" outlineLevel="0" collapsed="false">
      <c r="A7" s="11" t="s">
        <v>268</v>
      </c>
      <c r="B7" s="11" t="n">
        <v>20</v>
      </c>
      <c r="C7" s="11" t="n">
        <v>12</v>
      </c>
      <c r="D7" s="13" t="str">
        <f aca="false">IF(C7&lt;=4,"Low",IF(C7&lt;=9,"Medium",IF(C7&lt;=14,"High","Critical")))</f>
        <v>High</v>
      </c>
      <c r="E7" s="13" t="n">
        <f aca="false">C7</f>
        <v>12</v>
      </c>
      <c r="F7" s="13" t="str">
        <f aca="false">IF(E7&lt;=4,"Low",IF(E7&lt;=9,"Medium",IF(E7&lt;=14,"High","Critical")))</f>
        <v>High</v>
      </c>
      <c r="G7" s="13" t="n">
        <f aca="false">E7-C7</f>
        <v>0</v>
      </c>
    </row>
    <row r="8" customFormat="false" ht="15" hidden="false" customHeight="false" outlineLevel="0" collapsed="false">
      <c r="A8" s="11" t="s">
        <v>84</v>
      </c>
      <c r="B8" s="11" t="n">
        <v>20</v>
      </c>
      <c r="C8" s="11" t="n">
        <v>12</v>
      </c>
      <c r="D8" s="13" t="str">
        <f aca="false">IF(C8&lt;=4,"Low",IF(C8&lt;=9,"Medium",IF(C8&lt;=14,"High","Critical")))</f>
        <v>High</v>
      </c>
      <c r="E8" s="13" t="n">
        <f aca="false">10_R005_Recalc!F5</f>
        <v>20</v>
      </c>
      <c r="F8" s="13" t="str">
        <f aca="false">IF(E8&lt;=4,"Low",IF(E8&lt;=9,"Medium",IF(E8&lt;=14,"High","Critical")))</f>
        <v>Critical</v>
      </c>
      <c r="G8" s="13" t="n">
        <f aca="false">E8-C8</f>
        <v>8</v>
      </c>
    </row>
    <row r="9" customFormat="false" ht="15" hidden="false" customHeight="false" outlineLevel="0" collapsed="false">
      <c r="A9" s="11" t="s">
        <v>955</v>
      </c>
      <c r="B9" s="11" t="n">
        <v>16</v>
      </c>
      <c r="C9" s="11" t="n">
        <v>8</v>
      </c>
      <c r="D9" s="13" t="str">
        <f aca="false">IF(C9&lt;=4,"Low",IF(C9&lt;=9,"Medium",IF(C9&lt;=14,"High","Critical")))</f>
        <v>Medium</v>
      </c>
      <c r="E9" s="13" t="n">
        <f aca="false">C9</f>
        <v>8</v>
      </c>
      <c r="F9" s="13" t="str">
        <f aca="false">IF(E9&lt;=4,"Low",IF(E9&lt;=9,"Medium",IF(E9&lt;=14,"High","Critical")))</f>
        <v>Medium</v>
      </c>
      <c r="G9" s="13" t="n">
        <f aca="false">E9-C9</f>
        <v>0</v>
      </c>
    </row>
    <row r="10" customFormat="false" ht="15" hidden="false" customHeight="false" outlineLevel="0" collapsed="false">
      <c r="A10" s="11" t="s">
        <v>956</v>
      </c>
      <c r="B10" s="11" t="n">
        <v>10</v>
      </c>
      <c r="C10" s="11" t="n">
        <v>8</v>
      </c>
      <c r="D10" s="13" t="str">
        <f aca="false">IF(C10&lt;=4,"Low",IF(C10&lt;=9,"Medium",IF(C10&lt;=14,"High","Critical")))</f>
        <v>Medium</v>
      </c>
      <c r="E10" s="13" t="n">
        <f aca="false">C10</f>
        <v>8</v>
      </c>
      <c r="F10" s="13" t="str">
        <f aca="false">IF(E10&lt;=4,"Low",IF(E10&lt;=9,"Medium",IF(E10&lt;=14,"High","Critical")))</f>
        <v>Medium</v>
      </c>
      <c r="G10" s="13" t="n">
        <f aca="false">E10-C10</f>
        <v>0</v>
      </c>
    </row>
    <row r="11" customFormat="false" ht="15" hidden="false" customHeight="false" outlineLevel="0" collapsed="false">
      <c r="A11" s="11" t="s">
        <v>957</v>
      </c>
      <c r="B11" s="11" t="n">
        <v>12</v>
      </c>
      <c r="C11" s="11" t="n">
        <v>8</v>
      </c>
      <c r="D11" s="13" t="str">
        <f aca="false">IF(C11&lt;=4,"Low",IF(C11&lt;=9,"Medium",IF(C11&lt;=14,"High","Critical")))</f>
        <v>Medium</v>
      </c>
      <c r="E11" s="13" t="n">
        <f aca="false">C11</f>
        <v>8</v>
      </c>
      <c r="F11" s="13" t="str">
        <f aca="false">IF(E11&lt;=4,"Low",IF(E11&lt;=9,"Medium",IF(E11&lt;=14,"High","Critical")))</f>
        <v>Medium</v>
      </c>
      <c r="G11" s="13" t="n">
        <f aca="false">E11-C11</f>
        <v>0</v>
      </c>
    </row>
    <row r="12" customFormat="false" ht="15" hidden="false" customHeight="false" outlineLevel="0" collapsed="false">
      <c r="A12" s="11" t="s">
        <v>958</v>
      </c>
      <c r="B12" s="11" t="n">
        <v>15</v>
      </c>
      <c r="C12" s="11" t="n">
        <v>12</v>
      </c>
      <c r="D12" s="13" t="str">
        <f aca="false">IF(C12&lt;=4,"Low",IF(C12&lt;=9,"Medium",IF(C12&lt;=14,"High","Critical")))</f>
        <v>High</v>
      </c>
      <c r="E12" s="13" t="n">
        <f aca="false">C12</f>
        <v>12</v>
      </c>
      <c r="F12" s="13" t="str">
        <f aca="false">IF(E12&lt;=4,"Low",IF(E12&lt;=9,"Medium",IF(E12&lt;=14,"High","Critical")))</f>
        <v>High</v>
      </c>
      <c r="G12" s="13" t="n">
        <f aca="false">E12-C12</f>
        <v>0</v>
      </c>
    </row>
    <row r="13" customFormat="false" ht="15" hidden="false" customHeight="false" outlineLevel="0" collapsed="false">
      <c r="A13" s="11" t="s">
        <v>959</v>
      </c>
      <c r="B13" s="11" t="n">
        <v>12</v>
      </c>
      <c r="C13" s="11" t="n">
        <v>9</v>
      </c>
      <c r="D13" s="13" t="str">
        <f aca="false">IF(C13&lt;=4,"Low",IF(C13&lt;=9,"Medium",IF(C13&lt;=14,"High","Critical")))</f>
        <v>Medium</v>
      </c>
      <c r="E13" s="13" t="n">
        <f aca="false">C13</f>
        <v>9</v>
      </c>
      <c r="F13" s="13" t="str">
        <f aca="false">IF(E13&lt;=4,"Low",IF(E13&lt;=9,"Medium",IF(E13&lt;=14,"High","Critical")))</f>
        <v>Medium</v>
      </c>
      <c r="G13" s="13" t="n">
        <f aca="false">E13-C13</f>
        <v>0</v>
      </c>
    </row>
    <row r="14" customFormat="false" ht="15" hidden="false" customHeight="false" outlineLevel="0" collapsed="false">
      <c r="A14" s="11" t="s">
        <v>960</v>
      </c>
      <c r="B14" s="11" t="n">
        <v>16</v>
      </c>
      <c r="C14" s="11" t="n">
        <v>9</v>
      </c>
      <c r="D14" s="13" t="str">
        <f aca="false">IF(C14&lt;=4,"Low",IF(C14&lt;=9,"Medium",IF(C14&lt;=14,"High","Critical")))</f>
        <v>Medium</v>
      </c>
      <c r="E14" s="13" t="n">
        <f aca="false">C14</f>
        <v>9</v>
      </c>
      <c r="F14" s="13" t="str">
        <f aca="false">IF(E14&lt;=4,"Low",IF(E14&lt;=9,"Medium",IF(E14&lt;=14,"High","Critical")))</f>
        <v>Medium</v>
      </c>
      <c r="G14" s="13" t="n">
        <f aca="false">E14-C14</f>
        <v>0</v>
      </c>
    </row>
    <row r="15" customFormat="false" ht="15" hidden="false" customHeight="false" outlineLevel="0" collapsed="false">
      <c r="A15" s="11" t="s">
        <v>961</v>
      </c>
      <c r="B15" s="11" t="n">
        <v>12</v>
      </c>
      <c r="C15" s="11" t="n">
        <v>9</v>
      </c>
      <c r="D15" s="13" t="str">
        <f aca="false">IF(C15&lt;=4,"Low",IF(C15&lt;=9,"Medium",IF(C15&lt;=14,"High","Critical")))</f>
        <v>Medium</v>
      </c>
      <c r="E15" s="13" t="n">
        <f aca="false">C15</f>
        <v>9</v>
      </c>
      <c r="F15" s="13" t="str">
        <f aca="false">IF(E15&lt;=4,"Low",IF(E15&lt;=9,"Medium",IF(E15&lt;=14,"High","Critical")))</f>
        <v>Medium</v>
      </c>
      <c r="G15" s="13" t="n">
        <f aca="false">E15-C15</f>
        <v>0</v>
      </c>
    </row>
    <row r="16" customFormat="false" ht="15" hidden="false" customHeight="false" outlineLevel="0" collapsed="false">
      <c r="A16" s="11" t="s">
        <v>962</v>
      </c>
      <c r="B16" s="11" t="n">
        <v>16</v>
      </c>
      <c r="C16" s="11" t="n">
        <v>9</v>
      </c>
      <c r="D16" s="13" t="str">
        <f aca="false">IF(C16&lt;=4,"Low",IF(C16&lt;=9,"Medium",IF(C16&lt;=14,"High","Critical")))</f>
        <v>Medium</v>
      </c>
      <c r="E16" s="13" t="n">
        <f aca="false">C16</f>
        <v>9</v>
      </c>
      <c r="F16" s="13" t="str">
        <f aca="false">IF(E16&lt;=4,"Low",IF(E16&lt;=9,"Medium",IF(E16&lt;=14,"High","Critical")))</f>
        <v>Medium</v>
      </c>
      <c r="G16" s="13" t="n">
        <f aca="false">E16-C16</f>
        <v>0</v>
      </c>
    </row>
    <row r="17" customFormat="false" ht="15" hidden="false" customHeight="false" outlineLevel="0" collapsed="false">
      <c r="A17" s="11" t="s">
        <v>963</v>
      </c>
      <c r="B17" s="11" t="n">
        <v>12</v>
      </c>
      <c r="C17" s="11" t="n">
        <v>6</v>
      </c>
      <c r="D17" s="13" t="str">
        <f aca="false">IF(C17&lt;=4,"Low",IF(C17&lt;=9,"Medium",IF(C17&lt;=14,"High","Critical")))</f>
        <v>Medium</v>
      </c>
      <c r="E17" s="13" t="n">
        <f aca="false">C17</f>
        <v>6</v>
      </c>
      <c r="F17" s="13" t="str">
        <f aca="false">IF(E17&lt;=4,"Low",IF(E17&lt;=9,"Medium",IF(E17&lt;=14,"High","Critical")))</f>
        <v>Medium</v>
      </c>
      <c r="G17" s="13" t="n">
        <f aca="false">E17-C17</f>
        <v>0</v>
      </c>
    </row>
    <row r="18" customFormat="false" ht="15" hidden="false" customHeight="false" outlineLevel="0" collapsed="false">
      <c r="A18" s="15" t="s">
        <v>964</v>
      </c>
      <c r="B18" s="13" t="n">
        <f aca="false">SUM(B4:B17)</f>
        <v>213</v>
      </c>
      <c r="C18" s="13" t="n">
        <f aca="false">SUM(C4:C17)</f>
        <v>122</v>
      </c>
      <c r="E18" s="13" t="n">
        <f aca="false">SUM(E4:E17)</f>
        <v>130</v>
      </c>
      <c r="G18" s="13" t="n">
        <f aca="false">SUM(G4:G17)</f>
        <v>8</v>
      </c>
    </row>
    <row r="20" customFormat="false" ht="32.8" hidden="false" customHeight="false" outlineLevel="0" collapsed="false">
      <c r="A20" s="15" t="s">
        <v>965</v>
      </c>
      <c r="C20" s="14" t="n">
        <f aca="false">1-C18/B18</f>
        <v>0.427230046948357</v>
      </c>
    </row>
    <row r="21" customFormat="false" ht="32.8" hidden="false" customHeight="false" outlineLevel="0" collapsed="false">
      <c r="A21" s="15" t="s">
        <v>966</v>
      </c>
      <c r="C21" s="14" t="n">
        <f aca="false">1-E18/B18</f>
        <v>0.389671361502347</v>
      </c>
    </row>
    <row r="22" customFormat="false" ht="32.8" hidden="false" customHeight="false" outlineLevel="0" collapsed="false">
      <c r="A22" s="15" t="s">
        <v>967</v>
      </c>
      <c r="C22" s="17" t="n">
        <f aca="false">C18/14</f>
        <v>8.71428571428571</v>
      </c>
    </row>
    <row r="23" customFormat="false" ht="32.8" hidden="false" customHeight="false" outlineLevel="0" collapsed="false">
      <c r="A23" s="15" t="s">
        <v>968</v>
      </c>
      <c r="C23" s="17" t="n">
        <f aca="false">E18/14</f>
        <v>9.28571428571429</v>
      </c>
    </row>
    <row r="24" customFormat="false" ht="32.8" hidden="false" customHeight="false" outlineLevel="0" collapsed="false">
      <c r="A24" s="15" t="s">
        <v>969</v>
      </c>
      <c r="C24" s="13" t="n">
        <f aca="false">COUNTIF(F4:F17,"Critical")</f>
        <v>1</v>
      </c>
    </row>
    <row r="25" customFormat="false" ht="32.8" hidden="false" customHeight="false" outlineLevel="0" collapsed="false">
      <c r="A25" s="15" t="s">
        <v>970</v>
      </c>
      <c r="C25" s="13" t="n">
        <f aca="false">COUNTIF(F4:F17,"High")</f>
        <v>2</v>
      </c>
    </row>
    <row r="26" customFormat="false" ht="64.15" hidden="false" customHeight="false" outlineLevel="0" collapsed="false">
      <c r="A26" s="15" t="s">
        <v>971</v>
      </c>
      <c r="C26" s="13" t="n">
        <f aca="false">SUM(E4:E8)</f>
        <v>52</v>
      </c>
    </row>
  </sheetData>
  <conditionalFormatting sqref="D4:D17">
    <cfRule type="cellIs" priority="2" operator="equal" aboveAverage="0" equalAverage="0" bottom="0" percent="0" rank="0" text="" dxfId="3">
      <formula>"Critical"</formula>
    </cfRule>
    <cfRule type="cellIs" priority="3" operator="equal" aboveAverage="0" equalAverage="0" bottom="0" percent="0" rank="0" text="" dxfId="1">
      <formula>"High"</formula>
    </cfRule>
    <cfRule type="cellIs" priority="4" operator="equal" aboveAverage="0" equalAverage="0" bottom="0" percent="0" rank="0" text="" dxfId="4">
      <formula>"Medium"</formula>
    </cfRule>
    <cfRule type="cellIs" priority="5" operator="equal" aboveAverage="0" equalAverage="0" bottom="0" percent="0" rank="0" text="" dxfId="5">
      <formula>"Low"</formula>
    </cfRule>
  </conditionalFormatting>
  <conditionalFormatting sqref="F4:F17">
    <cfRule type="cellIs" priority="6" operator="equal" aboveAverage="0" equalAverage="0" bottom="0" percent="0" rank="0" text="" dxfId="3">
      <formula>"Critical"</formula>
    </cfRule>
    <cfRule type="cellIs" priority="7" operator="equal" aboveAverage="0" equalAverage="0" bottom="0" percent="0" rank="0" text="" dxfId="1">
      <formula>"High"</formula>
    </cfRule>
    <cfRule type="cellIs" priority="8" operator="equal" aboveAverage="0" equalAverage="0" bottom="0" percent="0" rank="0" text="" dxfId="4">
      <formula>"Medium"</formula>
    </cfRule>
    <cfRule type="cellIs" priority="9" operator="equal" aboveAverage="0" equalAverage="0" bottom="0" percent="0" rank="0" text="" dxfId="5">
      <formula>"Low"</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0"/>
    <col collapsed="false" customWidth="true" hidden="false" outlineLevel="0" max="3" min="3" style="0" width="60"/>
    <col collapsed="false" customWidth="true" hidden="false" outlineLevel="0" max="4" min="4" style="0" width="16"/>
    <col collapsed="false" customWidth="true" hidden="false" outlineLevel="0" max="5" min="5" style="0" width="20"/>
    <col collapsed="false" customWidth="true" hidden="false" outlineLevel="0" max="6" min="6" style="0" width="12"/>
    <col collapsed="false" customWidth="true" hidden="false" outlineLevel="0" max="7" min="7" style="0" width="22"/>
    <col collapsed="false" customWidth="true" hidden="false" outlineLevel="0" max="8" min="8" style="0" width="30"/>
  </cols>
  <sheetData>
    <row r="1" customFormat="false" ht="15" hidden="false" customHeight="false" outlineLevel="0" collapsed="false">
      <c r="A1" s="9" t="s">
        <v>972</v>
      </c>
    </row>
    <row r="3" customFormat="false" ht="15" hidden="false" customHeight="false" outlineLevel="0" collapsed="false">
      <c r="A3" s="10" t="s">
        <v>973</v>
      </c>
      <c r="B3" s="10" t="s">
        <v>974</v>
      </c>
      <c r="C3" s="10" t="s">
        <v>975</v>
      </c>
      <c r="D3" s="10" t="s">
        <v>976</v>
      </c>
      <c r="E3" s="10" t="s">
        <v>689</v>
      </c>
      <c r="F3" s="10" t="s">
        <v>721</v>
      </c>
      <c r="G3" s="10" t="s">
        <v>977</v>
      </c>
      <c r="H3" s="10" t="s">
        <v>978</v>
      </c>
    </row>
    <row r="4" customFormat="false" ht="22.35" hidden="false" customHeight="false" outlineLevel="0" collapsed="false">
      <c r="A4" s="11" t="s">
        <v>979</v>
      </c>
      <c r="B4" s="11" t="s">
        <v>980</v>
      </c>
      <c r="C4" s="11" t="s">
        <v>981</v>
      </c>
      <c r="D4" s="11" t="s">
        <v>982</v>
      </c>
      <c r="E4" s="11" t="s">
        <v>697</v>
      </c>
      <c r="F4" s="11" t="s">
        <v>765</v>
      </c>
      <c r="G4" s="11" t="s">
        <v>983</v>
      </c>
      <c r="H4" s="11" t="s">
        <v>984</v>
      </c>
    </row>
    <row r="5" customFormat="false" ht="22.35" hidden="false" customHeight="false" outlineLevel="0" collapsed="false">
      <c r="A5" s="11" t="s">
        <v>985</v>
      </c>
      <c r="B5" s="11" t="s">
        <v>980</v>
      </c>
      <c r="C5" s="11" t="s">
        <v>986</v>
      </c>
      <c r="D5" s="11" t="s">
        <v>987</v>
      </c>
      <c r="E5" s="11" t="s">
        <v>704</v>
      </c>
      <c r="F5" s="11" t="s">
        <v>988</v>
      </c>
      <c r="G5" s="11" t="s">
        <v>983</v>
      </c>
      <c r="H5" s="11" t="s">
        <v>73</v>
      </c>
    </row>
    <row r="6" customFormat="false" ht="15" hidden="false" customHeight="false" outlineLevel="0" collapsed="false">
      <c r="A6" s="11" t="s">
        <v>832</v>
      </c>
      <c r="B6" s="11" t="s">
        <v>980</v>
      </c>
      <c r="C6" s="11" t="s">
        <v>989</v>
      </c>
      <c r="D6" s="11" t="s">
        <v>990</v>
      </c>
      <c r="E6" s="11" t="s">
        <v>697</v>
      </c>
      <c r="F6" s="11" t="s">
        <v>831</v>
      </c>
      <c r="G6" s="11" t="s">
        <v>983</v>
      </c>
      <c r="H6" s="11" t="s">
        <v>73</v>
      </c>
    </row>
    <row r="7" customFormat="false" ht="22.35" hidden="false" customHeight="false" outlineLevel="0" collapsed="false">
      <c r="A7" s="11" t="s">
        <v>991</v>
      </c>
      <c r="B7" s="11" t="s">
        <v>980</v>
      </c>
      <c r="C7" s="11" t="s">
        <v>992</v>
      </c>
      <c r="D7" s="11" t="s">
        <v>332</v>
      </c>
      <c r="E7" s="11" t="s">
        <v>704</v>
      </c>
      <c r="F7" s="11" t="s">
        <v>831</v>
      </c>
      <c r="G7" s="11" t="s">
        <v>983</v>
      </c>
      <c r="H7" s="11" t="s">
        <v>993</v>
      </c>
    </row>
    <row r="8" customFormat="false" ht="22.35" hidden="false" customHeight="false" outlineLevel="0" collapsed="false">
      <c r="A8" s="11" t="s">
        <v>785</v>
      </c>
      <c r="B8" s="11" t="s">
        <v>994</v>
      </c>
      <c r="C8" s="11" t="s">
        <v>995</v>
      </c>
      <c r="D8" s="11" t="s">
        <v>776</v>
      </c>
      <c r="E8" s="11" t="s">
        <v>704</v>
      </c>
      <c r="F8" s="11" t="s">
        <v>784</v>
      </c>
      <c r="G8" s="11" t="s">
        <v>996</v>
      </c>
      <c r="H8" s="11" t="s">
        <v>997</v>
      </c>
    </row>
    <row r="9" customFormat="false" ht="22.35" hidden="false" customHeight="false" outlineLevel="0" collapsed="false">
      <c r="A9" s="11" t="s">
        <v>798</v>
      </c>
      <c r="B9" s="11" t="s">
        <v>994</v>
      </c>
      <c r="C9" s="11" t="s">
        <v>998</v>
      </c>
      <c r="D9" s="11" t="s">
        <v>412</v>
      </c>
      <c r="E9" s="11" t="s">
        <v>697</v>
      </c>
      <c r="F9" s="11" t="s">
        <v>784</v>
      </c>
      <c r="G9" s="11" t="s">
        <v>996</v>
      </c>
      <c r="H9" s="11" t="s">
        <v>999</v>
      </c>
    </row>
    <row r="10" customFormat="false" ht="22.35" hidden="false" customHeight="false" outlineLevel="0" collapsed="false">
      <c r="A10" s="11" t="s">
        <v>812</v>
      </c>
      <c r="B10" s="11" t="s">
        <v>994</v>
      </c>
      <c r="C10" s="11" t="s">
        <v>1000</v>
      </c>
      <c r="D10" s="11" t="s">
        <v>130</v>
      </c>
      <c r="E10" s="11" t="s">
        <v>704</v>
      </c>
      <c r="F10" s="11" t="s">
        <v>784</v>
      </c>
      <c r="G10" s="11" t="s">
        <v>1001</v>
      </c>
      <c r="H10" s="11" t="s">
        <v>73</v>
      </c>
    </row>
    <row r="11" customFormat="false" ht="22.35" hidden="false" customHeight="false" outlineLevel="0" collapsed="false">
      <c r="A11" s="11" t="s">
        <v>1002</v>
      </c>
      <c r="B11" s="11" t="s">
        <v>994</v>
      </c>
      <c r="C11" s="11" t="s">
        <v>1003</v>
      </c>
      <c r="D11" s="11" t="s">
        <v>1004</v>
      </c>
      <c r="E11" s="11" t="s">
        <v>697</v>
      </c>
      <c r="F11" s="11" t="s">
        <v>784</v>
      </c>
      <c r="G11" s="11" t="s">
        <v>983</v>
      </c>
      <c r="H11" s="11" t="s">
        <v>1005</v>
      </c>
    </row>
    <row r="12" customFormat="false" ht="22.35" hidden="false" customHeight="false" outlineLevel="0" collapsed="false">
      <c r="A12" s="11" t="s">
        <v>730</v>
      </c>
      <c r="B12" s="11" t="s">
        <v>994</v>
      </c>
      <c r="C12" s="11" t="s">
        <v>1006</v>
      </c>
      <c r="D12" s="11" t="s">
        <v>1007</v>
      </c>
      <c r="E12" s="11" t="s">
        <v>1008</v>
      </c>
      <c r="F12" s="11" t="s">
        <v>727</v>
      </c>
      <c r="G12" s="11" t="s">
        <v>983</v>
      </c>
      <c r="H12" s="11" t="s">
        <v>1009</v>
      </c>
    </row>
    <row r="13" customFormat="false" ht="22.35" hidden="false" customHeight="false" outlineLevel="0" collapsed="false">
      <c r="A13" s="11" t="s">
        <v>805</v>
      </c>
      <c r="B13" s="11" t="s">
        <v>1010</v>
      </c>
      <c r="C13" s="11" t="s">
        <v>1011</v>
      </c>
      <c r="D13" s="11" t="s">
        <v>435</v>
      </c>
      <c r="E13" s="11" t="s">
        <v>697</v>
      </c>
      <c r="F13" s="11" t="s">
        <v>804</v>
      </c>
      <c r="G13" s="11" t="s">
        <v>1012</v>
      </c>
      <c r="H13" s="11" t="s">
        <v>1013</v>
      </c>
    </row>
    <row r="14" customFormat="false" ht="22.35" hidden="false" customHeight="false" outlineLevel="0" collapsed="false">
      <c r="A14" s="11" t="s">
        <v>792</v>
      </c>
      <c r="B14" s="11" t="s">
        <v>1010</v>
      </c>
      <c r="C14" s="11" t="s">
        <v>1014</v>
      </c>
      <c r="D14" s="11" t="s">
        <v>457</v>
      </c>
      <c r="E14" s="11" t="s">
        <v>704</v>
      </c>
      <c r="F14" s="11" t="s">
        <v>791</v>
      </c>
      <c r="G14" s="11" t="s">
        <v>1015</v>
      </c>
      <c r="H14" s="11" t="s">
        <v>1016</v>
      </c>
    </row>
    <row r="15" customFormat="false" ht="22.35" hidden="false" customHeight="false" outlineLevel="0" collapsed="false">
      <c r="A15" s="11" t="s">
        <v>818</v>
      </c>
      <c r="B15" s="11" t="s">
        <v>1010</v>
      </c>
      <c r="C15" s="11" t="s">
        <v>1017</v>
      </c>
      <c r="D15" s="11" t="s">
        <v>1018</v>
      </c>
      <c r="E15" s="11" t="s">
        <v>697</v>
      </c>
      <c r="F15" s="11" t="s">
        <v>804</v>
      </c>
      <c r="G15" s="11" t="s">
        <v>983</v>
      </c>
      <c r="H15" s="11" t="s">
        <v>1019</v>
      </c>
    </row>
    <row r="16" customFormat="false" ht="22.35" hidden="false" customHeight="false" outlineLevel="0" collapsed="false">
      <c r="A16" s="11" t="s">
        <v>825</v>
      </c>
      <c r="B16" s="11" t="s">
        <v>1010</v>
      </c>
      <c r="C16" s="11" t="s">
        <v>1020</v>
      </c>
      <c r="D16" s="11" t="s">
        <v>819</v>
      </c>
      <c r="E16" s="11" t="s">
        <v>704</v>
      </c>
      <c r="F16" s="11" t="s">
        <v>791</v>
      </c>
      <c r="G16" s="11" t="s">
        <v>983</v>
      </c>
      <c r="H16" s="11" t="s">
        <v>1021</v>
      </c>
    </row>
    <row r="17" customFormat="false" ht="22.35" hidden="false" customHeight="false" outlineLevel="0" collapsed="false">
      <c r="A17" s="11" t="s">
        <v>855</v>
      </c>
      <c r="B17" s="11" t="s">
        <v>1010</v>
      </c>
      <c r="C17" s="11" t="s">
        <v>1022</v>
      </c>
      <c r="D17" s="11" t="s">
        <v>368</v>
      </c>
      <c r="E17" s="11" t="s">
        <v>704</v>
      </c>
      <c r="F17" s="11" t="s">
        <v>791</v>
      </c>
      <c r="G17" s="11" t="s">
        <v>983</v>
      </c>
      <c r="H17" s="11" t="s">
        <v>1023</v>
      </c>
    </row>
    <row r="18" customFormat="false" ht="22.35" hidden="false" customHeight="false" outlineLevel="0" collapsed="false">
      <c r="A18" s="11" t="s">
        <v>1024</v>
      </c>
      <c r="B18" s="11" t="s">
        <v>1025</v>
      </c>
      <c r="C18" s="11" t="s">
        <v>1026</v>
      </c>
      <c r="D18" s="11" t="s">
        <v>1027</v>
      </c>
      <c r="E18" s="11" t="s">
        <v>704</v>
      </c>
      <c r="F18" s="11" t="s">
        <v>1028</v>
      </c>
      <c r="G18" s="11" t="s">
        <v>983</v>
      </c>
      <c r="H18" s="11" t="s">
        <v>1029</v>
      </c>
    </row>
    <row r="19" customFormat="false" ht="22.35" hidden="false" customHeight="false" outlineLevel="0" collapsed="false">
      <c r="A19" s="11" t="s">
        <v>840</v>
      </c>
      <c r="B19" s="11" t="s">
        <v>1025</v>
      </c>
      <c r="C19" s="11" t="s">
        <v>1030</v>
      </c>
      <c r="D19" s="11" t="s">
        <v>1031</v>
      </c>
      <c r="E19" s="11" t="s">
        <v>697</v>
      </c>
      <c r="F19" s="11" t="s">
        <v>839</v>
      </c>
      <c r="G19" s="11" t="s">
        <v>1032</v>
      </c>
      <c r="H19" s="11" t="s">
        <v>1033</v>
      </c>
    </row>
    <row r="20" customFormat="false" ht="22.35" hidden="false" customHeight="false" outlineLevel="0" collapsed="false">
      <c r="A20" s="11" t="s">
        <v>1034</v>
      </c>
      <c r="B20" s="11" t="s">
        <v>1025</v>
      </c>
      <c r="C20" s="11" t="s">
        <v>1035</v>
      </c>
      <c r="D20" s="11" t="s">
        <v>1027</v>
      </c>
      <c r="E20" s="11" t="s">
        <v>697</v>
      </c>
      <c r="F20" s="11" t="s">
        <v>940</v>
      </c>
      <c r="G20" s="11" t="s">
        <v>983</v>
      </c>
      <c r="H20" s="11" t="s">
        <v>1036</v>
      </c>
    </row>
    <row r="21" customFormat="false" ht="15" hidden="false" customHeight="false" outlineLevel="0" collapsed="false">
      <c r="A21" s="11" t="s">
        <v>1037</v>
      </c>
      <c r="B21" s="11" t="s">
        <v>1038</v>
      </c>
      <c r="C21" s="11" t="s">
        <v>1039</v>
      </c>
      <c r="D21" s="11" t="s">
        <v>1027</v>
      </c>
      <c r="E21" s="11" t="s">
        <v>704</v>
      </c>
      <c r="F21" s="11" t="s">
        <v>1040</v>
      </c>
      <c r="G21" s="11" t="s">
        <v>983</v>
      </c>
      <c r="H21" s="11" t="s">
        <v>1041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3" min="2" style="0" width="50"/>
    <col collapsed="false" customWidth="true" hidden="false" outlineLevel="0" max="4" min="4" style="0" width="70"/>
  </cols>
  <sheetData>
    <row r="1" customFormat="false" ht="15" hidden="false" customHeight="false" outlineLevel="0" collapsed="false">
      <c r="A1" s="9" t="s">
        <v>1042</v>
      </c>
    </row>
    <row r="3" customFormat="false" ht="15" hidden="false" customHeight="false" outlineLevel="0" collapsed="false">
      <c r="A3" s="10" t="s">
        <v>973</v>
      </c>
      <c r="B3" s="10" t="s">
        <v>1043</v>
      </c>
      <c r="C3" s="10" t="s">
        <v>1044</v>
      </c>
      <c r="D3" s="10" t="s">
        <v>1045</v>
      </c>
    </row>
    <row r="4" customFormat="false" ht="22.35" hidden="false" customHeight="false" outlineLevel="0" collapsed="false">
      <c r="A4" s="11" t="s">
        <v>1046</v>
      </c>
      <c r="B4" s="11" t="s">
        <v>1047</v>
      </c>
      <c r="C4" s="11" t="s">
        <v>1048</v>
      </c>
      <c r="D4" s="11" t="s">
        <v>1049</v>
      </c>
    </row>
    <row r="5" customFormat="false" ht="22.35" hidden="false" customHeight="false" outlineLevel="0" collapsed="false">
      <c r="A5" s="11" t="s">
        <v>1050</v>
      </c>
      <c r="B5" s="11" t="s">
        <v>1051</v>
      </c>
      <c r="C5" s="11" t="s">
        <v>1052</v>
      </c>
      <c r="D5" s="11" t="s">
        <v>1053</v>
      </c>
    </row>
    <row r="6" customFormat="false" ht="22.35" hidden="false" customHeight="false" outlineLevel="0" collapsed="false">
      <c r="A6" s="11" t="s">
        <v>1054</v>
      </c>
      <c r="B6" s="11" t="s">
        <v>1055</v>
      </c>
      <c r="C6" s="11" t="s">
        <v>1056</v>
      </c>
      <c r="D6" s="11" t="s">
        <v>1057</v>
      </c>
    </row>
    <row r="7" customFormat="false" ht="22.35" hidden="false" customHeight="false" outlineLevel="0" collapsed="false">
      <c r="A7" s="11" t="s">
        <v>1058</v>
      </c>
      <c r="B7" s="11" t="s">
        <v>1059</v>
      </c>
      <c r="C7" s="11" t="s">
        <v>1060</v>
      </c>
      <c r="D7" s="11" t="s">
        <v>1061</v>
      </c>
    </row>
    <row r="8" customFormat="false" ht="22.35" hidden="false" customHeight="false" outlineLevel="0" collapsed="false">
      <c r="A8" s="11" t="s">
        <v>1062</v>
      </c>
      <c r="B8" s="11" t="s">
        <v>1063</v>
      </c>
      <c r="C8" s="11" t="s">
        <v>1064</v>
      </c>
      <c r="D8" s="11" t="s">
        <v>1065</v>
      </c>
    </row>
    <row r="9" customFormat="false" ht="22.35" hidden="false" customHeight="false" outlineLevel="0" collapsed="false">
      <c r="A9" s="11" t="s">
        <v>1066</v>
      </c>
      <c r="B9" s="11" t="s">
        <v>1067</v>
      </c>
      <c r="C9" s="11" t="s">
        <v>1068</v>
      </c>
      <c r="D9" s="11" t="s">
        <v>1069</v>
      </c>
    </row>
    <row r="10" customFormat="false" ht="15" hidden="false" customHeight="false" outlineLevel="0" collapsed="false">
      <c r="A10" s="11" t="s">
        <v>1070</v>
      </c>
      <c r="B10" s="11" t="s">
        <v>1071</v>
      </c>
      <c r="C10" s="11" t="s">
        <v>1072</v>
      </c>
      <c r="D10" s="11" t="s">
        <v>1073</v>
      </c>
    </row>
    <row r="11" customFormat="false" ht="22.35" hidden="false" customHeight="false" outlineLevel="0" collapsed="false">
      <c r="A11" s="11" t="s">
        <v>1074</v>
      </c>
      <c r="B11" s="11" t="s">
        <v>1075</v>
      </c>
      <c r="C11" s="11" t="s">
        <v>1076</v>
      </c>
      <c r="D11" s="11" t="s">
        <v>1077</v>
      </c>
    </row>
    <row r="12" customFormat="false" ht="22.35" hidden="false" customHeight="false" outlineLevel="0" collapsed="false">
      <c r="A12" s="11" t="s">
        <v>1078</v>
      </c>
      <c r="B12" s="11" t="s">
        <v>1079</v>
      </c>
      <c r="C12" s="11" t="s">
        <v>1080</v>
      </c>
      <c r="D12" s="11" t="s">
        <v>1081</v>
      </c>
    </row>
    <row r="13" customFormat="false" ht="22.35" hidden="false" customHeight="false" outlineLevel="0" collapsed="false">
      <c r="A13" s="11" t="s">
        <v>1082</v>
      </c>
      <c r="B13" s="11" t="s">
        <v>1083</v>
      </c>
      <c r="C13" s="11" t="s">
        <v>1084</v>
      </c>
      <c r="D13" s="11" t="s">
        <v>1085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0"/>
    <col collapsed="false" customWidth="true" hidden="false" outlineLevel="0" max="4" min="3" style="0" width="8"/>
    <col collapsed="false" customWidth="true" hidden="false" outlineLevel="0" max="5" min="5" style="0" width="70"/>
    <col collapsed="false" customWidth="true" hidden="false" outlineLevel="0" max="6" min="6" style="0" width="60"/>
  </cols>
  <sheetData>
    <row r="1" customFormat="false" ht="15" hidden="false" customHeight="false" outlineLevel="0" collapsed="false">
      <c r="A1" s="9" t="s">
        <v>1086</v>
      </c>
    </row>
    <row r="3" customFormat="false" ht="15" hidden="false" customHeight="false" outlineLevel="0" collapsed="false">
      <c r="A3" s="10" t="s">
        <v>1087</v>
      </c>
      <c r="B3" s="10" t="s">
        <v>1088</v>
      </c>
      <c r="C3" s="10" t="s">
        <v>1089</v>
      </c>
      <c r="D3" s="10" t="s">
        <v>1090</v>
      </c>
      <c r="E3" s="10" t="s">
        <v>688</v>
      </c>
      <c r="F3" s="10" t="s">
        <v>1091</v>
      </c>
    </row>
    <row r="4" customFormat="false" ht="22.35" hidden="false" customHeight="false" outlineLevel="0" collapsed="false">
      <c r="A4" s="11" t="s">
        <v>371</v>
      </c>
      <c r="B4" s="11" t="s">
        <v>1092</v>
      </c>
      <c r="C4" s="11" t="n">
        <v>0</v>
      </c>
      <c r="D4" s="12" t="n">
        <v>0</v>
      </c>
      <c r="E4" s="11" t="s">
        <v>1093</v>
      </c>
      <c r="F4" s="11" t="s">
        <v>1094</v>
      </c>
    </row>
    <row r="5" customFormat="false" ht="22.35" hidden="false" customHeight="false" outlineLevel="0" collapsed="false">
      <c r="A5" s="11" t="s">
        <v>381</v>
      </c>
      <c r="B5" s="11" t="s">
        <v>1095</v>
      </c>
      <c r="C5" s="11" t="n">
        <v>0</v>
      </c>
      <c r="D5" s="12" t="n">
        <v>0</v>
      </c>
      <c r="E5" s="11" t="s">
        <v>1096</v>
      </c>
      <c r="F5" s="11" t="s">
        <v>1097</v>
      </c>
    </row>
    <row r="6" customFormat="false" ht="22.35" hidden="false" customHeight="false" outlineLevel="0" collapsed="false">
      <c r="A6" s="11" t="s">
        <v>478</v>
      </c>
      <c r="B6" s="11" t="s">
        <v>1098</v>
      </c>
      <c r="C6" s="11" t="n">
        <v>1</v>
      </c>
      <c r="D6" s="12" t="n">
        <v>1</v>
      </c>
      <c r="E6" s="11" t="s">
        <v>1099</v>
      </c>
      <c r="F6" s="11" t="s">
        <v>1100</v>
      </c>
    </row>
    <row r="7" customFormat="false" ht="22.35" hidden="false" customHeight="false" outlineLevel="0" collapsed="false">
      <c r="A7" s="11" t="s">
        <v>111</v>
      </c>
      <c r="B7" s="11" t="s">
        <v>1101</v>
      </c>
      <c r="C7" s="11" t="n">
        <v>2</v>
      </c>
      <c r="D7" s="12" t="n">
        <v>2</v>
      </c>
      <c r="E7" s="11" t="s">
        <v>1102</v>
      </c>
      <c r="F7" s="11" t="s">
        <v>1103</v>
      </c>
    </row>
    <row r="8" customFormat="false" ht="22.35" hidden="false" customHeight="false" outlineLevel="0" collapsed="false">
      <c r="A8" s="11" t="s">
        <v>267</v>
      </c>
      <c r="B8" s="11" t="s">
        <v>1104</v>
      </c>
      <c r="C8" s="11" t="n">
        <v>2</v>
      </c>
      <c r="D8" s="12" t="n">
        <v>2</v>
      </c>
      <c r="E8" s="11" t="s">
        <v>1105</v>
      </c>
      <c r="F8" s="11" t="s">
        <v>1106</v>
      </c>
    </row>
    <row r="9" customFormat="false" ht="22.35" hidden="false" customHeight="false" outlineLevel="0" collapsed="false">
      <c r="A9" s="11" t="s">
        <v>1107</v>
      </c>
      <c r="B9" s="11" t="s">
        <v>1108</v>
      </c>
      <c r="C9" s="11" t="n">
        <v>1</v>
      </c>
      <c r="D9" s="12" t="n">
        <v>1</v>
      </c>
      <c r="E9" s="11" t="s">
        <v>1109</v>
      </c>
      <c r="F9" s="11" t="s">
        <v>1110</v>
      </c>
    </row>
    <row r="10" customFormat="false" ht="22.35" hidden="false" customHeight="false" outlineLevel="0" collapsed="false">
      <c r="A10" s="11" t="s">
        <v>1111</v>
      </c>
      <c r="B10" s="11" t="s">
        <v>1112</v>
      </c>
      <c r="C10" s="11" t="n">
        <v>2</v>
      </c>
      <c r="D10" s="12" t="n">
        <v>2</v>
      </c>
      <c r="E10" s="11" t="s">
        <v>1113</v>
      </c>
      <c r="F10" s="11" t="s">
        <v>1114</v>
      </c>
    </row>
    <row r="12" customFormat="false" ht="53.7" hidden="false" customHeight="false" outlineLevel="0" collapsed="false">
      <c r="A12" s="15" t="s">
        <v>1115</v>
      </c>
      <c r="C12" s="12" t="n">
        <v>29</v>
      </c>
    </row>
    <row r="13" customFormat="false" ht="43.25" hidden="false" customHeight="false" outlineLevel="0" collapsed="false">
      <c r="A13" s="15" t="s">
        <v>1116</v>
      </c>
      <c r="C13" s="13" t="n">
        <f aca="false">SUM(D4:D10)-SUM(C4:C10)</f>
        <v>0</v>
      </c>
    </row>
    <row r="14" customFormat="false" ht="15" hidden="false" customHeight="false" outlineLevel="0" collapsed="false">
      <c r="A14" s="15" t="s">
        <v>1117</v>
      </c>
      <c r="C14" s="13" t="n">
        <f aca="false">C12+C13</f>
        <v>29</v>
      </c>
    </row>
    <row r="15" customFormat="false" ht="32.8" hidden="false" customHeight="false" outlineLevel="0" collapsed="false">
      <c r="A15" s="15" t="s">
        <v>1118</v>
      </c>
      <c r="C15" s="17" t="n">
        <f aca="false">C12/22</f>
        <v>1.31818181818182</v>
      </c>
    </row>
    <row r="16" customFormat="false" ht="32.8" hidden="false" customHeight="false" outlineLevel="0" collapsed="false">
      <c r="A16" s="15" t="s">
        <v>1119</v>
      </c>
      <c r="C16" s="17" t="n">
        <f aca="false">C14/22</f>
        <v>1.31818181818182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3" min="2" style="0" width="70"/>
  </cols>
  <sheetData>
    <row r="1" customFormat="false" ht="15" hidden="false" customHeight="false" outlineLevel="0" collapsed="false">
      <c r="A1" s="9" t="s">
        <v>1120</v>
      </c>
    </row>
    <row r="3" customFormat="false" ht="15" hidden="false" customHeight="false" outlineLevel="0" collapsed="false">
      <c r="A3" s="10" t="s">
        <v>1121</v>
      </c>
      <c r="B3" s="10" t="s">
        <v>1122</v>
      </c>
      <c r="C3" s="10" t="s">
        <v>1123</v>
      </c>
    </row>
    <row r="4" customFormat="false" ht="22.35" hidden="false" customHeight="false" outlineLevel="0" collapsed="false">
      <c r="A4" s="11" t="s">
        <v>2</v>
      </c>
      <c r="B4" s="11" t="s">
        <v>1124</v>
      </c>
      <c r="C4" s="11" t="s">
        <v>1125</v>
      </c>
    </row>
    <row r="5" customFormat="false" ht="22.35" hidden="false" customHeight="false" outlineLevel="0" collapsed="false">
      <c r="A5" s="11" t="s">
        <v>1126</v>
      </c>
      <c r="B5" s="11" t="s">
        <v>1127</v>
      </c>
      <c r="C5" s="11" t="s">
        <v>1128</v>
      </c>
    </row>
    <row r="6" customFormat="false" ht="22.35" hidden="false" customHeight="false" outlineLevel="0" collapsed="false">
      <c r="A6" s="11" t="s">
        <v>1129</v>
      </c>
      <c r="B6" s="11" t="s">
        <v>1130</v>
      </c>
      <c r="C6" s="11" t="s">
        <v>1131</v>
      </c>
    </row>
    <row r="7" customFormat="false" ht="22.35" hidden="false" customHeight="false" outlineLevel="0" collapsed="false">
      <c r="A7" s="11" t="s">
        <v>1132</v>
      </c>
      <c r="B7" s="11" t="s">
        <v>1133</v>
      </c>
      <c r="C7" s="11" t="s">
        <v>1131</v>
      </c>
    </row>
    <row r="8" customFormat="false" ht="22.35" hidden="false" customHeight="false" outlineLevel="0" collapsed="false">
      <c r="A8" s="11" t="s">
        <v>1134</v>
      </c>
      <c r="B8" s="11" t="s">
        <v>1135</v>
      </c>
      <c r="C8" s="11" t="s">
        <v>1131</v>
      </c>
    </row>
    <row r="9" customFormat="false" ht="22.35" hidden="false" customHeight="false" outlineLevel="0" collapsed="false">
      <c r="A9" s="11" t="s">
        <v>1136</v>
      </c>
      <c r="B9" s="11" t="s">
        <v>1137</v>
      </c>
      <c r="C9" s="11" t="s">
        <v>1131</v>
      </c>
    </row>
    <row r="10" customFormat="false" ht="22.35" hidden="false" customHeight="false" outlineLevel="0" collapsed="false">
      <c r="A10" s="11" t="s">
        <v>1138</v>
      </c>
      <c r="B10" s="11" t="s">
        <v>1139</v>
      </c>
      <c r="C10" s="11" t="s">
        <v>1131</v>
      </c>
    </row>
    <row r="11" customFormat="false" ht="22.35" hidden="false" customHeight="false" outlineLevel="0" collapsed="false">
      <c r="A11" s="11" t="s">
        <v>1140</v>
      </c>
      <c r="B11" s="11" t="s">
        <v>1141</v>
      </c>
      <c r="C11" s="11" t="s">
        <v>1131</v>
      </c>
    </row>
    <row r="12" customFormat="false" ht="22.35" hidden="false" customHeight="false" outlineLevel="0" collapsed="false">
      <c r="A12" s="11" t="s">
        <v>1142</v>
      </c>
      <c r="B12" s="11" t="s">
        <v>1143</v>
      </c>
      <c r="C12" s="11" t="s">
        <v>1144</v>
      </c>
    </row>
    <row r="14" customFormat="false" ht="32.8" hidden="false" customHeight="false" outlineLevel="0" collapsed="false">
      <c r="A14" s="11" t="s">
        <v>1145</v>
      </c>
      <c r="B14" s="11" t="s">
        <v>1146</v>
      </c>
      <c r="C14" s="11" t="s">
        <v>1147</v>
      </c>
    </row>
    <row r="15" customFormat="false" ht="22.35" hidden="false" customHeight="false" outlineLevel="0" collapsed="false">
      <c r="A15" s="11" t="s">
        <v>1148</v>
      </c>
      <c r="B15" s="11" t="s">
        <v>1149</v>
      </c>
      <c r="C15" s="11" t="s">
        <v>1150</v>
      </c>
    </row>
    <row r="16" customFormat="false" ht="22.35" hidden="false" customHeight="false" outlineLevel="0" collapsed="false">
      <c r="A16" s="11" t="s">
        <v>1151</v>
      </c>
      <c r="B16" s="11" t="s">
        <v>1152</v>
      </c>
      <c r="C16" s="11" t="s">
        <v>1153</v>
      </c>
    </row>
    <row r="17" customFormat="false" ht="22.35" hidden="false" customHeight="false" outlineLevel="0" collapsed="false">
      <c r="A17" s="11" t="s">
        <v>1154</v>
      </c>
      <c r="B17" s="11" t="s">
        <v>1155</v>
      </c>
      <c r="C17" s="11" t="s">
        <v>1156</v>
      </c>
    </row>
    <row r="18" customFormat="false" ht="22.35" hidden="false" customHeight="false" outlineLevel="0" collapsed="false">
      <c r="A18" s="11" t="s">
        <v>1157</v>
      </c>
      <c r="B18" s="11" t="s">
        <v>1158</v>
      </c>
      <c r="C18" s="11" t="s">
        <v>1159</v>
      </c>
    </row>
    <row r="19" customFormat="false" ht="22.35" hidden="false" customHeight="false" outlineLevel="0" collapsed="false">
      <c r="A19" s="11" t="s">
        <v>1160</v>
      </c>
      <c r="B19" s="11" t="s">
        <v>1161</v>
      </c>
      <c r="C19" s="11" t="s">
        <v>1162</v>
      </c>
    </row>
    <row r="20" customFormat="false" ht="32.8" hidden="false" customHeight="false" outlineLevel="0" collapsed="false">
      <c r="A20" s="11" t="s">
        <v>1163</v>
      </c>
      <c r="B20" s="11" t="s">
        <v>1164</v>
      </c>
      <c r="C20" s="11" t="s">
        <v>1165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70"/>
    <col collapsed="false" customWidth="true" hidden="false" outlineLevel="0" max="3" min="3" style="0" width="24"/>
    <col collapsed="false" customWidth="true" hidden="false" outlineLevel="0" max="4" min="4" style="0" width="16"/>
    <col collapsed="false" customWidth="true" hidden="false" outlineLevel="0" max="5" min="5" style="0" width="10"/>
  </cols>
  <sheetData>
    <row r="1" customFormat="false" ht="15" hidden="false" customHeight="false" outlineLevel="0" collapsed="false">
      <c r="A1" s="9" t="s">
        <v>1166</v>
      </c>
    </row>
    <row r="3" customFormat="false" ht="15" hidden="false" customHeight="false" outlineLevel="0" collapsed="false">
      <c r="A3" s="10" t="s">
        <v>1167</v>
      </c>
      <c r="B3" s="10" t="s">
        <v>1168</v>
      </c>
      <c r="C3" s="10" t="s">
        <v>1169</v>
      </c>
      <c r="D3" s="10" t="s">
        <v>1170</v>
      </c>
      <c r="E3" s="10" t="s">
        <v>626</v>
      </c>
    </row>
    <row r="4" customFormat="false" ht="15" hidden="false" customHeight="false" outlineLevel="0" collapsed="false">
      <c r="A4" s="11" t="n">
        <v>1</v>
      </c>
      <c r="B4" s="11" t="s">
        <v>1171</v>
      </c>
      <c r="C4" s="11" t="n">
        <v>63</v>
      </c>
      <c r="D4" s="13" t="n">
        <f aca="false">COUNTA(01_CIS_Assessment!$A$4:$A$66)</f>
        <v>63</v>
      </c>
      <c r="E4" s="13" t="str">
        <f aca="false">IF(D4=C4,"PASS","FAIL")</f>
        <v>PASS</v>
      </c>
    </row>
    <row r="5" customFormat="false" ht="15" hidden="false" customHeight="false" outlineLevel="0" collapsed="false">
      <c r="A5" s="11" t="n">
        <v>2</v>
      </c>
      <c r="B5" s="11" t="s">
        <v>1172</v>
      </c>
      <c r="C5" s="11" t="n">
        <v>63</v>
      </c>
      <c r="D5" s="13" t="n">
        <f aca="false">COUNTIF(01_CIS_Assessment!$L$4:$L$66,"PASS")+COUNTIF(01_CIS_Assessment!$L$4:$L$66,"FAIL")+COUNTIF(01_CIS_Assessment!$L$4:$L$66,"N/A")</f>
        <v>63</v>
      </c>
      <c r="E5" s="13" t="str">
        <f aca="false">IF(D5=C5,"PASS","FAIL")</f>
        <v>PASS</v>
      </c>
    </row>
    <row r="6" customFormat="false" ht="15" hidden="false" customHeight="false" outlineLevel="0" collapsed="false">
      <c r="A6" s="11" t="n">
        <v>3</v>
      </c>
      <c r="B6" s="11" t="s">
        <v>1173</v>
      </c>
      <c r="C6" s="11" t="n">
        <v>0</v>
      </c>
      <c r="D6" s="13" t="n">
        <f aca="false">COUNTIFS(01_CIS_Assessment!$L$4:$L$66,"FAIL",01_CIS_Assessment!$R$4:$R$66,"-")</f>
        <v>0</v>
      </c>
      <c r="E6" s="13" t="str">
        <f aca="false">IF(D6=C6,"PASS","FAIL")</f>
        <v>PASS</v>
      </c>
    </row>
    <row r="7" customFormat="false" ht="15" hidden="false" customHeight="false" outlineLevel="0" collapsed="false">
      <c r="A7" s="11" t="n">
        <v>4</v>
      </c>
      <c r="B7" s="11" t="s">
        <v>636</v>
      </c>
      <c r="C7" s="11" t="n">
        <v>41</v>
      </c>
      <c r="D7" s="13" t="n">
        <f aca="false">COUNTIF(01_CIS_Assessment!$D$4:$D$66,"Level 1")</f>
        <v>41</v>
      </c>
      <c r="E7" s="13" t="str">
        <f aca="false">IF(D7=C7,"PASS","FAIL")</f>
        <v>PASS</v>
      </c>
    </row>
    <row r="8" customFormat="false" ht="15" hidden="false" customHeight="false" outlineLevel="0" collapsed="false">
      <c r="A8" s="11" t="n">
        <v>5</v>
      </c>
      <c r="B8" s="11" t="s">
        <v>1174</v>
      </c>
      <c r="C8" s="11" t="n">
        <v>22</v>
      </c>
      <c r="D8" s="13" t="n">
        <f aca="false">COUNTIF(01_CIS_Assessment!$D$4:$D$66,"Level 2")</f>
        <v>22</v>
      </c>
      <c r="E8" s="13" t="str">
        <f aca="false">IF(D8=C8,"PASS","FAIL")</f>
        <v>PASS</v>
      </c>
    </row>
    <row r="9" customFormat="false" ht="15" hidden="false" customHeight="false" outlineLevel="0" collapsed="false">
      <c r="A9" s="11" t="n">
        <v>6</v>
      </c>
      <c r="B9" s="11" t="s">
        <v>1175</v>
      </c>
      <c r="C9" s="11" t="n">
        <v>28</v>
      </c>
      <c r="D9" s="13" t="n">
        <f aca="false">COUNTIF(01_CIS_Assessment!$G$4:$G$66,"Manual")</f>
        <v>28</v>
      </c>
      <c r="E9" s="13" t="str">
        <f aca="false">IF(D9=C9,"PASS","FAIL")</f>
        <v>PASS</v>
      </c>
    </row>
    <row r="10" customFormat="false" ht="15" hidden="false" customHeight="false" outlineLevel="0" collapsed="false">
      <c r="A10" s="11" t="n">
        <v>7</v>
      </c>
      <c r="B10" s="11" t="s">
        <v>647</v>
      </c>
      <c r="C10" s="11" t="n">
        <v>37</v>
      </c>
      <c r="D10" s="13" t="n">
        <f aca="false">COUNTIF(01_CIS_Assessment!$X$4:$X$66,"Y")</f>
        <v>37</v>
      </c>
      <c r="E10" s="13" t="str">
        <f aca="false">IF(D10=C10,"PASS","FAIL")</f>
        <v>PASS</v>
      </c>
    </row>
    <row r="11" customFormat="false" ht="15" hidden="false" customHeight="false" outlineLevel="0" collapsed="false">
      <c r="A11" s="11" t="n">
        <v>8</v>
      </c>
      <c r="B11" s="11" t="s">
        <v>1176</v>
      </c>
      <c r="C11" s="11" t="n">
        <v>47</v>
      </c>
      <c r="D11" s="13" t="n">
        <f aca="false">COUNTIF(01_CIS_Assessment!$E$4:$E$66,"Y")</f>
        <v>47</v>
      </c>
      <c r="E11" s="13" t="str">
        <f aca="false">IF(D11=C11,"PASS","FAIL")</f>
        <v>PASS</v>
      </c>
    </row>
    <row r="12" customFormat="false" ht="15" hidden="false" customHeight="false" outlineLevel="0" collapsed="false">
      <c r="A12" s="11" t="n">
        <v>9</v>
      </c>
      <c r="B12" s="11" t="s">
        <v>1177</v>
      </c>
      <c r="C12" s="11" t="n">
        <v>15</v>
      </c>
      <c r="D12" s="13" t="n">
        <f aca="false">COUNTA(06_Findings_Register!A4:A18)</f>
        <v>15</v>
      </c>
      <c r="E12" s="13" t="str">
        <f aca="false">IF(D12=C12,"PASS","FAIL")</f>
        <v>PASS</v>
      </c>
    </row>
    <row r="13" customFormat="false" ht="15" hidden="false" customHeight="false" outlineLevel="0" collapsed="false">
      <c r="A13" s="11" t="n">
        <v>10</v>
      </c>
      <c r="B13" s="11" t="s">
        <v>1178</v>
      </c>
      <c r="C13" s="11" t="n">
        <v>0</v>
      </c>
      <c r="D13" s="13" t="n">
        <f aca="false">COUNTBLANK(06_Findings_Register!I4:I18)</f>
        <v>0</v>
      </c>
      <c r="E13" s="13" t="str">
        <f aca="false">IF(D13=C13,"PASS","FAIL")</f>
        <v>PASS</v>
      </c>
    </row>
    <row r="14" customFormat="false" ht="15" hidden="false" customHeight="false" outlineLevel="0" collapsed="false">
      <c r="A14" s="11" t="n">
        <v>11</v>
      </c>
      <c r="B14" s="11" t="s">
        <v>1179</v>
      </c>
      <c r="C14" s="11" t="n">
        <v>0</v>
      </c>
      <c r="D14" s="13" t="n">
        <f aca="false">COUNTBLANK(06_Findings_Register!J4:J18)</f>
        <v>0</v>
      </c>
      <c r="E14" s="13" t="str">
        <f aca="false">IF(D14=C14,"PASS","FAIL")</f>
        <v>PASS</v>
      </c>
    </row>
    <row r="15" customFormat="false" ht="15" hidden="false" customHeight="false" outlineLevel="0" collapsed="false">
      <c r="A15" s="11" t="n">
        <v>12</v>
      </c>
      <c r="B15" s="11" t="s">
        <v>1180</v>
      </c>
      <c r="C15" s="11" t="n">
        <v>15</v>
      </c>
      <c r="D15" s="13" t="n">
        <f aca="false">COUNTA(08_Five_Way_Mapping!A4:A18)</f>
        <v>15</v>
      </c>
      <c r="E15" s="13" t="str">
        <f aca="false">IF(D15=C15,"PASS","FAIL")</f>
        <v>PASS</v>
      </c>
    </row>
    <row r="16" customFormat="false" ht="15" hidden="false" customHeight="false" outlineLevel="0" collapsed="false">
      <c r="A16" s="11" t="n">
        <v>13</v>
      </c>
      <c r="B16" s="11" t="s">
        <v>1181</v>
      </c>
      <c r="C16" s="11" t="n">
        <v>20</v>
      </c>
      <c r="D16" s="13" t="n">
        <f aca="false">10_R005_Recalc!F5</f>
        <v>20</v>
      </c>
      <c r="E16" s="13" t="str">
        <f aca="false">IF(D16=C16,"PASS","FAIL")</f>
        <v>PASS</v>
      </c>
    </row>
    <row r="17" customFormat="false" ht="15" hidden="false" customHeight="false" outlineLevel="0" collapsed="false">
      <c r="A17" s="11" t="n">
        <v>14</v>
      </c>
      <c r="B17" s="11" t="s">
        <v>1182</v>
      </c>
      <c r="C17" s="11" t="n">
        <v>213</v>
      </c>
      <c r="D17" s="13" t="n">
        <f aca="false">'11_Register_v1.2'!B18</f>
        <v>213</v>
      </c>
      <c r="E17" s="13" t="str">
        <f aca="false">IF(D17=C17,"PASS","FAIL")</f>
        <v>PASS</v>
      </c>
    </row>
    <row r="18" customFormat="false" ht="15" hidden="false" customHeight="false" outlineLevel="0" collapsed="false">
      <c r="A18" s="11" t="n">
        <v>15</v>
      </c>
      <c r="B18" s="11" t="s">
        <v>1183</v>
      </c>
      <c r="C18" s="11" t="n">
        <v>130</v>
      </c>
      <c r="D18" s="13" t="n">
        <f aca="false">'11_Register_v1.2'!E18</f>
        <v>130</v>
      </c>
      <c r="E18" s="13" t="str">
        <f aca="false">IF(D18=C18,"PASS","FAIL")</f>
        <v>PASS</v>
      </c>
    </row>
    <row r="19" customFormat="false" ht="15" hidden="false" customHeight="false" outlineLevel="0" collapsed="false">
      <c r="A19" s="11" t="n">
        <v>16</v>
      </c>
      <c r="B19" s="11" t="s">
        <v>1184</v>
      </c>
      <c r="C19" s="11" t="n">
        <v>122</v>
      </c>
      <c r="D19" s="13" t="n">
        <f aca="false">'11_Register_v1.2'!C18</f>
        <v>122</v>
      </c>
      <c r="E19" s="13" t="str">
        <f aca="false">IF(D19=C19,"PASS","FAIL")</f>
        <v>PASS</v>
      </c>
    </row>
    <row r="20" customFormat="false" ht="15" hidden="false" customHeight="false" outlineLevel="0" collapsed="false">
      <c r="A20" s="11" t="n">
        <v>17</v>
      </c>
      <c r="B20" s="11" t="s">
        <v>1185</v>
      </c>
      <c r="C20" s="11" t="s">
        <v>1186</v>
      </c>
      <c r="D20" s="13" t="str">
        <f aca="false">10_R005_Recalc!G14</f>
        <v>Met at step 5</v>
      </c>
      <c r="E20" s="13" t="str">
        <f aca="false">IF(D20="Met at step 5","PASS","FAIL")</f>
        <v>PASS</v>
      </c>
    </row>
    <row r="21" customFormat="false" ht="15" hidden="false" customHeight="false" outlineLevel="0" collapsed="false">
      <c r="A21" s="11" t="n">
        <v>18</v>
      </c>
      <c r="B21" s="11" t="s">
        <v>1187</v>
      </c>
      <c r="C21" s="11" t="s">
        <v>1188</v>
      </c>
      <c r="D21" s="13" t="str">
        <f aca="false">10_R005_Recalc!G15</f>
        <v>Met at step 6</v>
      </c>
      <c r="E21" s="13" t="str">
        <f aca="false">IF(D21="Met at step 6","PASS","FAIL")</f>
        <v>PASS</v>
      </c>
    </row>
    <row r="22" customFormat="false" ht="15" hidden="false" customHeight="false" outlineLevel="0" collapsed="false">
      <c r="A22" s="11" t="n">
        <v>19</v>
      </c>
      <c r="B22" s="11" t="s">
        <v>1189</v>
      </c>
      <c r="C22" s="11" t="n">
        <v>18</v>
      </c>
      <c r="D22" s="13" t="n">
        <f aca="false">COUNTA(12_Roadmap!A4:A21)</f>
        <v>18</v>
      </c>
      <c r="E22" s="13" t="str">
        <f aca="false">IF(D22=C22,"PASS","FAIL")</f>
        <v>PASS</v>
      </c>
    </row>
    <row r="23" customFormat="false" ht="15" hidden="false" customHeight="false" outlineLevel="0" collapsed="false">
      <c r="A23" s="11" t="n">
        <v>20</v>
      </c>
      <c r="B23" s="11" t="s">
        <v>654</v>
      </c>
      <c r="C23" s="11" t="n">
        <v>0</v>
      </c>
      <c r="D23" s="13" t="n">
        <f aca="false">02_Scorecard!C22</f>
        <v>0</v>
      </c>
      <c r="E23" s="13" t="str">
        <f aca="false">IF(D23=C23,"PASS","FAIL")</f>
        <v>PASS</v>
      </c>
    </row>
    <row r="24" customFormat="false" ht="15" hidden="false" customHeight="false" outlineLevel="0" collapsed="false">
      <c r="A24" s="11" t="n">
        <v>21</v>
      </c>
      <c r="B24" s="11" t="s">
        <v>1190</v>
      </c>
      <c r="C24" s="11" t="n">
        <v>1.32</v>
      </c>
      <c r="D24" s="13" t="n">
        <f aca="false">ROUND(14_Maturity_Effect!C16,2)</f>
        <v>1.32</v>
      </c>
      <c r="E24" s="13" t="str">
        <f aca="false">IF(D24=C24,"PASS","FAIL")</f>
        <v>PASS</v>
      </c>
    </row>
    <row r="25" customFormat="false" ht="15" hidden="false" customHeight="false" outlineLevel="0" collapsed="false">
      <c r="A25" s="11" t="n">
        <v>22</v>
      </c>
      <c r="B25" s="11" t="s">
        <v>1191</v>
      </c>
      <c r="C25" s="11" t="n">
        <v>5</v>
      </c>
      <c r="D25" s="13" t="n">
        <f aca="false">COUNTIF(01_CIS_Assessment!$A$4:$A$66,"1.4")+COUNTIF(01_CIS_Assessment!$A$4:$A$66,"2.1.4")+COUNTIF(01_CIS_Assessment!$A$4:$A$66,"3.2")+COUNTIF(01_CIS_Assessment!$A$4:$A$66,"4.3")+COUNTIF(01_CIS_Assessment!$A$4:$A$66,"5.3")</f>
        <v>5</v>
      </c>
      <c r="E25" s="13" t="str">
        <f aca="false">IF(D25=C25,"PASS","FAIL")</f>
        <v>PASS</v>
      </c>
    </row>
  </sheetData>
  <conditionalFormatting sqref="E4:E25">
    <cfRule type="cellIs" priority="2" operator="equal" aboveAverage="0" equalAverage="0" bottom="0" percent="0" rank="0" text="" dxfId="0">
      <formula>"PASS"</formula>
    </cfRule>
    <cfRule type="cellIs" priority="3" operator="equal" aboveAverage="0" equalAverage="0" bottom="0" percent="0" rank="0" text="" dxfId="1">
      <formula>"FAIL"</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2026-10-16T19:46:02Z</dcterms:created>
  <dc:creator>openpyxl</dc:creator>
  <dc:description/>
  <dc:language>en-US</dc:language>
  <cp:lastModifiedBy/>
  <dcterms:modified xsi:type="dcterms:W3CDTF">2026-10-16T19:46:02Z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