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README" sheetId="1" state="visible" r:id="rId3"/>
    <sheet name="Tracker" sheetId="2" state="visible" r:id="rId4"/>
    <sheet name="Summary" sheetId="3" state="visible" r:id="rId5"/>
    <sheet name="Lists" sheetId="4" state="visible" r:id="rId6"/>
    <sheet name="Escalation" sheetId="5" state="visible" r:id="rId7"/>
    <sheet name="Checklist" sheetId="6" state="visible" r:id="rId8"/>
  </sheets>
  <definedNames>
    <definedName function="false" hidden="true" localSheetId="1" name="_xlnm._FilterDatabase" vbProcedure="false">Tracker!$A$1:$N$51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<sst xmlns="http://schemas.openxmlformats.org/spreadsheetml/2006/main" count="189" uniqueCount="138">
  <si>
    <t xml:space="preserve">Employee Policy Sign-off and Training Tracker — CGI-TRK-001</t>
  </si>
  <si>
    <t xml:space="preserve">SIMULATED CASE STUDY. Cypher Group Inc. is a simulated company. All names, IDs, dates and statuses are invented for a GRC portfolio case study.</t>
  </si>
  <si>
    <t xml:space="preserve">Purpose</t>
  </si>
  <si>
    <t xml:space="preserve">Evidence that every person has acknowledged the policy pack, enrolled in MFA and completed security training. A policy nobody has acknowledged gives no assurance.</t>
  </si>
  <si>
    <t xml:space="preserve">Owner</t>
  </si>
  <si>
    <t xml:space="preserve">Sofia Lindqvist, Head of People and Operations</t>
  </si>
  <si>
    <t xml:space="preserve">Approved by</t>
  </si>
  <si>
    <t xml:space="preserve">Jerry Olugboye, Chief Executive Officer</t>
  </si>
  <si>
    <t xml:space="preserve">Classification</t>
  </si>
  <si>
    <t xml:space="preserve">Confidential (contains employee records)</t>
  </si>
  <si>
    <t xml:space="preserve">Update cadence</t>
  </si>
  <si>
    <t xml:space="preserve">Weekly, and on every joiner, mover and leaver event</t>
  </si>
  <si>
    <t xml:space="preserve">Supports</t>
  </si>
  <si>
    <t xml:space="preserve">CGI-POL-001 §6.2 · CGI-POL-003 §4.3.5 · CGI-POL-002 §4.3.2</t>
  </si>
  <si>
    <t xml:space="preserve">Prepared by</t>
  </si>
  <si>
    <t xml:space="preserve">O.S — portfolio project 1</t>
  </si>
  <si>
    <t xml:space="preserve">SHEETS</t>
  </si>
  <si>
    <t xml:space="preserve">Tracker</t>
  </si>
  <si>
    <t xml:space="preserve">One row per person. Columns A–G are the core seven columns; H–N are optional governance columns. Dropdowns enforce permitted values.</t>
  </si>
  <si>
    <t xml:space="preserve">Summary</t>
  </si>
  <si>
    <t xml:space="preserve">Monthly compliance summary. Every number is a formula — do not type over grey cells. Set the "Data as at" date in the yellow cell.</t>
  </si>
  <si>
    <t xml:space="preserve">Lists</t>
  </si>
  <si>
    <t xml:space="preserve">Permitted values that feed the dropdowns. Add a value here and it becomes available in the Tracker.</t>
  </si>
  <si>
    <t xml:space="preserve">Escalation</t>
  </si>
  <si>
    <t xml:space="preserve">Escalation rules applied when sign-off, MFA or training is outstanding.</t>
  </si>
  <si>
    <t xml:space="preserve">Checklist</t>
  </si>
  <si>
    <t xml:space="preserve">Set-up and evidence-retention checklist.</t>
  </si>
  <si>
    <t xml:space="preserve">COLOUR LEGEND</t>
  </si>
  <si>
    <t xml:space="preserve">Yellow cell</t>
  </si>
  <si>
    <t xml:space="preserve">Input — type here</t>
  </si>
  <si>
    <t xml:space="preserve">Grey cell</t>
  </si>
  <si>
    <t xml:space="preserve">Formula — do not overwrite</t>
  </si>
  <si>
    <t xml:space="preserve">Green</t>
  </si>
  <si>
    <t xml:space="preserve">Compliant value (Signed / Verified / Yes, or target met)</t>
  </si>
  <si>
    <t xml:space="preserve">Amber</t>
  </si>
  <si>
    <t xml:space="preserve">In progress (Pending / Exception)</t>
  </si>
  <si>
    <t xml:space="preserve">Red</t>
  </si>
  <si>
    <t xml:space="preserve">Non-compliant (Not Started / Overdue / Not Enrolled / No, or below target)</t>
  </si>
  <si>
    <t xml:space="preserve">PUBLISHING</t>
  </si>
  <si>
    <t xml:space="preserve">GitHub</t>
  </si>
  <si>
    <t xml:space="preserve">Upload this .xlsx next to its .md file. GitHub cannot preview .xlsx, so link to it from the README as a download.</t>
  </si>
  <si>
    <t xml:space="preserve">Notion</t>
  </si>
  <si>
    <t xml:space="preserve">Import the matching .csv (Settings → Import → CSV) to get a sortable, filterable database.</t>
  </si>
  <si>
    <t xml:space="preserve">Employee ID</t>
  </si>
  <si>
    <t xml:space="preserve">Name</t>
  </si>
  <si>
    <t xml:space="preserve">Department</t>
  </si>
  <si>
    <t xml:space="preserve">AUP Sign-off Status</t>
  </si>
  <si>
    <t xml:space="preserve">MFA Verification</t>
  </si>
  <si>
    <t xml:space="preserve">Training Completion (Yes/No)</t>
  </si>
  <si>
    <t xml:space="preserve">Last Updated</t>
  </si>
  <si>
    <t xml:space="preserve">Start Date</t>
  </si>
  <si>
    <t xml:space="preserve">AUP Sign-off Date</t>
  </si>
  <si>
    <t xml:space="preserve">Policy Pack Version Acknowledged</t>
  </si>
  <si>
    <t xml:space="preserve">MFA Factor Type</t>
  </si>
  <si>
    <t xml:space="preserve">Training Completion Date</t>
  </si>
  <si>
    <t xml:space="preserve">Next Annual Re-acknowledgement Due</t>
  </si>
  <si>
    <t xml:space="preserve">Line Manager</t>
  </si>
  <si>
    <t xml:space="preserve">CGI-014</t>
  </si>
  <si>
    <t xml:space="preserve">Priya Raman</t>
  </si>
  <si>
    <t xml:space="preserve">Engineering</t>
  </si>
  <si>
    <t xml:space="preserve">Signed</t>
  </si>
  <si>
    <t xml:space="preserve">Verified</t>
  </si>
  <si>
    <t xml:space="preserve">Yes</t>
  </si>
  <si>
    <t xml:space="preserve">1.0</t>
  </si>
  <si>
    <t xml:space="preserve">Hardware Key</t>
  </si>
  <si>
    <t xml:space="preserve">Jerry Olugboye</t>
  </si>
  <si>
    <t xml:space="preserve">CGI-027</t>
  </si>
  <si>
    <t xml:space="preserve">Tomas Whitfield</t>
  </si>
  <si>
    <t xml:space="preserve">IT Operations</t>
  </si>
  <si>
    <t xml:space="preserve">CGI-039</t>
  </si>
  <si>
    <t xml:space="preserve">Amara Boateng</t>
  </si>
  <si>
    <t xml:space="preserve">Customer Success</t>
  </si>
  <si>
    <t xml:space="preserve">Authenticator App</t>
  </si>
  <si>
    <t xml:space="preserve">CGI-045</t>
  </si>
  <si>
    <t xml:space="preserve">Jonas Keller</t>
  </si>
  <si>
    <t xml:space="preserve">Finance</t>
  </si>
  <si>
    <t xml:space="preserve">Pending</t>
  </si>
  <si>
    <t xml:space="preserve">No</t>
  </si>
  <si>
    <t xml:space="preserve">Not Applicable</t>
  </si>
  <si>
    <t xml:space="preserve">CGI-050</t>
  </si>
  <si>
    <t xml:space="preserve">Lena Fischer</t>
  </si>
  <si>
    <t xml:space="preserve">Sales</t>
  </si>
  <si>
    <t xml:space="preserve">Not Started</t>
  </si>
  <si>
    <t xml:space="preserve">Not Enrolled</t>
  </si>
  <si>
    <t xml:space="preserve">Monthly compliance summary (reported to the CTO)</t>
  </si>
  <si>
    <t xml:space="preserve">Data as at</t>
  </si>
  <si>
    <t xml:space="preserve">Metric</t>
  </si>
  <si>
    <t xml:space="preserve">Value</t>
  </si>
  <si>
    <t xml:space="preserve">Target</t>
  </si>
  <si>
    <t xml:space="preserve">Status</t>
  </si>
  <si>
    <t xml:space="preserve">Total personnel in scope</t>
  </si>
  <si>
    <t xml:space="preserve">AUP signed</t>
  </si>
  <si>
    <t xml:space="preserve">AUP sign-off rate</t>
  </si>
  <si>
    <t xml:space="preserve">MFA verified</t>
  </si>
  <si>
    <t xml:space="preserve">MFA coverage rate</t>
  </si>
  <si>
    <t xml:space="preserve">Security training completed</t>
  </si>
  <si>
    <t xml:space="preserve">Training completion rate</t>
  </si>
  <si>
    <t xml:space="preserve">Overdue beyond 10 business days</t>
  </si>
  <si>
    <t xml:space="preserve">Joiners pending activation (start date after "Data as at")</t>
  </si>
  <si>
    <t xml:space="preserve">Not applicable</t>
  </si>
  <si>
    <t xml:space="preserve">Reading note: this example covers five illustrative personnel records, not the full 50-person population, so the percentages describe the sample.</t>
  </si>
  <si>
    <t xml:space="preserve">Training Completion</t>
  </si>
  <si>
    <t xml:space="preserve">Passkey</t>
  </si>
  <si>
    <t xml:space="preserve">Overdue</t>
  </si>
  <si>
    <t xml:space="preserve">Exception</t>
  </si>
  <si>
    <t xml:space="preserve">Condition</t>
  </si>
  <si>
    <t xml:space="preserve">Action</t>
  </si>
  <si>
    <t xml:space="preserve">Timescale</t>
  </si>
  <si>
    <t xml:space="preserve">Sign-off outstanding at 5 business days</t>
  </si>
  <si>
    <t xml:space="preserve">Automated reminder to the individual</t>
  </si>
  <si>
    <t xml:space="preserve">Head of People and Operations</t>
  </si>
  <si>
    <t xml:space="preserve">Day 5</t>
  </si>
  <si>
    <t xml:space="preserve">Sign-off outstanding at 10 business days</t>
  </si>
  <si>
    <t xml:space="preserve">Escalate to line manager</t>
  </si>
  <si>
    <t xml:space="preserve">Day 10</t>
  </si>
  <si>
    <t xml:space="preserve">Sign-off outstanding at 15 business days</t>
  </si>
  <si>
    <t xml:space="preserve">Escalate to CTO; access to Confidential systems suspended</t>
  </si>
  <si>
    <t xml:space="preserve">Chief Technology Officer</t>
  </si>
  <si>
    <t xml:space="preserve">Day 15</t>
  </si>
  <si>
    <t xml:space="preserve">MFA not enrolled at 1 business day after account creation</t>
  </si>
  <si>
    <t xml:space="preserve">Access to Confidential and Restricted systems suspended</t>
  </si>
  <si>
    <t xml:space="preserve">IT Operations Manager</t>
  </si>
  <si>
    <t xml:space="preserve">Day 1</t>
  </si>
  <si>
    <t xml:space="preserve">Training outstanding at 10 business days from start date</t>
  </si>
  <si>
    <t xml:space="preserve">Leaver recorded</t>
  </si>
  <si>
    <t xml:space="preserve">Row archived, not deleted; retained 2 years as evidence</t>
  </si>
  <si>
    <t xml:space="preserve">Same day</t>
  </si>
  <si>
    <t xml:space="preserve">#</t>
  </si>
  <si>
    <t xml:space="preserve">Set-up and evidence step</t>
  </si>
  <si>
    <t xml:space="preserve">Done?</t>
  </si>
  <si>
    <t xml:space="preserve">Freeze the header row so it stays visible while scrolling (already set on the Tracker sheet).</t>
  </si>
  <si>
    <t xml:space="preserve">Keep dropdowns on the three status columns — free text in a status cell breaks every count on the Summary sheet.</t>
  </si>
  <si>
    <t xml:space="preserve">One fact per cell. Never write "Signed on 2 Sep by Priya" in a status cell; use the separate date column.</t>
  </si>
  <si>
    <t xml:space="preserve">Set the "Data as at" date on the Summary sheet every time the tracker is refreshed.</t>
  </si>
  <si>
    <t xml:space="preserve">Protect the workbook so only People and Operations can edit; share read-only with the CTO.</t>
  </si>
  <si>
    <t xml:space="preserve">Save a dated monthly snapshot (e.g. tracker_2026-09.xlsx). An auditor testing a period needs the position throughout that period.</t>
  </si>
  <si>
    <t xml:space="preserve">Retain signed acknowledgements, the tracker and monthly snapshots for at least two years.</t>
  </si>
  <si>
    <t xml:space="preserve">Archive leaver rows — never delete them.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</si>
</sst>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@"/>
    <numFmt numFmtId="167" formatCode="0"/>
    <numFmt numFmtId="168" formatCode="General"/>
    <numFmt numFmtId="169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3315C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1331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3315C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E7E6E6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E7E6E6"/>
      </patternFill>
    </fill>
    <fill>
      <patternFill patternType="solid">
        <fgColor rgb="FF13315C"/>
        <bgColor rgb="FF1F29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3315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3315C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15" hidden="false" customHeight="true" outlineLevel="0" collapsed="false">
      <c r="A9" s="4" t="s">
        <v>12</v>
      </c>
      <c r="B9" s="5" t="s">
        <v>13</v>
      </c>
    </row>
    <row r="10" customFormat="false" ht="15" hidden="false" customHeight="true" outlineLevel="0" collapsed="false">
      <c r="A10" s="4" t="s">
        <v>14</v>
      </c>
      <c r="B10" s="5" t="s">
        <v>15</v>
      </c>
    </row>
    <row r="11" customFormat="false" ht="15" hidden="false" customHeight="true" outlineLevel="0" collapsed="false">
      <c r="A11" s="6"/>
      <c r="B11" s="5"/>
    </row>
    <row r="12" customFormat="false" ht="15" hidden="false" customHeight="true" outlineLevel="0" collapsed="false">
      <c r="A12" s="7" t="s">
        <v>16</v>
      </c>
      <c r="B12" s="5"/>
    </row>
    <row r="13" customFormat="false" ht="23.25" hidden="false" customHeight="true" outlineLevel="0" collapsed="false">
      <c r="A13" s="4" t="s">
        <v>17</v>
      </c>
      <c r="B13" s="5" t="s">
        <v>18</v>
      </c>
    </row>
    <row r="14" customFormat="false" ht="23.25" hidden="false" customHeight="true" outlineLevel="0" collapsed="false">
      <c r="A14" s="4" t="s">
        <v>19</v>
      </c>
      <c r="B14" s="5" t="s">
        <v>20</v>
      </c>
    </row>
    <row r="15" customFormat="false" ht="15" hidden="false" customHeight="true" outlineLevel="0" collapsed="false">
      <c r="A15" s="4" t="s">
        <v>21</v>
      </c>
      <c r="B15" s="5" t="s">
        <v>22</v>
      </c>
    </row>
    <row r="16" customFormat="false" ht="15" hidden="false" customHeight="true" outlineLevel="0" collapsed="false">
      <c r="A16" s="4" t="s">
        <v>23</v>
      </c>
      <c r="B16" s="5" t="s">
        <v>24</v>
      </c>
    </row>
    <row r="17" customFormat="false" ht="15" hidden="false" customHeight="true" outlineLevel="0" collapsed="false">
      <c r="A17" s="4" t="s">
        <v>25</v>
      </c>
      <c r="B17" s="5" t="s">
        <v>26</v>
      </c>
    </row>
    <row r="18" customFormat="false" ht="15" hidden="false" customHeight="true" outlineLevel="0" collapsed="false">
      <c r="A18" s="6"/>
      <c r="B18" s="5"/>
    </row>
    <row r="19" customFormat="false" ht="15" hidden="false" customHeight="true" outlineLevel="0" collapsed="false">
      <c r="A19" s="7" t="s">
        <v>27</v>
      </c>
      <c r="B19" s="5"/>
    </row>
    <row r="20" customFormat="false" ht="15" hidden="false" customHeight="true" outlineLevel="0" collapsed="false">
      <c r="A20" s="8" t="s">
        <v>28</v>
      </c>
      <c r="B20" s="5" t="s">
        <v>29</v>
      </c>
    </row>
    <row r="21" customFormat="false" ht="15" hidden="false" customHeight="true" outlineLevel="0" collapsed="false">
      <c r="A21" s="9" t="s">
        <v>30</v>
      </c>
      <c r="B21" s="5" t="s">
        <v>31</v>
      </c>
    </row>
    <row r="22" customFormat="false" ht="15" hidden="false" customHeight="true" outlineLevel="0" collapsed="false">
      <c r="A22" s="10" t="s">
        <v>32</v>
      </c>
      <c r="B22" s="5" t="s">
        <v>33</v>
      </c>
    </row>
    <row r="23" customFormat="false" ht="15" hidden="false" customHeight="true" outlineLevel="0" collapsed="false">
      <c r="A23" s="11" t="s">
        <v>34</v>
      </c>
      <c r="B23" s="5" t="s">
        <v>35</v>
      </c>
    </row>
    <row r="24" customFormat="false" ht="15" hidden="false" customHeight="true" outlineLevel="0" collapsed="false">
      <c r="A24" s="12" t="s">
        <v>36</v>
      </c>
      <c r="B24" s="5" t="s">
        <v>37</v>
      </c>
    </row>
    <row r="25" customFormat="false" ht="15" hidden="false" customHeight="true" outlineLevel="0" collapsed="false">
      <c r="A25" s="6"/>
      <c r="B25" s="5"/>
    </row>
    <row r="26" customFormat="false" ht="15" hidden="false" customHeight="true" outlineLevel="0" collapsed="false">
      <c r="A26" s="7" t="s">
        <v>38</v>
      </c>
      <c r="B26" s="5"/>
    </row>
    <row r="27" customFormat="false" ht="15" hidden="false" customHeight="true" outlineLevel="0" collapsed="false">
      <c r="A27" s="4" t="s">
        <v>39</v>
      </c>
      <c r="B27" s="5" t="s">
        <v>40</v>
      </c>
    </row>
    <row r="28" customFormat="false" ht="15" hidden="false" customHeight="true" outlineLevel="0" collapsed="false">
      <c r="A28" s="4" t="s">
        <v>41</v>
      </c>
      <c r="B28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10" min="9" style="1" width="16"/>
    <col collapsed="false" customWidth="true" hidden="false" outlineLevel="0" max="11" min="11" style="1" width="18"/>
    <col collapsed="false" customWidth="true" hidden="false" outlineLevel="0" max="12" min="12" style="1" width="16"/>
    <col collapsed="false" customWidth="true" hidden="false" outlineLevel="0" max="13" min="13" style="1" width="20"/>
    <col collapsed="false" customWidth="true" hidden="false" outlineLevel="0" max="14" min="14" style="1" width="18"/>
  </cols>
  <sheetData>
    <row r="1" customFormat="false" ht="31.5" hidden="false" customHeight="true" outlineLevel="0" collapsed="false">
      <c r="A1" s="13" t="s">
        <v>43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52</v>
      </c>
      <c r="K1" s="13" t="s">
        <v>53</v>
      </c>
      <c r="L1" s="13" t="s">
        <v>54</v>
      </c>
      <c r="M1" s="13" t="s">
        <v>55</v>
      </c>
      <c r="N1" s="13" t="s">
        <v>56</v>
      </c>
    </row>
    <row r="2" customFormat="false" ht="15" hidden="false" customHeight="true" outlineLevel="0" collapsed="false">
      <c r="A2" s="14" t="s">
        <v>57</v>
      </c>
      <c r="B2" s="14" t="s">
        <v>58</v>
      </c>
      <c r="C2" s="14" t="s">
        <v>59</v>
      </c>
      <c r="D2" s="14" t="s">
        <v>60</v>
      </c>
      <c r="E2" s="14" t="s">
        <v>61</v>
      </c>
      <c r="F2" s="14" t="s">
        <v>62</v>
      </c>
      <c r="G2" s="15" t="n">
        <v>46267</v>
      </c>
      <c r="H2" s="15" t="n">
        <v>44963</v>
      </c>
      <c r="I2" s="15" t="n">
        <v>46267</v>
      </c>
      <c r="J2" s="16" t="s">
        <v>63</v>
      </c>
      <c r="K2" s="14" t="s">
        <v>64</v>
      </c>
      <c r="L2" s="15" t="n">
        <v>46267</v>
      </c>
      <c r="M2" s="17" t="n">
        <f aca="false">IF(A2="","",IF(ISNUMBER(I2),EDATE(I2,12),"Not Applicable"))</f>
        <v>46632</v>
      </c>
      <c r="N2" s="14" t="s">
        <v>65</v>
      </c>
    </row>
    <row r="3" customFormat="false" ht="15" hidden="false" customHeight="true" outlineLevel="0" collapsed="false">
      <c r="A3" s="14" t="s">
        <v>66</v>
      </c>
      <c r="B3" s="14" t="s">
        <v>67</v>
      </c>
      <c r="C3" s="14" t="s">
        <v>68</v>
      </c>
      <c r="D3" s="14" t="s">
        <v>60</v>
      </c>
      <c r="E3" s="14" t="s">
        <v>61</v>
      </c>
      <c r="F3" s="14" t="s">
        <v>62</v>
      </c>
      <c r="G3" s="15" t="n">
        <v>46267</v>
      </c>
      <c r="H3" s="15" t="n">
        <v>45425</v>
      </c>
      <c r="I3" s="15" t="n">
        <v>46267</v>
      </c>
      <c r="J3" s="16" t="s">
        <v>63</v>
      </c>
      <c r="K3" s="14" t="s">
        <v>64</v>
      </c>
      <c r="L3" s="15" t="n">
        <v>46267</v>
      </c>
      <c r="M3" s="17" t="n">
        <f aca="false">IF(A3="","",IF(ISNUMBER(I3),EDATE(I3,12),"Not Applicable"))</f>
        <v>46632</v>
      </c>
      <c r="N3" s="14" t="s">
        <v>58</v>
      </c>
    </row>
    <row r="4" customFormat="false" ht="15" hidden="false" customHeight="true" outlineLevel="0" collapsed="false">
      <c r="A4" s="14" t="s">
        <v>69</v>
      </c>
      <c r="B4" s="14" t="s">
        <v>70</v>
      </c>
      <c r="C4" s="14" t="s">
        <v>71</v>
      </c>
      <c r="D4" s="14" t="s">
        <v>60</v>
      </c>
      <c r="E4" s="14" t="s">
        <v>61</v>
      </c>
      <c r="F4" s="14" t="s">
        <v>62</v>
      </c>
      <c r="G4" s="15" t="n">
        <v>46269</v>
      </c>
      <c r="H4" s="15" t="n">
        <v>45600</v>
      </c>
      <c r="I4" s="15" t="n">
        <v>46269</v>
      </c>
      <c r="J4" s="16" t="s">
        <v>63</v>
      </c>
      <c r="K4" s="14" t="s">
        <v>72</v>
      </c>
      <c r="L4" s="15" t="n">
        <v>46269</v>
      </c>
      <c r="M4" s="17" t="n">
        <f aca="false">IF(A4="","",IF(ISNUMBER(I4),EDATE(I4,12),"Not Applicable"))</f>
        <v>46634</v>
      </c>
      <c r="N4" s="14" t="s">
        <v>65</v>
      </c>
    </row>
    <row r="5" customFormat="false" ht="15" hidden="false" customHeight="true" outlineLevel="0" collapsed="false">
      <c r="A5" s="14" t="s">
        <v>73</v>
      </c>
      <c r="B5" s="14" t="s">
        <v>74</v>
      </c>
      <c r="C5" s="14" t="s">
        <v>75</v>
      </c>
      <c r="D5" s="14" t="s">
        <v>76</v>
      </c>
      <c r="E5" s="14" t="s">
        <v>61</v>
      </c>
      <c r="F5" s="14" t="s">
        <v>77</v>
      </c>
      <c r="G5" s="15" t="n">
        <v>46270</v>
      </c>
      <c r="H5" s="15" t="n">
        <v>45887</v>
      </c>
      <c r="I5" s="15" t="s">
        <v>78</v>
      </c>
      <c r="J5" s="16" t="s">
        <v>78</v>
      </c>
      <c r="K5" s="14" t="s">
        <v>72</v>
      </c>
      <c r="L5" s="15" t="s">
        <v>78</v>
      </c>
      <c r="M5" s="17" t="str">
        <f aca="false">IF(A5="","",IF(ISNUMBER(I5),EDATE(I5,12),"Not Applicable"))</f>
        <v>Not Applicable</v>
      </c>
      <c r="N5" s="14" t="s">
        <v>65</v>
      </c>
    </row>
    <row r="6" customFormat="false" ht="15" hidden="false" customHeight="true" outlineLevel="0" collapsed="false">
      <c r="A6" s="14" t="s">
        <v>79</v>
      </c>
      <c r="B6" s="14" t="s">
        <v>80</v>
      </c>
      <c r="C6" s="14" t="s">
        <v>81</v>
      </c>
      <c r="D6" s="14" t="s">
        <v>82</v>
      </c>
      <c r="E6" s="14" t="s">
        <v>83</v>
      </c>
      <c r="F6" s="14" t="s">
        <v>77</v>
      </c>
      <c r="G6" s="15" t="n">
        <v>46270</v>
      </c>
      <c r="H6" s="15" t="n">
        <v>46280</v>
      </c>
      <c r="I6" s="15" t="s">
        <v>78</v>
      </c>
      <c r="J6" s="16" t="s">
        <v>78</v>
      </c>
      <c r="K6" s="14" t="s">
        <v>78</v>
      </c>
      <c r="L6" s="15" t="s">
        <v>78</v>
      </c>
      <c r="M6" s="17" t="str">
        <f aca="false">IF(A6="","",IF(ISNUMBER(I6),EDATE(I6,12),"Not Applicable"))</f>
        <v>Not Applicable</v>
      </c>
      <c r="N6" s="14" t="s">
        <v>70</v>
      </c>
    </row>
    <row r="7" customFormat="false" ht="15" hidden="false" customHeight="true" outlineLevel="0" collapsed="false">
      <c r="A7" s="14"/>
      <c r="B7" s="14"/>
      <c r="C7" s="14"/>
      <c r="D7" s="14"/>
      <c r="E7" s="14"/>
      <c r="F7" s="14"/>
      <c r="G7" s="15"/>
      <c r="H7" s="15"/>
      <c r="I7" s="15"/>
      <c r="J7" s="16"/>
      <c r="K7" s="14"/>
      <c r="L7" s="15"/>
      <c r="M7" s="17" t="str">
        <f aca="false">IF(A7="","",IF(ISNUMBER(I7),EDATE(I7,12),"Not Applicable"))</f>
        <v/>
      </c>
      <c r="N7" s="14"/>
    </row>
    <row r="8" customFormat="false" ht="15" hidden="false" customHeight="true" outlineLevel="0" collapsed="false">
      <c r="A8" s="14"/>
      <c r="B8" s="14"/>
      <c r="C8" s="14"/>
      <c r="D8" s="14"/>
      <c r="E8" s="14"/>
      <c r="F8" s="14"/>
      <c r="G8" s="15"/>
      <c r="H8" s="15"/>
      <c r="I8" s="15"/>
      <c r="J8" s="16"/>
      <c r="K8" s="14"/>
      <c r="L8" s="15"/>
      <c r="M8" s="17" t="str">
        <f aca="false">IF(A8="","",IF(ISNUMBER(I8),EDATE(I8,12),"Not Applicable"))</f>
        <v/>
      </c>
      <c r="N8" s="14"/>
    </row>
    <row r="9" customFormat="false" ht="15" hidden="false" customHeight="true" outlineLevel="0" collapsed="false">
      <c r="A9" s="14"/>
      <c r="B9" s="14"/>
      <c r="C9" s="14"/>
      <c r="D9" s="14"/>
      <c r="E9" s="14"/>
      <c r="F9" s="14"/>
      <c r="G9" s="15"/>
      <c r="H9" s="15"/>
      <c r="I9" s="15"/>
      <c r="J9" s="16"/>
      <c r="K9" s="14"/>
      <c r="L9" s="15"/>
      <c r="M9" s="17" t="str">
        <f aca="false">IF(A9="","",IF(ISNUMBER(I9),EDATE(I9,12),"Not Applicable"))</f>
        <v/>
      </c>
      <c r="N9" s="14"/>
    </row>
    <row r="10" customFormat="false" ht="15" hidden="false" customHeight="true" outlineLevel="0" collapsed="false">
      <c r="A10" s="14"/>
      <c r="B10" s="14"/>
      <c r="C10" s="14"/>
      <c r="D10" s="14"/>
      <c r="E10" s="14"/>
      <c r="F10" s="14"/>
      <c r="G10" s="15"/>
      <c r="H10" s="15"/>
      <c r="I10" s="15"/>
      <c r="J10" s="16"/>
      <c r="K10" s="14"/>
      <c r="L10" s="15"/>
      <c r="M10" s="17" t="str">
        <f aca="false">IF(A10="","",IF(ISNUMBER(I10),EDATE(I10,12),"Not Applicable"))</f>
        <v/>
      </c>
      <c r="N10" s="14"/>
    </row>
    <row r="11" customFormat="false" ht="15" hidden="false" customHeight="true" outlineLevel="0" collapsed="false">
      <c r="A11" s="14"/>
      <c r="B11" s="14"/>
      <c r="C11" s="14"/>
      <c r="D11" s="14"/>
      <c r="E11" s="14"/>
      <c r="F11" s="14"/>
      <c r="G11" s="15"/>
      <c r="H11" s="15"/>
      <c r="I11" s="15"/>
      <c r="J11" s="16"/>
      <c r="K11" s="14"/>
      <c r="L11" s="15"/>
      <c r="M11" s="17" t="str">
        <f aca="false">IF(A11="","",IF(ISNUMBER(I11),EDATE(I11,12),"Not Applicable"))</f>
        <v/>
      </c>
      <c r="N11" s="14"/>
    </row>
    <row r="12" customFormat="false" ht="15" hidden="false" customHeight="true" outlineLevel="0" collapsed="false">
      <c r="A12" s="14"/>
      <c r="B12" s="14"/>
      <c r="C12" s="14"/>
      <c r="D12" s="14"/>
      <c r="E12" s="14"/>
      <c r="F12" s="14"/>
      <c r="G12" s="15"/>
      <c r="H12" s="15"/>
      <c r="I12" s="15"/>
      <c r="J12" s="16"/>
      <c r="K12" s="14"/>
      <c r="L12" s="15"/>
      <c r="M12" s="17" t="str">
        <f aca="false">IF(A12="","",IF(ISNUMBER(I12),EDATE(I12,12),"Not Applicable"))</f>
        <v/>
      </c>
      <c r="N12" s="14"/>
    </row>
    <row r="13" customFormat="false" ht="15" hidden="false" customHeight="true" outlineLevel="0" collapsed="false">
      <c r="A13" s="14"/>
      <c r="B13" s="14"/>
      <c r="C13" s="14"/>
      <c r="D13" s="14"/>
      <c r="E13" s="14"/>
      <c r="F13" s="14"/>
      <c r="G13" s="15"/>
      <c r="H13" s="15"/>
      <c r="I13" s="15"/>
      <c r="J13" s="16"/>
      <c r="K13" s="14"/>
      <c r="L13" s="15"/>
      <c r="M13" s="17" t="str">
        <f aca="false">IF(A13="","",IF(ISNUMBER(I13),EDATE(I13,12),"Not Applicable"))</f>
        <v/>
      </c>
      <c r="N13" s="14"/>
    </row>
    <row r="14" customFormat="false" ht="15" hidden="false" customHeight="true" outlineLevel="0" collapsed="false">
      <c r="A14" s="14"/>
      <c r="B14" s="14"/>
      <c r="C14" s="14"/>
      <c r="D14" s="14"/>
      <c r="E14" s="14"/>
      <c r="F14" s="14"/>
      <c r="G14" s="15"/>
      <c r="H14" s="15"/>
      <c r="I14" s="15"/>
      <c r="J14" s="16"/>
      <c r="K14" s="14"/>
      <c r="L14" s="15"/>
      <c r="M14" s="17" t="str">
        <f aca="false">IF(A14="","",IF(ISNUMBER(I14),EDATE(I14,12),"Not Applicable"))</f>
        <v/>
      </c>
      <c r="N14" s="14"/>
    </row>
    <row r="15" customFormat="false" ht="15" hidden="false" customHeight="true" outlineLevel="0" collapsed="false">
      <c r="A15" s="14"/>
      <c r="B15" s="14"/>
      <c r="C15" s="14"/>
      <c r="D15" s="14"/>
      <c r="E15" s="14"/>
      <c r="F15" s="14"/>
      <c r="G15" s="15"/>
      <c r="H15" s="15"/>
      <c r="I15" s="15"/>
      <c r="J15" s="16"/>
      <c r="K15" s="14"/>
      <c r="L15" s="15"/>
      <c r="M15" s="17" t="str">
        <f aca="false">IF(A15="","",IF(ISNUMBER(I15),EDATE(I15,12),"Not Applicable"))</f>
        <v/>
      </c>
      <c r="N15" s="14"/>
    </row>
    <row r="16" customFormat="false" ht="15" hidden="false" customHeight="true" outlineLevel="0" collapsed="false">
      <c r="A16" s="14"/>
      <c r="B16" s="14"/>
      <c r="C16" s="14"/>
      <c r="D16" s="14"/>
      <c r="E16" s="14"/>
      <c r="F16" s="14"/>
      <c r="G16" s="15"/>
      <c r="H16" s="15"/>
      <c r="I16" s="15"/>
      <c r="J16" s="16"/>
      <c r="K16" s="14"/>
      <c r="L16" s="15"/>
      <c r="M16" s="17" t="str">
        <f aca="false">IF(A16="","",IF(ISNUMBER(I16),EDATE(I16,12),"Not Applicable"))</f>
        <v/>
      </c>
      <c r="N16" s="14"/>
    </row>
    <row r="17" customFormat="false" ht="15" hidden="false" customHeight="true" outlineLevel="0" collapsed="false">
      <c r="A17" s="14"/>
      <c r="B17" s="14"/>
      <c r="C17" s="14"/>
      <c r="D17" s="14"/>
      <c r="E17" s="14"/>
      <c r="F17" s="14"/>
      <c r="G17" s="15"/>
      <c r="H17" s="15"/>
      <c r="I17" s="15"/>
      <c r="J17" s="16"/>
      <c r="K17" s="14"/>
      <c r="L17" s="15"/>
      <c r="M17" s="17" t="str">
        <f aca="false">IF(A17="","",IF(ISNUMBER(I17),EDATE(I17,12),"Not Applicable"))</f>
        <v/>
      </c>
      <c r="N17" s="14"/>
    </row>
    <row r="18" customFormat="false" ht="15" hidden="false" customHeight="true" outlineLevel="0" collapsed="false">
      <c r="A18" s="14"/>
      <c r="B18" s="14"/>
      <c r="C18" s="14"/>
      <c r="D18" s="14"/>
      <c r="E18" s="14"/>
      <c r="F18" s="14"/>
      <c r="G18" s="15"/>
      <c r="H18" s="15"/>
      <c r="I18" s="15"/>
      <c r="J18" s="16"/>
      <c r="K18" s="14"/>
      <c r="L18" s="15"/>
      <c r="M18" s="17" t="str">
        <f aca="false">IF(A18="","",IF(ISNUMBER(I18),EDATE(I18,12),"Not Applicable"))</f>
        <v/>
      </c>
      <c r="N18" s="14"/>
    </row>
    <row r="19" customFormat="false" ht="15" hidden="false" customHeight="true" outlineLevel="0" collapsed="false">
      <c r="A19" s="14"/>
      <c r="B19" s="14"/>
      <c r="C19" s="14"/>
      <c r="D19" s="14"/>
      <c r="E19" s="14"/>
      <c r="F19" s="14"/>
      <c r="G19" s="15"/>
      <c r="H19" s="15"/>
      <c r="I19" s="15"/>
      <c r="J19" s="16"/>
      <c r="K19" s="14"/>
      <c r="L19" s="15"/>
      <c r="M19" s="17" t="str">
        <f aca="false">IF(A19="","",IF(ISNUMBER(I19),EDATE(I19,12),"Not Applicable"))</f>
        <v/>
      </c>
      <c r="N19" s="14"/>
    </row>
    <row r="20" customFormat="false" ht="15" hidden="false" customHeight="true" outlineLevel="0" collapsed="false">
      <c r="A20" s="14"/>
      <c r="B20" s="14"/>
      <c r="C20" s="14"/>
      <c r="D20" s="14"/>
      <c r="E20" s="14"/>
      <c r="F20" s="14"/>
      <c r="G20" s="15"/>
      <c r="H20" s="15"/>
      <c r="I20" s="15"/>
      <c r="J20" s="16"/>
      <c r="K20" s="14"/>
      <c r="L20" s="15"/>
      <c r="M20" s="17" t="str">
        <f aca="false">IF(A20="","",IF(ISNUMBER(I20),EDATE(I20,12),"Not Applicable"))</f>
        <v/>
      </c>
      <c r="N20" s="14"/>
    </row>
    <row r="21" customFormat="false" ht="15" hidden="false" customHeight="true" outlineLevel="0" collapsed="false">
      <c r="A21" s="14"/>
      <c r="B21" s="14"/>
      <c r="C21" s="14"/>
      <c r="D21" s="14"/>
      <c r="E21" s="14"/>
      <c r="F21" s="14"/>
      <c r="G21" s="15"/>
      <c r="H21" s="15"/>
      <c r="I21" s="15"/>
      <c r="J21" s="16"/>
      <c r="K21" s="14"/>
      <c r="L21" s="15"/>
      <c r="M21" s="17" t="str">
        <f aca="false">IF(A21="","",IF(ISNUMBER(I21),EDATE(I21,12),"Not Applicable"))</f>
        <v/>
      </c>
      <c r="N21" s="14"/>
    </row>
    <row r="22" customFormat="false" ht="15" hidden="false" customHeight="true" outlineLevel="0" collapsed="false">
      <c r="A22" s="14"/>
      <c r="B22" s="14"/>
      <c r="C22" s="14"/>
      <c r="D22" s="14"/>
      <c r="E22" s="14"/>
      <c r="F22" s="14"/>
      <c r="G22" s="15"/>
      <c r="H22" s="15"/>
      <c r="I22" s="15"/>
      <c r="J22" s="16"/>
      <c r="K22" s="14"/>
      <c r="L22" s="15"/>
      <c r="M22" s="17" t="str">
        <f aca="false">IF(A22="","",IF(ISNUMBER(I22),EDATE(I22,12),"Not Applicable"))</f>
        <v/>
      </c>
      <c r="N22" s="14"/>
    </row>
    <row r="23" customFormat="false" ht="15" hidden="false" customHeight="true" outlineLevel="0" collapsed="false">
      <c r="A23" s="14"/>
      <c r="B23" s="14"/>
      <c r="C23" s="14"/>
      <c r="D23" s="14"/>
      <c r="E23" s="14"/>
      <c r="F23" s="14"/>
      <c r="G23" s="15"/>
      <c r="H23" s="15"/>
      <c r="I23" s="15"/>
      <c r="J23" s="16"/>
      <c r="K23" s="14"/>
      <c r="L23" s="15"/>
      <c r="M23" s="17" t="str">
        <f aca="false">IF(A23="","",IF(ISNUMBER(I23),EDATE(I23,12),"Not Applicable"))</f>
        <v/>
      </c>
      <c r="N23" s="14"/>
    </row>
    <row r="24" customFormat="false" ht="15" hidden="false" customHeight="true" outlineLevel="0" collapsed="false">
      <c r="A24" s="14"/>
      <c r="B24" s="14"/>
      <c r="C24" s="14"/>
      <c r="D24" s="14"/>
      <c r="E24" s="14"/>
      <c r="F24" s="14"/>
      <c r="G24" s="15"/>
      <c r="H24" s="15"/>
      <c r="I24" s="15"/>
      <c r="J24" s="16"/>
      <c r="K24" s="14"/>
      <c r="L24" s="15"/>
      <c r="M24" s="17" t="str">
        <f aca="false">IF(A24="","",IF(ISNUMBER(I24),EDATE(I24,12),"Not Applicable"))</f>
        <v/>
      </c>
      <c r="N24" s="14"/>
    </row>
    <row r="25" customFormat="false" ht="15" hidden="false" customHeight="true" outlineLevel="0" collapsed="false">
      <c r="A25" s="14"/>
      <c r="B25" s="14"/>
      <c r="C25" s="14"/>
      <c r="D25" s="14"/>
      <c r="E25" s="14"/>
      <c r="F25" s="14"/>
      <c r="G25" s="15"/>
      <c r="H25" s="15"/>
      <c r="I25" s="15"/>
      <c r="J25" s="16"/>
      <c r="K25" s="14"/>
      <c r="L25" s="15"/>
      <c r="M25" s="17" t="str">
        <f aca="false">IF(A25="","",IF(ISNUMBER(I25),EDATE(I25,12),"Not Applicable"))</f>
        <v/>
      </c>
      <c r="N25" s="14"/>
    </row>
    <row r="26" customFormat="false" ht="15" hidden="false" customHeight="true" outlineLevel="0" collapsed="false">
      <c r="A26" s="14"/>
      <c r="B26" s="14"/>
      <c r="C26" s="14"/>
      <c r="D26" s="14"/>
      <c r="E26" s="14"/>
      <c r="F26" s="14"/>
      <c r="G26" s="15"/>
      <c r="H26" s="15"/>
      <c r="I26" s="15"/>
      <c r="J26" s="16"/>
      <c r="K26" s="14"/>
      <c r="L26" s="15"/>
      <c r="M26" s="17" t="str">
        <f aca="false">IF(A26="","",IF(ISNUMBER(I26),EDATE(I26,12),"Not Applicable"))</f>
        <v/>
      </c>
      <c r="N26" s="14"/>
    </row>
    <row r="27" customFormat="false" ht="15" hidden="false" customHeight="true" outlineLevel="0" collapsed="false">
      <c r="A27" s="14"/>
      <c r="B27" s="14"/>
      <c r="C27" s="14"/>
      <c r="D27" s="14"/>
      <c r="E27" s="14"/>
      <c r="F27" s="14"/>
      <c r="G27" s="15"/>
      <c r="H27" s="15"/>
      <c r="I27" s="15"/>
      <c r="J27" s="16"/>
      <c r="K27" s="14"/>
      <c r="L27" s="15"/>
      <c r="M27" s="17" t="str">
        <f aca="false">IF(A27="","",IF(ISNUMBER(I27),EDATE(I27,12),"Not Applicable"))</f>
        <v/>
      </c>
      <c r="N27" s="14"/>
    </row>
    <row r="28" customFormat="false" ht="15" hidden="false" customHeight="true" outlineLevel="0" collapsed="false">
      <c r="A28" s="14"/>
      <c r="B28" s="14"/>
      <c r="C28" s="14"/>
      <c r="D28" s="14"/>
      <c r="E28" s="14"/>
      <c r="F28" s="14"/>
      <c r="G28" s="15"/>
      <c r="H28" s="15"/>
      <c r="I28" s="15"/>
      <c r="J28" s="16"/>
      <c r="K28" s="14"/>
      <c r="L28" s="15"/>
      <c r="M28" s="17" t="str">
        <f aca="false">IF(A28="","",IF(ISNUMBER(I28),EDATE(I28,12),"Not Applicable"))</f>
        <v/>
      </c>
      <c r="N28" s="14"/>
    </row>
    <row r="29" customFormat="false" ht="15" hidden="false" customHeight="true" outlineLevel="0" collapsed="false">
      <c r="A29" s="14"/>
      <c r="B29" s="14"/>
      <c r="C29" s="14"/>
      <c r="D29" s="14"/>
      <c r="E29" s="14"/>
      <c r="F29" s="14"/>
      <c r="G29" s="15"/>
      <c r="H29" s="15"/>
      <c r="I29" s="15"/>
      <c r="J29" s="16"/>
      <c r="K29" s="14"/>
      <c r="L29" s="15"/>
      <c r="M29" s="17" t="str">
        <f aca="false">IF(A29="","",IF(ISNUMBER(I29),EDATE(I29,12),"Not Applicable"))</f>
        <v/>
      </c>
      <c r="N29" s="14"/>
    </row>
    <row r="30" customFormat="false" ht="15" hidden="false" customHeight="true" outlineLevel="0" collapsed="false">
      <c r="A30" s="14"/>
      <c r="B30" s="14"/>
      <c r="C30" s="14"/>
      <c r="D30" s="14"/>
      <c r="E30" s="14"/>
      <c r="F30" s="14"/>
      <c r="G30" s="15"/>
      <c r="H30" s="15"/>
      <c r="I30" s="15"/>
      <c r="J30" s="16"/>
      <c r="K30" s="14"/>
      <c r="L30" s="15"/>
      <c r="M30" s="17" t="str">
        <f aca="false">IF(A30="","",IF(ISNUMBER(I30),EDATE(I30,12),"Not Applicable"))</f>
        <v/>
      </c>
      <c r="N30" s="14"/>
    </row>
    <row r="31" customFormat="false" ht="15" hidden="false" customHeight="true" outlineLevel="0" collapsed="false">
      <c r="A31" s="14"/>
      <c r="B31" s="14"/>
      <c r="C31" s="14"/>
      <c r="D31" s="14"/>
      <c r="E31" s="14"/>
      <c r="F31" s="14"/>
      <c r="G31" s="15"/>
      <c r="H31" s="15"/>
      <c r="I31" s="15"/>
      <c r="J31" s="16"/>
      <c r="K31" s="14"/>
      <c r="L31" s="15"/>
      <c r="M31" s="17" t="str">
        <f aca="false">IF(A31="","",IF(ISNUMBER(I31),EDATE(I31,12),"Not Applicable"))</f>
        <v/>
      </c>
      <c r="N31" s="14"/>
    </row>
    <row r="32" customFormat="false" ht="15" hidden="false" customHeight="true" outlineLevel="0" collapsed="false">
      <c r="A32" s="14"/>
      <c r="B32" s="14"/>
      <c r="C32" s="14"/>
      <c r="D32" s="14"/>
      <c r="E32" s="14"/>
      <c r="F32" s="14"/>
      <c r="G32" s="15"/>
      <c r="H32" s="15"/>
      <c r="I32" s="15"/>
      <c r="J32" s="16"/>
      <c r="K32" s="14"/>
      <c r="L32" s="15"/>
      <c r="M32" s="17" t="str">
        <f aca="false">IF(A32="","",IF(ISNUMBER(I32),EDATE(I32,12),"Not Applicable"))</f>
        <v/>
      </c>
      <c r="N32" s="14"/>
    </row>
    <row r="33" customFormat="false" ht="15" hidden="false" customHeight="true" outlineLevel="0" collapsed="false">
      <c r="A33" s="14"/>
      <c r="B33" s="14"/>
      <c r="C33" s="14"/>
      <c r="D33" s="14"/>
      <c r="E33" s="14"/>
      <c r="F33" s="14"/>
      <c r="G33" s="15"/>
      <c r="H33" s="15"/>
      <c r="I33" s="15"/>
      <c r="J33" s="16"/>
      <c r="K33" s="14"/>
      <c r="L33" s="15"/>
      <c r="M33" s="17" t="str">
        <f aca="false">IF(A33="","",IF(ISNUMBER(I33),EDATE(I33,12),"Not Applicable"))</f>
        <v/>
      </c>
      <c r="N33" s="14"/>
    </row>
    <row r="34" customFormat="false" ht="15" hidden="false" customHeight="true" outlineLevel="0" collapsed="false">
      <c r="A34" s="14"/>
      <c r="B34" s="14"/>
      <c r="C34" s="14"/>
      <c r="D34" s="14"/>
      <c r="E34" s="14"/>
      <c r="F34" s="14"/>
      <c r="G34" s="15"/>
      <c r="H34" s="15"/>
      <c r="I34" s="15"/>
      <c r="J34" s="16"/>
      <c r="K34" s="14"/>
      <c r="L34" s="15"/>
      <c r="M34" s="17" t="str">
        <f aca="false">IF(A34="","",IF(ISNUMBER(I34),EDATE(I34,12),"Not Applicable"))</f>
        <v/>
      </c>
      <c r="N34" s="14"/>
    </row>
    <row r="35" customFormat="false" ht="15" hidden="false" customHeight="true" outlineLevel="0" collapsed="false">
      <c r="A35" s="14"/>
      <c r="B35" s="14"/>
      <c r="C35" s="14"/>
      <c r="D35" s="14"/>
      <c r="E35" s="14"/>
      <c r="F35" s="14"/>
      <c r="G35" s="15"/>
      <c r="H35" s="15"/>
      <c r="I35" s="15"/>
      <c r="J35" s="16"/>
      <c r="K35" s="14"/>
      <c r="L35" s="15"/>
      <c r="M35" s="17" t="str">
        <f aca="false">IF(A35="","",IF(ISNUMBER(I35),EDATE(I35,12),"Not Applicable"))</f>
        <v/>
      </c>
      <c r="N35" s="14"/>
    </row>
    <row r="36" customFormat="false" ht="15" hidden="false" customHeight="true" outlineLevel="0" collapsed="false">
      <c r="A36" s="14"/>
      <c r="B36" s="14"/>
      <c r="C36" s="14"/>
      <c r="D36" s="14"/>
      <c r="E36" s="14"/>
      <c r="F36" s="14"/>
      <c r="G36" s="15"/>
      <c r="H36" s="15"/>
      <c r="I36" s="15"/>
      <c r="J36" s="16"/>
      <c r="K36" s="14"/>
      <c r="L36" s="15"/>
      <c r="M36" s="17" t="str">
        <f aca="false">IF(A36="","",IF(ISNUMBER(I36),EDATE(I36,12),"Not Applicable"))</f>
        <v/>
      </c>
      <c r="N36" s="14"/>
    </row>
    <row r="37" customFormat="false" ht="15" hidden="false" customHeight="true" outlineLevel="0" collapsed="false">
      <c r="A37" s="14"/>
      <c r="B37" s="14"/>
      <c r="C37" s="14"/>
      <c r="D37" s="14"/>
      <c r="E37" s="14"/>
      <c r="F37" s="14"/>
      <c r="G37" s="15"/>
      <c r="H37" s="15"/>
      <c r="I37" s="15"/>
      <c r="J37" s="16"/>
      <c r="K37" s="14"/>
      <c r="L37" s="15"/>
      <c r="M37" s="17" t="str">
        <f aca="false">IF(A37="","",IF(ISNUMBER(I37),EDATE(I37,12),"Not Applicable"))</f>
        <v/>
      </c>
      <c r="N37" s="14"/>
    </row>
    <row r="38" customFormat="false" ht="15" hidden="false" customHeight="true" outlineLevel="0" collapsed="false">
      <c r="A38" s="14"/>
      <c r="B38" s="14"/>
      <c r="C38" s="14"/>
      <c r="D38" s="14"/>
      <c r="E38" s="14"/>
      <c r="F38" s="14"/>
      <c r="G38" s="15"/>
      <c r="H38" s="15"/>
      <c r="I38" s="15"/>
      <c r="J38" s="16"/>
      <c r="K38" s="14"/>
      <c r="L38" s="15"/>
      <c r="M38" s="17" t="str">
        <f aca="false">IF(A38="","",IF(ISNUMBER(I38),EDATE(I38,12),"Not Applicable"))</f>
        <v/>
      </c>
      <c r="N38" s="14"/>
    </row>
    <row r="39" customFormat="false" ht="15" hidden="false" customHeight="true" outlineLevel="0" collapsed="false">
      <c r="A39" s="14"/>
      <c r="B39" s="14"/>
      <c r="C39" s="14"/>
      <c r="D39" s="14"/>
      <c r="E39" s="14"/>
      <c r="F39" s="14"/>
      <c r="G39" s="15"/>
      <c r="H39" s="15"/>
      <c r="I39" s="15"/>
      <c r="J39" s="16"/>
      <c r="K39" s="14"/>
      <c r="L39" s="15"/>
      <c r="M39" s="17" t="str">
        <f aca="false">IF(A39="","",IF(ISNUMBER(I39),EDATE(I39,12),"Not Applicable"))</f>
        <v/>
      </c>
      <c r="N39" s="14"/>
    </row>
    <row r="40" customFormat="false" ht="15" hidden="false" customHeight="true" outlineLevel="0" collapsed="false">
      <c r="A40" s="14"/>
      <c r="B40" s="14"/>
      <c r="C40" s="14"/>
      <c r="D40" s="14"/>
      <c r="E40" s="14"/>
      <c r="F40" s="14"/>
      <c r="G40" s="15"/>
      <c r="H40" s="15"/>
      <c r="I40" s="15"/>
      <c r="J40" s="16"/>
      <c r="K40" s="14"/>
      <c r="L40" s="15"/>
      <c r="M40" s="17" t="str">
        <f aca="false">IF(A40="","",IF(ISNUMBER(I40),EDATE(I40,12),"Not Applicable"))</f>
        <v/>
      </c>
      <c r="N40" s="14"/>
    </row>
    <row r="41" customFormat="false" ht="15" hidden="false" customHeight="true" outlineLevel="0" collapsed="false">
      <c r="A41" s="14"/>
      <c r="B41" s="14"/>
      <c r="C41" s="14"/>
      <c r="D41" s="14"/>
      <c r="E41" s="14"/>
      <c r="F41" s="14"/>
      <c r="G41" s="15"/>
      <c r="H41" s="15"/>
      <c r="I41" s="15"/>
      <c r="J41" s="16"/>
      <c r="K41" s="14"/>
      <c r="L41" s="15"/>
      <c r="M41" s="17" t="str">
        <f aca="false">IF(A41="","",IF(ISNUMBER(I41),EDATE(I41,12),"Not Applicable"))</f>
        <v/>
      </c>
      <c r="N41" s="14"/>
    </row>
    <row r="42" customFormat="false" ht="15" hidden="false" customHeight="true" outlineLevel="0" collapsed="false">
      <c r="A42" s="14"/>
      <c r="B42" s="14"/>
      <c r="C42" s="14"/>
      <c r="D42" s="14"/>
      <c r="E42" s="14"/>
      <c r="F42" s="14"/>
      <c r="G42" s="15"/>
      <c r="H42" s="15"/>
      <c r="I42" s="15"/>
      <c r="J42" s="16"/>
      <c r="K42" s="14"/>
      <c r="L42" s="15"/>
      <c r="M42" s="17" t="str">
        <f aca="false">IF(A42="","",IF(ISNUMBER(I42),EDATE(I42,12),"Not Applicable"))</f>
        <v/>
      </c>
      <c r="N42" s="14"/>
    </row>
    <row r="43" customFormat="false" ht="15" hidden="false" customHeight="true" outlineLevel="0" collapsed="false">
      <c r="A43" s="14"/>
      <c r="B43" s="14"/>
      <c r="C43" s="14"/>
      <c r="D43" s="14"/>
      <c r="E43" s="14"/>
      <c r="F43" s="14"/>
      <c r="G43" s="15"/>
      <c r="H43" s="15"/>
      <c r="I43" s="15"/>
      <c r="J43" s="16"/>
      <c r="K43" s="14"/>
      <c r="L43" s="15"/>
      <c r="M43" s="17" t="str">
        <f aca="false">IF(A43="","",IF(ISNUMBER(I43),EDATE(I43,12),"Not Applicable"))</f>
        <v/>
      </c>
      <c r="N43" s="14"/>
    </row>
    <row r="44" customFormat="false" ht="15" hidden="false" customHeight="true" outlineLevel="0" collapsed="false">
      <c r="A44" s="14"/>
      <c r="B44" s="14"/>
      <c r="C44" s="14"/>
      <c r="D44" s="14"/>
      <c r="E44" s="14"/>
      <c r="F44" s="14"/>
      <c r="G44" s="15"/>
      <c r="H44" s="15"/>
      <c r="I44" s="15"/>
      <c r="J44" s="16"/>
      <c r="K44" s="14"/>
      <c r="L44" s="15"/>
      <c r="M44" s="17" t="str">
        <f aca="false">IF(A44="","",IF(ISNUMBER(I44),EDATE(I44,12),"Not Applicable"))</f>
        <v/>
      </c>
      <c r="N44" s="14"/>
    </row>
    <row r="45" customFormat="false" ht="15" hidden="false" customHeight="true" outlineLevel="0" collapsed="false">
      <c r="A45" s="14"/>
      <c r="B45" s="14"/>
      <c r="C45" s="14"/>
      <c r="D45" s="14"/>
      <c r="E45" s="14"/>
      <c r="F45" s="14"/>
      <c r="G45" s="15"/>
      <c r="H45" s="15"/>
      <c r="I45" s="15"/>
      <c r="J45" s="16"/>
      <c r="K45" s="14"/>
      <c r="L45" s="15"/>
      <c r="M45" s="17" t="str">
        <f aca="false">IF(A45="","",IF(ISNUMBER(I45),EDATE(I45,12),"Not Applicable"))</f>
        <v/>
      </c>
      <c r="N45" s="14"/>
    </row>
    <row r="46" customFormat="false" ht="15" hidden="false" customHeight="true" outlineLevel="0" collapsed="false">
      <c r="A46" s="14"/>
      <c r="B46" s="14"/>
      <c r="C46" s="14"/>
      <c r="D46" s="14"/>
      <c r="E46" s="14"/>
      <c r="F46" s="14"/>
      <c r="G46" s="15"/>
      <c r="H46" s="15"/>
      <c r="I46" s="15"/>
      <c r="J46" s="16"/>
      <c r="K46" s="14"/>
      <c r="L46" s="15"/>
      <c r="M46" s="17" t="str">
        <f aca="false">IF(A46="","",IF(ISNUMBER(I46),EDATE(I46,12),"Not Applicable"))</f>
        <v/>
      </c>
      <c r="N46" s="14"/>
    </row>
    <row r="47" customFormat="false" ht="15" hidden="false" customHeight="true" outlineLevel="0" collapsed="false">
      <c r="A47" s="14"/>
      <c r="B47" s="14"/>
      <c r="C47" s="14"/>
      <c r="D47" s="14"/>
      <c r="E47" s="14"/>
      <c r="F47" s="14"/>
      <c r="G47" s="15"/>
      <c r="H47" s="15"/>
      <c r="I47" s="15"/>
      <c r="J47" s="16"/>
      <c r="K47" s="14"/>
      <c r="L47" s="15"/>
      <c r="M47" s="17" t="str">
        <f aca="false">IF(A47="","",IF(ISNUMBER(I47),EDATE(I47,12),"Not Applicable"))</f>
        <v/>
      </c>
      <c r="N47" s="14"/>
    </row>
    <row r="48" customFormat="false" ht="15" hidden="false" customHeight="true" outlineLevel="0" collapsed="false">
      <c r="A48" s="14"/>
      <c r="B48" s="14"/>
      <c r="C48" s="14"/>
      <c r="D48" s="14"/>
      <c r="E48" s="14"/>
      <c r="F48" s="14"/>
      <c r="G48" s="15"/>
      <c r="H48" s="15"/>
      <c r="I48" s="15"/>
      <c r="J48" s="16"/>
      <c r="K48" s="14"/>
      <c r="L48" s="15"/>
      <c r="M48" s="17" t="str">
        <f aca="false">IF(A48="","",IF(ISNUMBER(I48),EDATE(I48,12),"Not Applicable"))</f>
        <v/>
      </c>
      <c r="N48" s="14"/>
    </row>
    <row r="49" customFormat="false" ht="15" hidden="false" customHeight="true" outlineLevel="0" collapsed="false">
      <c r="A49" s="14"/>
      <c r="B49" s="14"/>
      <c r="C49" s="14"/>
      <c r="D49" s="14"/>
      <c r="E49" s="14"/>
      <c r="F49" s="14"/>
      <c r="G49" s="15"/>
      <c r="H49" s="15"/>
      <c r="I49" s="15"/>
      <c r="J49" s="16"/>
      <c r="K49" s="14"/>
      <c r="L49" s="15"/>
      <c r="M49" s="17" t="str">
        <f aca="false">IF(A49="","",IF(ISNUMBER(I49),EDATE(I49,12),"Not Applicable"))</f>
        <v/>
      </c>
      <c r="N49" s="14"/>
    </row>
    <row r="50" customFormat="false" ht="15" hidden="false" customHeight="true" outlineLevel="0" collapsed="false">
      <c r="A50" s="14"/>
      <c r="B50" s="14"/>
      <c r="C50" s="14"/>
      <c r="D50" s="14"/>
      <c r="E50" s="14"/>
      <c r="F50" s="14"/>
      <c r="G50" s="15"/>
      <c r="H50" s="15"/>
      <c r="I50" s="15"/>
      <c r="J50" s="16"/>
      <c r="K50" s="14"/>
      <c r="L50" s="15"/>
      <c r="M50" s="17" t="str">
        <f aca="false">IF(A50="","",IF(ISNUMBER(I50),EDATE(I50,12),"Not Applicable"))</f>
        <v/>
      </c>
      <c r="N50" s="14"/>
    </row>
    <row r="51" customFormat="false" ht="15" hidden="false" customHeight="true" outlineLevel="0" collapsed="false">
      <c r="A51" s="14"/>
      <c r="B51" s="14"/>
      <c r="C51" s="14"/>
      <c r="D51" s="14"/>
      <c r="E51" s="14"/>
      <c r="F51" s="14"/>
      <c r="G51" s="15"/>
      <c r="H51" s="15"/>
      <c r="I51" s="15"/>
      <c r="J51" s="16"/>
      <c r="K51" s="14"/>
      <c r="L51" s="15"/>
      <c r="M51" s="17" t="str">
        <f aca="false">IF(A51="","",IF(ISNUMBER(I51),EDATE(I51,12),"Not Applicable"))</f>
        <v/>
      </c>
      <c r="N51" s="14"/>
    </row>
  </sheetData>
  <autoFilter ref="A1:N51"/>
  <conditionalFormatting sqref="D2:F51">
    <cfRule type="expression" priority="2" aboveAverage="0" equalAverage="0" bottom="0" percent="0" rank="0" text="" dxfId="8">
      <formula>OR(D2="Signed",D2="Verified",D2="Yes")</formula>
    </cfRule>
    <cfRule type="expression" priority="3" aboveAverage="0" equalAverage="0" bottom="0" percent="0" rank="0" text="" dxfId="9">
      <formula>OR(D2="Pending",D2="Exception")</formula>
    </cfRule>
    <cfRule type="expression" priority="4" aboveAverage="0" equalAverage="0" bottom="0" percent="0" rank="0" text="" dxfId="10">
      <formula>OR(D2="Not Started",D2="Overdue",D2="Not Enrolled",D2="No")</formula>
    </cfRule>
  </conditionalFormatting>
  <dataValidations count="4">
    <dataValidation allowBlank="true" error="Pick a value from the dropdown. Free text breaks the summary formulas." errorStyle="stop" errorTitle="Use a permitted value" operator="between" showDropDown="false" showErrorMessage="true" showInputMessage="false" sqref="D2:D51" type="list">
      <formula1>Lists!$A$2:$A$6</formula1>
      <formula2>0</formula2>
    </dataValidation>
    <dataValidation allowBlank="true" error="Pick a value from the dropdown. Free text breaks the summary formulas." errorStyle="stop" errorTitle="Use a permitted value" operator="between" showDropDown="false" showErrorMessage="true" showInputMessage="false" sqref="E2:E51" type="list">
      <formula1>Lists!$B$2:$B$5</formula1>
      <formula2>0</formula2>
    </dataValidation>
    <dataValidation allowBlank="true" error="Pick a value from the dropdown. Free text breaks the summary formulas." errorStyle="stop" errorTitle="Use a permitted value" operator="between" showDropDown="false" showErrorMessage="true" showInputMessage="false" sqref="F2:F51" type="list">
      <formula1>Lists!$C$2:$C$3</formula1>
      <formula2>0</formula2>
    </dataValidation>
    <dataValidation allowBlank="true" error="Pick a value from the dropdown. Free text breaks the summary formulas." errorStyle="stop" errorTitle="Use a permitted value" operator="between" showDropDown="false" showErrorMessage="true" showInputMessage="false" sqref="K2:K51" type="list">
      <formula1>Lists!$D$2:$D$5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4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18" t="s">
        <v>84</v>
      </c>
    </row>
    <row r="3" customFormat="false" ht="15" hidden="false" customHeight="true" outlineLevel="0" collapsed="false">
      <c r="A3" s="4" t="s">
        <v>85</v>
      </c>
      <c r="B3" s="19" t="n">
        <v>46270</v>
      </c>
    </row>
    <row r="5" customFormat="false" ht="31.5" hidden="false" customHeight="true" outlineLevel="0" collapsed="false">
      <c r="A5" s="13" t="s">
        <v>86</v>
      </c>
      <c r="B5" s="13" t="s">
        <v>87</v>
      </c>
      <c r="C5" s="13" t="s">
        <v>88</v>
      </c>
      <c r="D5" s="13" t="s">
        <v>89</v>
      </c>
    </row>
    <row r="6" customFormat="false" ht="15" hidden="false" customHeight="true" outlineLevel="0" collapsed="false">
      <c r="A6" s="20" t="s">
        <v>90</v>
      </c>
      <c r="B6" s="21" t="n">
        <f aca="false">COUNTA(Tracker!$A$2:$A$51)</f>
        <v>5</v>
      </c>
      <c r="C6" s="22" t="n">
        <f aca="false">B6</f>
        <v>5</v>
      </c>
      <c r="D6" s="23" t="str">
        <f aca="false">IF($B$6=0,"No data",IF(B6&gt;=C6,"On track","Below target"))</f>
        <v>On track</v>
      </c>
    </row>
    <row r="7" customFormat="false" ht="15" hidden="false" customHeight="true" outlineLevel="0" collapsed="false">
      <c r="A7" s="20" t="s">
        <v>91</v>
      </c>
      <c r="B7" s="21" t="n">
        <f aca="false">COUNTIF(Tracker!$D$2:$D$51,"Signed")</f>
        <v>3</v>
      </c>
      <c r="C7" s="22" t="n">
        <f aca="false">B6</f>
        <v>5</v>
      </c>
      <c r="D7" s="23" t="str">
        <f aca="false">IF($B$6=0,"No data",IF(B7&gt;=C7,"On track","Below target"))</f>
        <v>Below target</v>
      </c>
    </row>
    <row r="8" customFormat="false" ht="15" hidden="false" customHeight="true" outlineLevel="0" collapsed="false">
      <c r="A8" s="20" t="s">
        <v>92</v>
      </c>
      <c r="B8" s="24" t="n">
        <f aca="false">IF(B6=0,0,B7/B6)</f>
        <v>0.6</v>
      </c>
      <c r="C8" s="25" t="n">
        <v>1</v>
      </c>
      <c r="D8" s="23" t="str">
        <f aca="false">IF($B$6=0,"No data",IF(B8&gt;=C8,"On track","Below target"))</f>
        <v>Below target</v>
      </c>
    </row>
    <row r="9" customFormat="false" ht="15" hidden="false" customHeight="true" outlineLevel="0" collapsed="false">
      <c r="A9" s="20" t="s">
        <v>93</v>
      </c>
      <c r="B9" s="21" t="n">
        <f aca="false">COUNTIF(Tracker!$E$2:$E$51,"Verified")</f>
        <v>4</v>
      </c>
      <c r="C9" s="22" t="n">
        <f aca="false">B6</f>
        <v>5</v>
      </c>
      <c r="D9" s="23" t="str">
        <f aca="false">IF($B$6=0,"No data",IF(B9&gt;=C9,"On track","Below target"))</f>
        <v>Below target</v>
      </c>
    </row>
    <row r="10" customFormat="false" ht="15" hidden="false" customHeight="true" outlineLevel="0" collapsed="false">
      <c r="A10" s="20" t="s">
        <v>94</v>
      </c>
      <c r="B10" s="24" t="n">
        <f aca="false">IF(B6=0,0,B9/B6)</f>
        <v>0.8</v>
      </c>
      <c r="C10" s="25" t="n">
        <v>1</v>
      </c>
      <c r="D10" s="23" t="str">
        <f aca="false">IF($B$6=0,"No data",IF(B10&gt;=C10,"On track","Below target"))</f>
        <v>Below target</v>
      </c>
    </row>
    <row r="11" customFormat="false" ht="15" hidden="false" customHeight="true" outlineLevel="0" collapsed="false">
      <c r="A11" s="20" t="s">
        <v>95</v>
      </c>
      <c r="B11" s="21" t="n">
        <f aca="false">COUNTIF(Tracker!$F$2:$F$51,"Yes")</f>
        <v>3</v>
      </c>
      <c r="C11" s="22" t="n">
        <f aca="false">B6</f>
        <v>5</v>
      </c>
      <c r="D11" s="23" t="str">
        <f aca="false">IF($B$6=0,"No data",IF(B11&gt;=C11,"On track","Below target"))</f>
        <v>Below target</v>
      </c>
    </row>
    <row r="12" customFormat="false" ht="15" hidden="false" customHeight="true" outlineLevel="0" collapsed="false">
      <c r="A12" s="20" t="s">
        <v>96</v>
      </c>
      <c r="B12" s="24" t="n">
        <f aca="false">IF(B6=0,0,B11/B6)</f>
        <v>0.6</v>
      </c>
      <c r="C12" s="25" t="n">
        <v>1</v>
      </c>
      <c r="D12" s="23" t="str">
        <f aca="false">IF($B$6=0,"No data",IF(B12&gt;=C12,"On track","Below target"))</f>
        <v>Below target</v>
      </c>
    </row>
    <row r="13" customFormat="false" ht="15" hidden="false" customHeight="true" outlineLevel="0" collapsed="false">
      <c r="A13" s="20" t="s">
        <v>97</v>
      </c>
      <c r="B13" s="21" t="n">
        <f aca="false">COUNTIF(Tracker!$D$2:$D$51,"Overdue")</f>
        <v>0</v>
      </c>
      <c r="C13" s="26" t="n">
        <v>0</v>
      </c>
      <c r="D13" s="23" t="str">
        <f aca="false">IF($B$6=0,"No data",IF(B13&lt;=C13,"On track","Above target"))</f>
        <v>On track</v>
      </c>
    </row>
    <row r="14" customFormat="false" ht="15" hidden="false" customHeight="true" outlineLevel="0" collapsed="false">
      <c r="A14" s="20" t="s">
        <v>98</v>
      </c>
      <c r="B14" s="21" t="n">
        <f aca="false">IF(B3="",0,COUNTIF(Tracker!$H$2:$H$51,"&gt;"&amp;B3))</f>
        <v>1</v>
      </c>
      <c r="C14" s="27" t="s">
        <v>99</v>
      </c>
      <c r="D14" s="23" t="str">
        <f aca="false">IF(B14&gt;0,"Expected","None")</f>
        <v>Expected</v>
      </c>
    </row>
    <row r="16" customFormat="false" ht="15" hidden="false" customHeight="true" outlineLevel="0" collapsed="false">
      <c r="A16" s="28" t="s">
        <v>100</v>
      </c>
    </row>
  </sheetData>
  <conditionalFormatting sqref="D6:D14">
    <cfRule type="cellIs" priority="2" operator="equal" aboveAverage="0" equalAverage="0" bottom="0" percent="0" rank="0" text="" dxfId="11">
      <formula>"On track"</formula>
    </cfRule>
    <cfRule type="cellIs" priority="3" operator="equal" aboveAverage="0" equalAverage="0" bottom="0" percent="0" rank="0" text="" dxfId="12">
      <formula>"Below target"</formula>
    </cfRule>
    <cfRule type="cellIs" priority="4" operator="equal" aboveAverage="0" equalAverage="0" bottom="0" percent="0" rank="0" text="" dxfId="12">
      <formula>"Above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20"/>
  </cols>
  <sheetData>
    <row r="1" customFormat="false" ht="31.5" hidden="false" customHeight="true" outlineLevel="0" collapsed="false">
      <c r="A1" s="13" t="s">
        <v>46</v>
      </c>
      <c r="B1" s="13" t="s">
        <v>47</v>
      </c>
      <c r="C1" s="13" t="s">
        <v>101</v>
      </c>
      <c r="D1" s="13" t="s">
        <v>53</v>
      </c>
    </row>
    <row r="2" customFormat="false" ht="15" hidden="false" customHeight="true" outlineLevel="0" collapsed="false">
      <c r="A2" s="6" t="s">
        <v>60</v>
      </c>
      <c r="B2" s="6" t="s">
        <v>61</v>
      </c>
      <c r="C2" s="6" t="s">
        <v>62</v>
      </c>
      <c r="D2" s="6" t="s">
        <v>64</v>
      </c>
    </row>
    <row r="3" customFormat="false" ht="15" hidden="false" customHeight="true" outlineLevel="0" collapsed="false">
      <c r="A3" s="6" t="s">
        <v>76</v>
      </c>
      <c r="B3" s="6" t="s">
        <v>76</v>
      </c>
      <c r="C3" s="6" t="s">
        <v>77</v>
      </c>
      <c r="D3" s="6" t="s">
        <v>102</v>
      </c>
    </row>
    <row r="4" customFormat="false" ht="15" hidden="false" customHeight="true" outlineLevel="0" collapsed="false">
      <c r="A4" s="6" t="s">
        <v>82</v>
      </c>
      <c r="B4" s="6" t="s">
        <v>83</v>
      </c>
      <c r="D4" s="6" t="s">
        <v>72</v>
      </c>
    </row>
    <row r="5" customFormat="false" ht="15" hidden="false" customHeight="true" outlineLevel="0" collapsed="false">
      <c r="A5" s="6" t="s">
        <v>103</v>
      </c>
      <c r="B5" s="6" t="s">
        <v>104</v>
      </c>
      <c r="D5" s="6" t="s">
        <v>78</v>
      </c>
    </row>
    <row r="6" customFormat="false" ht="15" hidden="false" customHeight="true" outlineLevel="0" collapsed="false">
      <c r="A6" s="6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52"/>
    <col collapsed="false" customWidth="true" hidden="false" outlineLevel="0" max="3" min="3" style="1" width="30"/>
    <col collapsed="false" customWidth="true" hidden="false" outlineLevel="0" max="4" min="4" style="1" width="12"/>
  </cols>
  <sheetData>
    <row r="1" customFormat="false" ht="31.5" hidden="false" customHeight="true" outlineLevel="0" collapsed="false">
      <c r="A1" s="13" t="s">
        <v>105</v>
      </c>
      <c r="B1" s="13" t="s">
        <v>106</v>
      </c>
      <c r="C1" s="13" t="s">
        <v>4</v>
      </c>
      <c r="D1" s="13" t="s">
        <v>107</v>
      </c>
    </row>
    <row r="2" customFormat="false" ht="15" hidden="false" customHeight="true" outlineLevel="0" collapsed="false">
      <c r="A2" s="29" t="s">
        <v>108</v>
      </c>
      <c r="B2" s="29" t="s">
        <v>109</v>
      </c>
      <c r="C2" s="29" t="s">
        <v>110</v>
      </c>
      <c r="D2" s="29" t="s">
        <v>111</v>
      </c>
    </row>
    <row r="3" customFormat="false" ht="15" hidden="false" customHeight="true" outlineLevel="0" collapsed="false">
      <c r="A3" s="29" t="s">
        <v>112</v>
      </c>
      <c r="B3" s="29" t="s">
        <v>113</v>
      </c>
      <c r="C3" s="29" t="s">
        <v>110</v>
      </c>
      <c r="D3" s="29" t="s">
        <v>114</v>
      </c>
    </row>
    <row r="4" customFormat="false" ht="15" hidden="false" customHeight="true" outlineLevel="0" collapsed="false">
      <c r="A4" s="29" t="s">
        <v>115</v>
      </c>
      <c r="B4" s="29" t="s">
        <v>116</v>
      </c>
      <c r="C4" s="29" t="s">
        <v>117</v>
      </c>
      <c r="D4" s="29" t="s">
        <v>118</v>
      </c>
    </row>
    <row r="5" customFormat="false" ht="15" hidden="false" customHeight="true" outlineLevel="0" collapsed="false">
      <c r="A5" s="29" t="s">
        <v>119</v>
      </c>
      <c r="B5" s="29" t="s">
        <v>120</v>
      </c>
      <c r="C5" s="29" t="s">
        <v>121</v>
      </c>
      <c r="D5" s="29" t="s">
        <v>122</v>
      </c>
    </row>
    <row r="6" customFormat="false" ht="15" hidden="false" customHeight="true" outlineLevel="0" collapsed="false">
      <c r="A6" s="29" t="s">
        <v>123</v>
      </c>
      <c r="B6" s="29" t="s">
        <v>113</v>
      </c>
      <c r="C6" s="29" t="s">
        <v>110</v>
      </c>
      <c r="D6" s="29" t="s">
        <v>114</v>
      </c>
    </row>
    <row r="7" customFormat="false" ht="15" hidden="false" customHeight="true" outlineLevel="0" collapsed="false">
      <c r="A7" s="29" t="s">
        <v>124</v>
      </c>
      <c r="B7" s="29" t="s">
        <v>125</v>
      </c>
      <c r="C7" s="29" t="s">
        <v>110</v>
      </c>
      <c r="D7" s="29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0"/>
    <col collapsed="false" customWidth="true" hidden="false" outlineLevel="0" max="3" min="3" style="1" width="10"/>
  </cols>
  <sheetData>
    <row r="1" customFormat="false" ht="31.5" hidden="false" customHeight="true" outlineLevel="0" collapsed="false">
      <c r="A1" s="13" t="s">
        <v>127</v>
      </c>
      <c r="B1" s="13" t="s">
        <v>128</v>
      </c>
      <c r="C1" s="13" t="s">
        <v>129</v>
      </c>
    </row>
    <row r="2" customFormat="false" ht="15" hidden="false" customHeight="true" outlineLevel="0" collapsed="false">
      <c r="A2" s="20" t="n">
        <v>1</v>
      </c>
      <c r="B2" s="30" t="s">
        <v>130</v>
      </c>
      <c r="C2" s="31" t="s">
        <v>62</v>
      </c>
    </row>
    <row r="3" customFormat="false" ht="15" hidden="false" customHeight="true" outlineLevel="0" collapsed="false">
      <c r="A3" s="20" t="n">
        <v>2</v>
      </c>
      <c r="B3" s="30" t="s">
        <v>131</v>
      </c>
      <c r="C3" s="31" t="s">
        <v>62</v>
      </c>
    </row>
    <row r="4" customFormat="false" ht="15" hidden="false" customHeight="true" outlineLevel="0" collapsed="false">
      <c r="A4" s="20" t="n">
        <v>3</v>
      </c>
      <c r="B4" s="30" t="s">
        <v>132</v>
      </c>
      <c r="C4" s="31" t="s">
        <v>62</v>
      </c>
    </row>
    <row r="5" customFormat="false" ht="15" hidden="false" customHeight="true" outlineLevel="0" collapsed="false">
      <c r="A5" s="20" t="n">
        <v>4</v>
      </c>
      <c r="B5" s="30" t="s">
        <v>133</v>
      </c>
      <c r="C5" s="31" t="s">
        <v>62</v>
      </c>
    </row>
    <row r="6" customFormat="false" ht="15" hidden="false" customHeight="true" outlineLevel="0" collapsed="false">
      <c r="A6" s="20" t="n">
        <v>5</v>
      </c>
      <c r="B6" s="30" t="s">
        <v>134</v>
      </c>
      <c r="C6" s="31" t="s">
        <v>62</v>
      </c>
    </row>
    <row r="7" customFormat="false" ht="23.25" hidden="false" customHeight="true" outlineLevel="0" collapsed="false">
      <c r="A7" s="20" t="n">
        <v>6</v>
      </c>
      <c r="B7" s="30" t="s">
        <v>135</v>
      </c>
      <c r="C7" s="31" t="s">
        <v>62</v>
      </c>
    </row>
    <row r="8" customFormat="false" ht="15" hidden="false" customHeight="true" outlineLevel="0" collapsed="false">
      <c r="A8" s="20" t="n">
        <v>7</v>
      </c>
      <c r="B8" s="30" t="s">
        <v>136</v>
      </c>
      <c r="C8" s="31" t="s">
        <v>62</v>
      </c>
    </row>
    <row r="9" customFormat="false" ht="15" hidden="false" customHeight="true" outlineLevel="0" collapsed="false">
      <c r="A9" s="20" t="n">
        <v>8</v>
      </c>
      <c r="B9" s="30" t="s">
        <v>137</v>
      </c>
      <c r="C9" s="31" t="s">
        <v>62</v>
      </c>
    </row>
  </sheetData>
  <dataValidations count="1">
    <dataValidation allowBlank="true" errorStyle="stop" operator="between" showDropDown="false" showErrorMessage="false" showInputMessage="false" sqref="C2:C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2026-09-15T23:21:51Z</dcterms:created>
  <dc:creator>openpyxl</dc:creator>
  <dc:description/>
  <dc:language>en-US</dc:language>
  <cp:lastModifiedBy/>
  <dcterms:modified xsi:type="dcterms:W3CDTF">2026-10-13T14:22:15Z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