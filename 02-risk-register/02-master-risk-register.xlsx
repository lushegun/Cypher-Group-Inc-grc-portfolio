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0_README" sheetId="1" state="visible" r:id="rId3"/>
    <sheet name="01_Scales" sheetId="2" state="visible" r:id="rId4"/>
    <sheet name="02_Register" sheetId="3" state="visible" r:id="rId5"/>
    <sheet name="03_Residual_Rationale" sheetId="4" state="visible" r:id="rId6"/>
    <sheet name="04_Treatment_Plan" sheetId="5" state="visible" r:id="rId7"/>
    <sheet name="05_Accept_Avoid" sheetId="6" state="visible" r:id="rId8"/>
    <sheet name="06_Control_Gaps" sheetId="7" state="visible" r:id="rId9"/>
    <sheet name="07_KRIs" sheetId="8" state="visible" r:id="rId10"/>
    <sheet name="08_Summary" sheetId="9" state="visible" r:id="rId11"/>
    <sheet name="09_Issue_Checklist" sheetId="10" state="visible" r:id="rId12"/>
  </sheets>
  <definedNames>
    <definedName function="false" hidden="true" localSheetId="2" name="_xlnm._FilterDatabase" vbProcedure="false">02_Register!$A$1:$P$6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<sst xmlns="http://schemas.openxmlformats.org/spreadsheetml/2006/main" count="507" uniqueCount="383">
  <si>
    <t xml:space="preserve">CGI-RSK-001 — Master Information Security Risk Register v1.0</t>
  </si>
  <si>
    <t xml:space="preserve">SIMULATED CASE STUDY. Cypher Group Inc. is a simulated company. All risks, scores, costs, names and approvals are invented for a GRC portfolio case study. No certification or attestation is claimed.</t>
  </si>
  <si>
    <t xml:space="preserve">Method</t>
  </si>
  <si>
    <t xml:space="preserve">NIST SP 800-30 Rev. 1, semi-quantitative 5 × 5. Risk score = Likelihood × Impact, calculated inherent and residual.</t>
  </si>
  <si>
    <t xml:space="preserve">Register owner</t>
  </si>
  <si>
    <t xml:space="preserve">Priya Raman, Chief Technology Officer</t>
  </si>
  <si>
    <t xml:space="preserve">Prepared by</t>
  </si>
  <si>
    <t xml:space="preserve">O.S, GRC Analyst (engaged)</t>
  </si>
  <si>
    <t xml:space="preserve">Approved by</t>
  </si>
  <si>
    <t xml:space="preserve">Jerry Olugboye, Chief Executive Officer — 08 September 2026</t>
  </si>
  <si>
    <t xml:space="preserve">Cross-references</t>
  </si>
  <si>
    <t xml:space="preserve">Every mitigating control cites a clause in CGI-POL-001 to CGI-POL-005 (Project 01).</t>
  </si>
  <si>
    <t xml:space="preserve">Rule</t>
  </si>
  <si>
    <t xml:space="preserve">I score the control that is operating, not the control that is written.</t>
  </si>
  <si>
    <t xml:space="preserve">SHEETS</t>
  </si>
  <si>
    <t xml:space="preserve">01_Scales</t>
  </si>
  <si>
    <t xml:space="preserve">Anchored likelihood and impact scales, rating thresholds and treatment definitions.</t>
  </si>
  <si>
    <t xml:space="preserve">02_Register</t>
  </si>
  <si>
    <t xml:space="preserve">The register. Columns A–L are the mandated 12 columns in the required order; M–P are governance columns added after them. Scores and ratings are formulas.</t>
  </si>
  <si>
    <t xml:space="preserve">03_Residual_Rationale</t>
  </si>
  <si>
    <t xml:space="preserve">Why each residual score is what it is.</t>
  </si>
  <si>
    <t xml:space="preserve">04_Treatment_Plan</t>
  </si>
  <si>
    <t xml:space="preserve">TP-01 to TP-10 with cost, owner and target residual. Totals are formulas.</t>
  </si>
  <si>
    <t xml:space="preserve">05_Accept_Avoid</t>
  </si>
  <si>
    <t xml:space="preserve">ACC-001 formal acceptance and AVD-001 avoidance by design.</t>
  </si>
  <si>
    <t xml:space="preserve">06_Control_Gaps</t>
  </si>
  <si>
    <t xml:space="preserve">CG-01 to CG-05 — what the policy pack does not cover.</t>
  </si>
  <si>
    <t xml:space="preserve">07_KRIs</t>
  </si>
  <si>
    <t xml:space="preserve">Seven key risk indicators with green / amber / red thresholds.</t>
  </si>
  <si>
    <t xml:space="preserve">08_Summary</t>
  </si>
  <si>
    <t xml:space="preserve">Register summary — every figure is a formula over 02_Register and 04_Treatment_Plan.</t>
  </si>
  <si>
    <t xml:space="preserve">09_Issue_Checklist</t>
  </si>
  <si>
    <t xml:space="preserve">Quality checks performed before issue.</t>
  </si>
  <si>
    <t xml:space="preserve">COLOUR LEGEND</t>
  </si>
  <si>
    <t xml:space="preserve">Yellow cell</t>
  </si>
  <si>
    <t xml:space="preserve">Input — type or choose here</t>
  </si>
  <si>
    <t xml:space="preserve">Grey cell</t>
  </si>
  <si>
    <t xml:space="preserve">Formula — do not overwrite</t>
  </si>
  <si>
    <t xml:space="preserve">Green</t>
  </si>
  <si>
    <t xml:space="preserve">Pass / compliant / low</t>
  </si>
  <si>
    <t xml:space="preserve">Amber</t>
  </si>
  <si>
    <t xml:space="preserve">Partial / condition / medium</t>
  </si>
  <si>
    <t xml:space="preserve">Red</t>
  </si>
  <si>
    <t xml:space="preserve">Fail / non-compliant / high or critical</t>
  </si>
  <si>
    <t xml:space="preserve">PUBLISHING</t>
  </si>
  <si>
    <t xml:space="preserve">CodeCo</t>
  </si>
  <si>
    <t xml:space="preserve">Upload this .xlsx next to its .md file. CodeCo cannot preview .xlsx, so the project README links to it as a download.</t>
  </si>
  <si>
    <t xml:space="preserve">WikiCo</t>
  </si>
  <si>
    <t xml:space="preserve">Import the matching CSV files from the data/ folder (Settings → Import → CSV) for sortable databases.</t>
  </si>
  <si>
    <t xml:space="preserve">Scoring scales and thresholds</t>
  </si>
  <si>
    <t xml:space="preserve">Score</t>
  </si>
  <si>
    <t xml:space="preserve">Label</t>
  </si>
  <si>
    <t xml:space="preserve">Probability band</t>
  </si>
  <si>
    <t xml:space="preserve">Frequency anchor</t>
  </si>
  <si>
    <t xml:space="preserve">Evidence anchor</t>
  </si>
  <si>
    <t xml:space="preserve">1</t>
  </si>
  <si>
    <t xml:space="preserve">Rare</t>
  </si>
  <si>
    <t xml:space="preserve">&lt; 5%</t>
  </si>
  <si>
    <t xml:space="preserve">Expected no more than once in 20+ years</t>
  </si>
  <si>
    <t xml:space="preserve">No known occurrence in comparable SaaS organisations; strong preventive control verified as operating</t>
  </si>
  <si>
    <t xml:space="preserve">2</t>
  </si>
  <si>
    <t xml:space="preserve">Unlikely</t>
  </si>
  <si>
    <t xml:space="preserve">5% – 20%</t>
  </si>
  <si>
    <t xml:space="preserve">Roughly once in 5 to 20 years</t>
  </si>
  <si>
    <t xml:space="preserve">Occurs occasionally in the sector; effective preventive controls verified in place at Cypher</t>
  </si>
  <si>
    <t xml:space="preserve">3</t>
  </si>
  <si>
    <t xml:space="preserve">Possible</t>
  </si>
  <si>
    <t xml:space="preserve">20% – 50%</t>
  </si>
  <si>
    <t xml:space="preserve">Roughly once in 2 to 5 years</t>
  </si>
  <si>
    <t xml:space="preserve">Occurs regularly in the sector; Cypher has partial control coverage or a known residual weakness</t>
  </si>
  <si>
    <t xml:space="preserve">4</t>
  </si>
  <si>
    <t xml:space="preserve">Likely</t>
  </si>
  <si>
    <t xml:space="preserve">50% – 80%</t>
  </si>
  <si>
    <t xml:space="preserve">Expected at least once in the period</t>
  </si>
  <si>
    <t xml:space="preserve">Common in the sector; a known, unmitigated weakness exists at Cypher</t>
  </si>
  <si>
    <t xml:space="preserve">5</t>
  </si>
  <si>
    <t xml:space="preserve">Almost Certain</t>
  </si>
  <si>
    <t xml:space="preserve">&gt; 80%</t>
  </si>
  <si>
    <t xml:space="preserve">Expected one or more times in the period</t>
  </si>
  <si>
    <t xml:space="preserve">Already occurring, actively targeted, or an exploitable weakness is confirmed present</t>
  </si>
  <si>
    <t xml:space="preserve">Financial</t>
  </si>
  <si>
    <t xml:space="preserve">Regulatory / Legal</t>
  </si>
  <si>
    <t xml:space="preserve">Customer &amp; Contractual</t>
  </si>
  <si>
    <t xml:space="preserve">Operational</t>
  </si>
  <si>
    <t xml:space="preserve">Reputational</t>
  </si>
  <si>
    <t xml:space="preserve">Insignificant</t>
  </si>
  <si>
    <t xml:space="preserve">&lt; USD 10k (&lt; 0.3% ARR)</t>
  </si>
  <si>
    <t xml:space="preserve">None</t>
  </si>
  <si>
    <t xml:space="preserve">No customer aware; no notification</t>
  </si>
  <si>
    <t xml:space="preserve">&lt; 1 hour service disruption</t>
  </si>
  <si>
    <t xml:space="preserve">Internal awareness only</t>
  </si>
  <si>
    <t xml:space="preserve">Minor</t>
  </si>
  <si>
    <t xml:space="preserve">USD 10k – 50k (0.3% – 1.4% ARR)</t>
  </si>
  <si>
    <t xml:space="preserve">Internal finding only; no external report</t>
  </si>
  <si>
    <t xml:space="preserve">A single customer informed; no contractual breach</t>
  </si>
  <si>
    <t xml:space="preserve">1 – 4 hours disruption</t>
  </si>
  <si>
    <t xml:space="preserve">Limited internal or single-customer concern</t>
  </si>
  <si>
    <t xml:space="preserve">Moderate</t>
  </si>
  <si>
    <t xml:space="preserve">USD 50k – 250k (1.4% – 7% ARR)</t>
  </si>
  <si>
    <t xml:space="preserve">Reportable personal data breach under GDPR Art. 33; no fine expected</t>
  </si>
  <si>
    <t xml:space="preserve">Multiple customers notified; some churn; one deal lost at security review</t>
  </si>
  <si>
    <t xml:space="preserve">4 – 24 hours disruption or SLA breach</t>
  </si>
  <si>
    <t xml:space="preserve">Industry or local press; questions in sales cycles</t>
  </si>
  <si>
    <t xml:space="preserve">Major</t>
  </si>
  <si>
    <t xml:space="preserve">USD 250k – 1M (7% – 28% ARR)</t>
  </si>
  <si>
    <t xml:space="preserve">Regulatory investigation; GDPR Art. 33 and Art. 34 notification to individuals; fine plausible</t>
  </si>
  <si>
    <t xml:space="preserve">Mass customer notification; material churn; contractual penalties invoked</t>
  </si>
  <si>
    <t xml:space="preserve">1 – 3 days disruption</t>
  </si>
  <si>
    <t xml:space="preserve">Trade press coverage; named in breach reporting</t>
  </si>
  <si>
    <t xml:space="preserve">Severe</t>
  </si>
  <si>
    <t xml:space="preserve">&gt; USD 1M (&gt; 28% ARR)</t>
  </si>
  <si>
    <t xml:space="preserve">Fine at the GDPR 2% or 4% turnover tier; enforcement action</t>
  </si>
  <si>
    <t xml:space="preserve">Contract terminations at scale; loss of ability to sell to enterprise buyers</t>
  </si>
  <si>
    <t xml:space="preserve">&gt; 3 days disruption or unrecoverable data loss</t>
  </si>
  <si>
    <t xml:space="preserve">National coverage; existential reputational damage</t>
  </si>
  <si>
    <t xml:space="preserve">Score range</t>
  </si>
  <si>
    <t xml:space="preserve">Rating</t>
  </si>
  <si>
    <t xml:space="preserve">Meaning</t>
  </si>
  <si>
    <t xml:space="preserve">Acceptance authority</t>
  </si>
  <si>
    <t xml:space="preserve">Mandatory review cadence</t>
  </si>
  <si>
    <t xml:space="preserve">1 – 4</t>
  </si>
  <si>
    <t xml:space="preserve">Low</t>
  </si>
  <si>
    <t xml:space="preserve">Tolerable. Manage through routine operations.</t>
  </si>
  <si>
    <t xml:space="preserve">Department Head</t>
  </si>
  <si>
    <t xml:space="preserve">Annual</t>
  </si>
  <si>
    <t xml:space="preserve">5 – 9</t>
  </si>
  <si>
    <t xml:space="preserve">Medium</t>
  </si>
  <si>
    <t xml:space="preserve">Tolerable with active management and a named owner.</t>
  </si>
  <si>
    <t xml:space="preserve">Chief Technology Officer</t>
  </si>
  <si>
    <t xml:space="preserve">Semi-annual</t>
  </si>
  <si>
    <t xml:space="preserve">10 – 14</t>
  </si>
  <si>
    <t xml:space="preserve">High</t>
  </si>
  <si>
    <t xml:space="preserve">Not tolerable without a funded, dated treatment plan.</t>
  </si>
  <si>
    <t xml:space="preserve">Chief Executive Officer</t>
  </si>
  <si>
    <t xml:space="preserve">Quarterly</t>
  </si>
  <si>
    <t xml:space="preserve">15 – 25</t>
  </si>
  <si>
    <t xml:space="preserve">Critical</t>
  </si>
  <si>
    <t xml:space="preserve">Not tolerable. Requires immediate treatment and executive visibility.</t>
  </si>
  <si>
    <t xml:space="preserve">CEO, with Board notification</t>
  </si>
  <si>
    <t xml:space="preserve">Quarterly, and on any material change</t>
  </si>
  <si>
    <t xml:space="preserve">Strategy</t>
  </si>
  <si>
    <t xml:space="preserve">Definition</t>
  </si>
  <si>
    <t xml:space="preserve">When it is the right answer</t>
  </si>
  <si>
    <t xml:space="preserve">Mitigate</t>
  </si>
  <si>
    <t xml:space="preserve">Reduce likelihood, impact or both by implementing or strengthening controls.</t>
  </si>
  <si>
    <t xml:space="preserve">The activity is necessary and the risk can be economically reduced.</t>
  </si>
  <si>
    <t xml:space="preserve">Transfer</t>
  </si>
  <si>
    <t xml:space="preserve">Shift financial or operational consequence to a third party via insurance or contract. Note that reputational and regulatory liability cannot be transferred.</t>
  </si>
  <si>
    <t xml:space="preserve">Residual financial exposure remains material after mitigation.</t>
  </si>
  <si>
    <t xml:space="preserve">Avoid</t>
  </si>
  <si>
    <t xml:space="preserve">Stop, do not start, or redesign the activity that creates the risk.</t>
  </si>
  <si>
    <t xml:space="preserve">The risk is disproportionate to the business value of the activity.</t>
  </si>
  <si>
    <t xml:space="preserve">Accept</t>
  </si>
  <si>
    <t xml:space="preserve">Formally retain the risk, by a named owner with the authority to do so, with justification, compensating controls and an expiry date.</t>
  </si>
  <si>
    <t xml:space="preserve">Residual risk is within appetite, or treatment cost exceeds the risk reduction.</t>
  </si>
  <si>
    <t xml:space="preserve">Risk ID</t>
  </si>
  <si>
    <t xml:space="preserve">Target Asset &amp; Vulnerability</t>
  </si>
  <si>
    <t xml:space="preserve">Threat Description</t>
  </si>
  <si>
    <t xml:space="preserve">Inherent Likelihood (1-5)</t>
  </si>
  <si>
    <t xml:space="preserve">Inherent Impact (1-5)</t>
  </si>
  <si>
    <t xml:space="preserve">Total Inherent Risk Score (Likelihood x Impact)</t>
  </si>
  <si>
    <t xml:space="preserve">Mitigating Controls (Cross-referenced to Project 1 policies)</t>
  </si>
  <si>
    <t xml:space="preserve">Residual Likelihood (1-5)</t>
  </si>
  <si>
    <t xml:space="preserve">Residual Impact (1-5)</t>
  </si>
  <si>
    <t xml:space="preserve">Total Residual Risk Score (Likelihood x Impact)</t>
  </si>
  <si>
    <t xml:space="preserve">Risk Treatment Strategy (Mitigate, Accept, Transfer, Avoid)</t>
  </si>
  <si>
    <t xml:space="preserve">Action Owner (Job Title)</t>
  </si>
  <si>
    <t xml:space="preserve">Inherent Rating</t>
  </si>
  <si>
    <t xml:space="preserve">Residual Rating</t>
  </si>
  <si>
    <t xml:space="preserve">Score Reduction</t>
  </si>
  <si>
    <t xml:space="preserve">Risk Owner (accountable business role)</t>
  </si>
  <si>
    <t xml:space="preserve">R-001</t>
  </si>
  <si>
    <t xml:space="preserve">OfficeCo, ChatCo and CodeCo user accounts (Confidential data). Vulnerability: human susceptibility to credential-harvesting, compounded by relay-able authenticator-app one-time codes on standard accounts and only 60% policy acknowledgement recorded in CGI-TRK-001.</t>
  </si>
  <si>
    <t xml:space="preserve">An external financially motivated attacker sends a credential-harvesting email impersonating OfficeCo to Cypher Group personnel; a user enters their password and one-time code into an attacker-in-the-middle proxy, resulting in session takeover of a corporate account, leading to unauthorised access to Confidential customer correspondence, business email compromise against Finance, and attempted lateral movement toward CodeCo and CloudCo.</t>
  </si>
  <si>
    <t xml:space="preserve">CGI-POL-002 §4.3.1 MFA mandated on OfficeCo, ChatCo, CodeCo, CloudCo, PaymentsCo and the production database; CGI-POL-002 §4.3.3 phishing-resistant FIDO2/WebAuthn or device-bound passkey mandated for all privileged accounts; CGI-POL-002 §4.3.4 passkey-first factor preference for standard accounts; CGI-POL-002 §4.3.5 SMS and voice prohibited as MFA factors; CGI-POL-002 §4.3.7 unsolicited MFA prompts reportable within one hour; CGI-POL-002 §4.1.5 and §4.1.6 password uniqueness and breach-list screening; CGI-POL-002 §4.2.1 credentials held only in the password manager; CGI-POL-002 §4.6.1 SSO through OfficeCo to centralise revocation; CGI-POL-002 §4.6.2 lockout after 10 failed attempts; CGI-POL-001 §4.7.3 suspected phishing forwarded, not interacted with; CGI-POL-001 §4.3.1 credential sharing prohibited; CGI-POL-003 §4.3.6 security awareness induction within 10 business days; CGI-POL-005 §5.2.2 one-hour reporting obligation; CGI-POL-005 §5.4 SEV2 acknowledgement within 30 minutes and containment within 8 hours.</t>
  </si>
  <si>
    <t xml:space="preserve">IT Operations Manager</t>
  </si>
  <si>
    <t xml:space="preserve">R-002</t>
  </si>
  <si>
    <t xml:space="preserve">Employee endpoints, both company-owned and personally owned under the BYOD provisions of CGI-POL-001 §4.4, and any network-reachable corporate file store. Vulnerability: operating system and browser patches permitted to lag by up to 14 days; no documented backup or restore-testing obligation exists anywhere in the CGI-POL pack (control gap CG-01).</t>
  </si>
  <si>
    <t xml:space="preserve">A ransomware affiliate delivers a loader through a malicious document or a drive-by exploit against an unpatched browser on a Cypher Group workstation, resulting in encryption of local and synchronised corporate data and attempted enumeration of reachable network shares and cloud storage, leading to loss of working data, extortion demand, service degradation for approximately 200 SMB customers and an unquantified recovery time because no restore has ever been tested.</t>
  </si>
  <si>
    <t xml:space="preserve">CGI-POL-001 §4.4.3 operating system and browser security updates applied within 14 calendar days of release; CGI-POL-001 §4.4.1 full-disk encryption mandatory on every device; CGI-POL-001 §4.4.2 automatic screen lock at 10 minutes; CGI-POL-001 §4.4.4 jailbroken or rooted devices prohibited; CGI-POL-001 §4.2.3 prohibition on disabling endpoint protection, disk encryption or logging; CGI-POL-001 §4.6.2 prohibition on unlicensed or untrusted software; CGI-POL-002 §4.4.1 separate administrative accounts, not used for email or browsing, so an infected user session holds no infrastructure rights; CGI-POL-003 §4.1.1 least privilege and §4.2.1 role profiles excluding Engineering from CloudCo production; CGI-POL-004 §4.2 encryption at rest required for Confidential and Restricted data; CGI-POL-005 §5.4 SEV1 acknowledgement within 15 minutes and containment within 4 hours; CGI-POL-005 §5.5 defined contain, eradicate and recover sequence with a timestamped decision log.</t>
  </si>
  <si>
    <t xml:space="preserve">Mitigate + Transfer</t>
  </si>
  <si>
    <t xml:space="preserve">R-003</t>
  </si>
  <si>
    <t xml:space="preserve">Customer account data, payment metadata and source code (Confidential and Restricted under CGI-POL-004 §4.1.1). Vulnerability: a resigning employee retains legitimate access during the notice period, and monitoring under CGI-POL-001 §4.10.1 is metadata-level only, with no data loss prevention tooling deployed (control gap CG-05).</t>
  </si>
  <si>
    <t xml:space="preserve">A departing employee, acting on commercial motive before their effective leaving date, uses their legitimate role-profile access to export customer account records and internal documentation to a personal cloud storage account and a removable drive, resulting in unauthorised extraction of Restricted aggregated personal data, leading to a notifiable personal data breach under GDPR Article 33, contractual breach with affected customers, and potential competitive harm.</t>
  </si>
  <si>
    <t xml:space="preserve">CGI-POL-003 §4.5.1 immediate notification to IT and the CTO on resignation or termination decision; CGI-POL-003 §4.5.2 all access revoked within four hours of the effective termination time; CGI-POL-003 §4.5.3 involuntary terminations revoked simultaneously with the notification meeting; CGI-POL-003 §4.5.4 shared credentials rotated within four hours; CGI-POL-003 §4.5.5 API keys, deploy keys and personal access tokens rotated within five business days; CGI-POL-003 §4.5.6 accounts suspended and preserved for 90 days rather than deleted, protecting investigative evidence; CGI-POL-003 §4.5.9 mandatory evidenced offboarding checklist; CGI-POL-003 §4.7.1 quarterly privileged access review and §4.7.3 monthly orphaned account reconciliation; CGI-POL-003 §4.1.1 and §4.1.2 least privilege and need to know; CGI-POL-003 §4.2.1 role profiles excluding Sales and Customer Success from source code, CloudCo and PaymentsCo; CGI-POL-001 §4.11.2 prohibition on transferring company information to personal accounts or storage at any time; CGI-POL-001 §4.8.1 removable media prohibited for Confidential and Restricted data without written CTO approval; CGI-POL-001 §4.10 monitoring notice, which is the legal basis that makes authentication and file-access monitoring usable as a detective control; CGI-POL-004 §4.2 Handling Matrix, prohibiting Restricted data on removable media outright and requiring data owner plus CTO approval for external sharing; CGI-POL-004 §4.1.3 aggregation rule reclassifying a bulk customer export as Restricted.</t>
  </si>
  <si>
    <t xml:space="preserve">Head of People and Operations</t>
  </si>
  <si>
    <t xml:space="preserve">Head of Customer Success (data owner for customer account data)</t>
  </si>
  <si>
    <t xml:space="preserve">R-004</t>
  </si>
  <si>
    <t xml:space="preserve">The internet-facing production application programming interface (API) of the Cypher Group SaaS platform, and the multi-tenant production database behind it. Vulnerability: no secure development, code review, change management or vulnerability management policy exists in the CGI-POL pack (control gap CG-02), so authorisation logic is unverified and no scanning cadence is mandated.</t>
  </si>
  <si>
    <t xml:space="preserve">An unauthenticated or low-privilege external attacker probes the production API and discovers a broken object-level authorisation flaw allowing customer identifiers to be manipulated across tenant boundaries, resulting in the ability to enumerate and retrieve the account data of customers other than their own, leading to a cross-tenant personal data breach affecting a substantial share of the approximately 200 customer base, mandatory notification under GDPR Articles 33 and 34, and loss of the enterprise deals currently held at security review.</t>
  </si>
  <si>
    <t xml:space="preserve">CGI-POL-002 §4.5.1 service account credentials and API keys rotated at least every 180 days and immediately on suspected compromise; CGI-POL-002 §4.5.2 CodeCo secret scanning and push protection maintained on all repositories; CGI-POL-002 §4.5.3 any committed secret treated as compromised and rotated, not merely removed from history; CGI-POL-002 §4.5.4 service accounts granted minimum permissions with a named human owner; CGI-POL-004 §4.2 encryption in transit required for every classification above Public; CGI-POL-004 §4.1.4 payment card numbers never stored by Cypher Group, limiting the maximum data at risk; CGI-POL-003 §4.2.1 role profiles restricting production database access to on-call Engineering only; CGI-POL-005 §5.1.1 mandatory reporting of unexpected system behaviour, unexplained changes or new accounts; CGI-POL-005 §5.4 SEV1 classification with four-hour containment target; CGI-POL-005 §5.6.3 defined GDPR 72-hour supervisory authority notification path. Assessed as materially insufficient — see control gap CG-02.</t>
  </si>
  <si>
    <t xml:space="preserve">R-005</t>
  </si>
  <si>
    <t xml:space="preserve">CloudCo production environment: Simple Storage Service (S3) buckets holding customer data exports and backups, security group network rules, and Identity and Access Management (IAM) policies. Vulnerability: the policy pack governs who may change CloudCo but defines no secure baseline for how it must be configured, and no automated configuration monitoring or drift detection exists (control gap CG-03).</t>
  </si>
  <si>
    <t xml:space="preserve">An administrator with legitimate CloudCo access misconfigures an S3 bucket policy or access control list while troubleshooting, or provisions a new bucket without the account-level public access block, resulting in customer account data and database exports becoming readable from the public internet without authentication, leading to indexed exposure of Restricted aggregated personal data, discovery by a third party or researcher rather than by Cypher Group, notification obligations under GDPR Articles 33 and 34, and severe reputational damage of the category most commonly reported in the technology press.</t>
  </si>
  <si>
    <t xml:space="preserve">CGI-POL-004 §4.2 Handling Matrix requiring encryption at rest for Confidential and Restricted data, restricting Restricted data to named approved systems listed by the data owner, and requiring named-individual access approved by the data owner and the CTO; CGI-POL-004 §4.1.3 aggregation rule classifying bulk customer exports as Restricted and therefore subject to the strictest handling row; CGI-POL-002 §4.3.1 MFA mandated on CloudCo; CGI-POL-002 §4.3.3 phishing-resistant factor mandated for the privileged CloudCo accounts that can alter bucket policy; CGI-POL-002 §4.4.1 separate administrative accounts; CGI-POL-002 §4.4.3 CloudCo root protected by hardware MFA, sealed under CTO control, with alerting on any use; CGI-POL-003 §4.2.1 role profiles excluding non-on-call Engineering, Sales, Finance and Customer Success from CloudCo production; CGI-POL-003 §4.7.1 quarterly privileged access review with evidenced approval or removal decisions; CGI-POL-003 §4.1.5 mandatory ticket for every access change, preserving the audit trail; CGI-POL-001 §4.2.3 prohibition on circumventing or degrading security controls including logging; CGI-POL-005 §5.1.1 mandatory reporting of unexplained configuration change. Preventive coverage only — no detective control exists. See control gap CG-03.</t>
  </si>
  <si>
    <t xml:space="preserve">Inherent</t>
  </si>
  <si>
    <t xml:space="preserve">Residual</t>
  </si>
  <si>
    <t xml:space="preserve">Score reduction</t>
  </si>
  <si>
    <t xml:space="preserve">Risk owner (accountable business role)</t>
  </si>
  <si>
    <t xml:space="preserve">Justification for the residual score</t>
  </si>
  <si>
    <t xml:space="preserve">Likelihood 5 → 2. Phishing attempts against a 50-person SaaS company are continuous, so inherent likelihood is Almost Certain. CGI-POL-002 §4.3.3 makes privileged accounts cryptographically unphishable — a FIDO2 authenticator will not release a credential to a proxy domain, so the highest-value path is closed by design rather than by vigilance. Likelihood does not reach 1 because §4.3.4 still permits authenticator-app one-time codes on standard accounts, and those remain relay-able. Impact 4 → 3. A standard-account compromise no longer reaches infrastructure, because §4.4.1 separates administrative accounts and CGI-POL-003 §4.2.1 role profiles bound what any one account can see. The one-hour reporting duty (CGI-POL-005 §5.2.2) plus SSO revocation (§4.6.1) shortens dwell time from weeks to hours. Impact does not fall below 3 because a compromised mailbox still contains Confidential customer correspondence.</t>
  </si>
  <si>
    <t xml:space="preserve">Likelihood 4 → 2. The 14-day patch obligation (CGI-POL-001 §4.4.3), the prohibition on disabling endpoint protection (§4.2.3), the prohibition on untrusted software (§4.6.2) and the separation of administrative accounts (CGI-POL-002 §4.4.1) together remove the common delivery and escalation paths. Impact 5 → 4, deliberately only one point. This is the most important judgement in the register. Full-disk encryption protects data at rest against device theft but does nothing against ransomware, which encrypts data the logged-in user can already read. Least privilege limits spread. But the CGI-POL pack contains no backup or restore-testing obligation at all, so recovery time remains unevidenced and an unrecoverable-data scenario cannot be excluded. Crediting a lower impact here would be crediting a control that does not exist. Residual impact falls to 4, not 3, and stays there until CG-01 is closed.</t>
  </si>
  <si>
    <t xml:space="preserve">Likelihood 3 → 2. The four-hour revocation window (CGI-POL-003 §4.5.2), simultaneous revocation on involuntary termination (§4.5.3), monthly orphaned-account reconciliation (§4.7.3) and the explicit monitoring notice (CGI-POL-001 §4.10) collectively remove the post-departure window and create a credible deterrent. Likelihood cannot reach 1 because the pre-departure window, during which access is entirely legitimate, cannot be closed by an access control. Impact 4 → 3. Role profiles (§4.2.1) cap what any single leaver can reach, and the aggregation rule (CGI-POL-004 §4.1.3) places bulk exports behind named-list approval by the data owner and the CTO. Impact does not fall further because no data loss prevention tooling exists (CG-05), so detection of an exfiltration in progress is not assured — it is reconstructed after the fact from metadata.</t>
  </si>
  <si>
    <t xml:space="preserve">Likelihood 4 → 3 only. The Project 1 controls address credential-borne API abuse — key rotation, secret scanning, least-privilege service accounts. They do not address authorisation logic defects, which is the actual vulnerability class in this scenario. No policy in the pack requires code review, security testing, dependency scanning or a vulnerability remediation SLA (CG-02). Impact 5 → 4. Encryption in transit, the exclusion of card numbers from Cypher's systems (CGI-POL-004 §4.1.4) and the SEV1 four-hour containment target reduce both the maximum data at risk and the exposure window. This risk remains High after treatment and is the single strongest argument in the register for the next tranche of investment. Recording that honestly is more valuable than manufacturing a green score.</t>
  </si>
  <si>
    <t xml:space="preserve">Likelihood 4 → 3 only. Quarterly privileged access review (CGI-POL-003 §4.7.1), the role profiles that exclude most of the company from CloudCo production, and mandatory ticketing (§4.1.5) reduce the number of hands able to cause the misconfiguration and preserve an audit trail. But every one of these is a preventive administrative control acting on people. There is no technical guardrail and no detective control — no account-level S3 Block Public Access enforcement, no AWS Config rules, no drift alerting (CG-03). A misconfiguration made by an authorised administrator would therefore still occur and would not be detected internally. Impact 5 → 4. The encryption-at-rest requirement and the named-approved-systems restriction in CGI-POL-004 §4.2 limit both the readability and the concentration of exposed data.</t>
  </si>
  <si>
    <t xml:space="preserve">Treatment ID</t>
  </si>
  <si>
    <t xml:space="preserve">Action</t>
  </si>
  <si>
    <t xml:space="preserve">Control type</t>
  </si>
  <si>
    <t xml:space="preserve">Existing policy anchor</t>
  </si>
  <si>
    <t xml:space="preserve">Estimated cost (USD)</t>
  </si>
  <si>
    <t xml:space="preserve">Cost basis</t>
  </si>
  <si>
    <t xml:space="preserve">Action owner (job title)</t>
  </si>
  <si>
    <t xml:space="preserve">Target completion</t>
  </si>
  <si>
    <t xml:space="preserve">Target residual score</t>
  </si>
  <si>
    <t xml:space="preserve">TP-01</t>
  </si>
  <si>
    <t xml:space="preserve">Issue FIDO2 hardware security keys or enforce device-bound passkeys for all 50 personnel, removing authenticator-app one-time codes as an accepted factor for standard accounts.</t>
  </si>
  <si>
    <t xml:space="preserve">Preventive</t>
  </si>
  <si>
    <t xml:space="preserve">CGI-POL-002 §4.3.3, §4.3.4</t>
  </si>
  <si>
    <t xml:space="preserve">one-off</t>
  </si>
  <si>
    <t xml:space="preserve">31 October 2026</t>
  </si>
  <si>
    <t xml:space="preserve">TP-02</t>
  </si>
  <si>
    <t xml:space="preserve">Drive CGI-TRK-001 to 100% policy acknowledgement and 100% security awareness training completion; introduce quarterly simulated phishing with reporting-rate as the metric, not click-rate alone.</t>
  </si>
  <si>
    <t xml:space="preserve">Preventive, Detective</t>
  </si>
  <si>
    <t xml:space="preserve">CGI-POL-001 §6.2; CGI-POL-003 §4.3.6</t>
  </si>
  <si>
    <t xml:space="preserve">30 November 2026</t>
  </si>
  <si>
    <t xml:space="preserve">TP-03</t>
  </si>
  <si>
    <t xml:space="preserve">Author and approve CGI-POL-006 Backup and Recovery Policy mandating defined RPO and RTO, immutable or offline backup copies, and a restore test performed and evidenced at least quarterly. Closes CG-01.</t>
  </si>
  <si>
    <t xml:space="preserve">Corrective</t>
  </si>
  <si>
    <t xml:space="preserve">New policy — gap CG-01</t>
  </si>
  <si>
    <t xml:space="preserve">internal effort</t>
  </si>
  <si>
    <t xml:space="preserve">TP-04</t>
  </si>
  <si>
    <t xml:space="preserve">Procure cyber insurance covering incident response costs, business interruption and extortion, with a limit informed by the Impact scale band 4 to 5. Note that reputational and regulatory liability are not transferable.</t>
  </si>
  <si>
    <t xml:space="preserve">Assumption A-05</t>
  </si>
  <si>
    <t xml:space="preserve">per annum</t>
  </si>
  <si>
    <t xml:space="preserve">15 December 2026</t>
  </si>
  <si>
    <t xml:space="preserve">TP-05</t>
  </si>
  <si>
    <t xml:space="preserve">Deploy centrally managed endpoint detection and response with enforced patch compliance reporting, converting the 14-day patch obligation from a written duty into a measurable one.</t>
  </si>
  <si>
    <t xml:space="preserve">CGI-POL-001 §4.4.3, §4.2.3</t>
  </si>
  <si>
    <t xml:space="preserve">31 January 2027</t>
  </si>
  <si>
    <t xml:space="preserve">TP-06</t>
  </si>
  <si>
    <t xml:space="preserve">Enable OfficeCo and endpoint data loss prevention rules for bulk export of Confidential and Restricted data, and add an automated alert on large downloads by any account in a notice period. Closes CG-05.</t>
  </si>
  <si>
    <t xml:space="preserve">Detective</t>
  </si>
  <si>
    <t xml:space="preserve">CGI-POL-001 §4.10.1; CGI-POL-004 §4.2</t>
  </si>
  <si>
    <t xml:space="preserve">TP-07</t>
  </si>
  <si>
    <t xml:space="preserve">Author and approve CGI-POL-007 Secure Development and Change Management Policy, mandating peer code review, authorisation testing on every tenant-scoped endpoint, and segregation between development and production. Closes part of CG-02.</t>
  </si>
  <si>
    <t xml:space="preserve">New policy — gap CG-02</t>
  </si>
  <si>
    <t xml:space="preserve">TP-08</t>
  </si>
  <si>
    <t xml:space="preserve">Author and approve CGI-POL-008 Vulnerability Management Policy with remediation SLAs by severity; enable dependency scanning; commission an independent API penetration test with retest.</t>
  </si>
  <si>
    <t xml:space="preserve">TP-09</t>
  </si>
  <si>
    <t xml:space="preserve">Enable CloudCo account-level S3 Block Public Access, apply a Service Control Policy preventing its removal, and enable AWS Config rules with alerting for public storage, unencrypted volumes and unrestricted security groups. Closes CG-03.</t>
  </si>
  <si>
    <t xml:space="preserve">CGI-POL-004 §4.2</t>
  </si>
  <si>
    <t xml:space="preserve">TP-10</t>
  </si>
  <si>
    <t xml:space="preserve">Author a cloud configuration baseline standard aligned to the CIS Amazon Web Services Foundations Benchmark, and assess against it quarterly with evidenced results.</t>
  </si>
  <si>
    <t xml:space="preserve">New standard — gap CG-03</t>
  </si>
  <si>
    <t xml:space="preserve">28 February 2027</t>
  </si>
  <si>
    <t xml:space="preserve">Year-one total</t>
  </si>
  <si>
    <t xml:space="preserve">Formally accepted risk and risk avoided by design</t>
  </si>
  <si>
    <t xml:space="preserve">Acceptance ID</t>
  </si>
  <si>
    <t xml:space="preserve">Related risk</t>
  </si>
  <si>
    <t xml:space="preserve">What is accepted</t>
  </si>
  <si>
    <t xml:space="preserve">Justification</t>
  </si>
  <si>
    <t xml:space="preserve">Compensating control</t>
  </si>
  <si>
    <t xml:space="preserve">Accepting authority</t>
  </si>
  <si>
    <t xml:space="preserve">Approval date</t>
  </si>
  <si>
    <t xml:space="preserve">Expiry date</t>
  </si>
  <si>
    <t xml:space="preserve">Review</t>
  </si>
  <si>
    <t xml:space="preserve">ACC-001</t>
  </si>
  <si>
    <t xml:space="preserve">R-001 (sub-scenario)</t>
  </si>
  <si>
    <t xml:space="preserve">Continued use of SMS as an MFA factor by two named Finance users on the legacy billing portal, contrary to CGI-POL-002 §4.3.5. Carried forward from Exception Register EXC-001.</t>
  </si>
  <si>
    <t xml:space="preserve">The legacy billing portal supports no alternative factor. Migration to a supporting platform is planned for Q1 2027. Removing access would halt customer invoicing.</t>
  </si>
  <si>
    <t xml:space="preserve">Access limited to two named users; login alerting enabled; monthly access review; the accounts hold no Restricted data.</t>
  </si>
  <si>
    <t xml:space="preserve">Priya Raman, Chief Technology Officer (Medium residual — within CTO acceptance authority per §1.4)</t>
  </si>
  <si>
    <t xml:space="preserve">03 September 2026</t>
  </si>
  <si>
    <t xml:space="preserve">03 March 2027</t>
  </si>
  <si>
    <t xml:space="preserve">At expiry, or immediately on migration completion</t>
  </si>
  <si>
    <t xml:space="preserve">Avoidance ID</t>
  </si>
  <si>
    <t xml:space="preserve">Risk avoided</t>
  </si>
  <si>
    <t xml:space="preserve">Decision</t>
  </si>
  <si>
    <t xml:space="preserve">Policy anchor</t>
  </si>
  <si>
    <t xml:space="preserve">AVD-001</t>
  </si>
  <si>
    <t xml:space="preserve">Storage, processing and breach of primary account numbers (payment card data), which would place Cypher Group in PCI DSS scope and raise the maximum credible impact of R-004 and R-005 to score 5.</t>
  </si>
  <si>
    <t xml:space="preserve">Cypher Group does not store card numbers. All card data is held by PaymentsCo; Cypher retains payment metadata only. The activity that would create the risk is not performed.</t>
  </si>
  <si>
    <t xml:space="preserve">CGI-POL-004 §4.1.4</t>
  </si>
  <si>
    <t xml:space="preserve">Gap ID</t>
  </si>
  <si>
    <t xml:space="preserve">Gap</t>
  </si>
  <si>
    <t xml:space="preserve">Risks affected</t>
  </si>
  <si>
    <t xml:space="preserve">Consequence for scoring</t>
  </si>
  <si>
    <t xml:space="preserve">Closure action</t>
  </si>
  <si>
    <t xml:space="preserve">CG-01</t>
  </si>
  <si>
    <t xml:space="preserve">No backup, recovery, RPO/RTO or restore-testing obligation anywhere in CGI-POL-001 to 005.</t>
  </si>
  <si>
    <t xml:space="preserve">Residual impact held at 4; cannot fall to 3 without evidenced restore capability.</t>
  </si>
  <si>
    <t xml:space="preserve">CG-02</t>
  </si>
  <si>
    <t xml:space="preserve">No secure development, code review, change management or vulnerability management policy.</t>
  </si>
  <si>
    <t xml:space="preserve">Residual likelihood held at 3; the existing controls do not address authorisation logic defects.</t>
  </si>
  <si>
    <t xml:space="preserve">TP-07, TP-08</t>
  </si>
  <si>
    <t xml:space="preserve">CG-03</t>
  </si>
  <si>
    <t xml:space="preserve">No cloud configuration baseline and no automated configuration monitoring or drift detection.</t>
  </si>
  <si>
    <t xml:space="preserve">Residual likelihood held at 3; all coverage is preventive and administrative, with no detective control.</t>
  </si>
  <si>
    <t xml:space="preserve">TP-09, TP-10</t>
  </si>
  <si>
    <t xml:space="preserve">CG-04</t>
  </si>
  <si>
    <t xml:space="preserve">Security awareness training is mandated at induction only (CGI-POL-003 §4.3.6); no recurring programme or simulation exists.</t>
  </si>
  <si>
    <t xml:space="preserve">R-001, R-003</t>
  </si>
  <si>
    <t xml:space="preserve">Contributes to the partial control-effectiveness discount applied across the register.</t>
  </si>
  <si>
    <t xml:space="preserve">CG-05</t>
  </si>
  <si>
    <t xml:space="preserve">No data loss prevention tooling; monitoring under CGI-POL-001 §4.10.1 is metadata-level only.</t>
  </si>
  <si>
    <t xml:space="preserve">Residual impact held at 3; exfiltration is reconstructed after the fact rather than interrupted.</t>
  </si>
  <si>
    <t xml:space="preserve">KRI ID</t>
  </si>
  <si>
    <t xml:space="preserve">Indicator</t>
  </si>
  <si>
    <t xml:space="preserve">Source</t>
  </si>
  <si>
    <t xml:space="preserve">Threshold (green / amber / red)</t>
  </si>
  <si>
    <t xml:space="preserve">Reporting cadence</t>
  </si>
  <si>
    <t xml:space="preserve">Owner</t>
  </si>
  <si>
    <t xml:space="preserve">KRI-01</t>
  </si>
  <si>
    <t xml:space="preserve">Percentage of accounts with a phishing-resistant MFA factor enrolled</t>
  </si>
  <si>
    <t xml:space="preserve">R-001, R-005</t>
  </si>
  <si>
    <t xml:space="preserve">CGI-POL-002 §6.2 quarterly MFA coverage report</t>
  </si>
  <si>
    <t xml:space="preserve">≥ 95% / 80–94% / &lt; 80%</t>
  </si>
  <si>
    <t xml:space="preserve">KRI-02</t>
  </si>
  <si>
    <t xml:space="preserve">Policy acknowledgement rate across all personnel</t>
  </si>
  <si>
    <t xml:space="preserve">CGI-TRK-001</t>
  </si>
  <si>
    <t xml:space="preserve">100% / 90–99% / &lt; 90%</t>
  </si>
  <si>
    <t xml:space="preserve">Monthly</t>
  </si>
  <si>
    <t xml:space="preserve">KRI-03</t>
  </si>
  <si>
    <t xml:space="preserve">Mean time to revoke all access after effective termination time</t>
  </si>
  <si>
    <t xml:space="preserve">CGI-POL-003 §4.5.2 offboarding checklists</t>
  </si>
  <si>
    <t xml:space="preserve">≤ 4 hours / 4–24 hours / &gt; 24 hours</t>
  </si>
  <si>
    <t xml:space="preserve">KRI-04</t>
  </si>
  <si>
    <t xml:space="preserve">Percentage of endpoints with security patches applied within 14 days</t>
  </si>
  <si>
    <t xml:space="preserve">Endpoint management reporting (TP-05)</t>
  </si>
  <si>
    <t xml:space="preserve">≥ 95% / 85–94% / &lt; 85%</t>
  </si>
  <si>
    <t xml:space="preserve">KRI-05</t>
  </si>
  <si>
    <t xml:space="preserve">Number of CloudCo resources failing the configuration baseline</t>
  </si>
  <si>
    <t xml:space="preserve">AWS Config (TP-09)</t>
  </si>
  <si>
    <t xml:space="preserve">0 / 1–3 / &gt; 3</t>
  </si>
  <si>
    <t xml:space="preserve">KRI-06</t>
  </si>
  <si>
    <t xml:space="preserve">Count of orphaned accounts identified in the monthly reconciliation</t>
  </si>
  <si>
    <t xml:space="preserve">CGI-POL-003 §4.7.3</t>
  </si>
  <si>
    <t xml:space="preserve">0 / 1–2 / &gt; 2</t>
  </si>
  <si>
    <t xml:space="preserve">KRI-07</t>
  </si>
  <si>
    <t xml:space="preserve">Open critical or high vulnerabilities past their remediation SLA</t>
  </si>
  <si>
    <t xml:space="preserve">CGI-POL-008 once approved (TP-08)</t>
  </si>
  <si>
    <t xml:space="preserve">Register summary</t>
  </si>
  <si>
    <t xml:space="preserve">Every value below is calculated from 02_Register and 04_Treatment_Plan.</t>
  </si>
  <si>
    <t xml:space="preserve">Metric</t>
  </si>
  <si>
    <t xml:space="preserve">Value</t>
  </si>
  <si>
    <t xml:space="preserve">Risks assessed</t>
  </si>
  <si>
    <t xml:space="preserve">Inherent: Critical</t>
  </si>
  <si>
    <t xml:space="preserve">Inherent: High</t>
  </si>
  <si>
    <t xml:space="preserve">Aggregate inherent score</t>
  </si>
  <si>
    <t xml:space="preserve">Maximum possible</t>
  </si>
  <si>
    <t xml:space="preserve">Mean inherent score</t>
  </si>
  <si>
    <t xml:space="preserve">Residual: Critical</t>
  </si>
  <si>
    <t xml:space="preserve">Residual: High</t>
  </si>
  <si>
    <t xml:space="preserve">Residual: Medium</t>
  </si>
  <si>
    <t xml:space="preserve">Aggregate residual score</t>
  </si>
  <si>
    <t xml:space="preserve">Mean residual score</t>
  </si>
  <si>
    <t xml:space="preserve">Risk reduction (points)</t>
  </si>
  <si>
    <t xml:space="preserve">Risk reduction (%)</t>
  </si>
  <si>
    <t xml:space="preserve">Risks above appetite (High or Critical residual)</t>
  </si>
  <si>
    <t xml:space="preserve">Treatment actions raised</t>
  </si>
  <si>
    <t xml:space="preserve">Estimated treatment cost, year one (USD)</t>
  </si>
  <si>
    <t xml:space="preserve">Control gaps identified</t>
  </si>
  <si>
    <t xml:space="preserve">Headline: the policy pack removes just over half of assessed exposure; two risks stay High until secure development and cloud configuration controls exist.</t>
  </si>
  <si>
    <t xml:space="preserve">#</t>
  </si>
  <si>
    <t xml:space="preserve">Check</t>
  </si>
  <si>
    <t xml:space="preserve">Done?</t>
  </si>
  <si>
    <t xml:space="preserve">Evidence / note</t>
  </si>
  <si>
    <t xml:space="preserve">Every [BRACKETED] field replaced or the row deleted</t>
  </si>
  <si>
    <t xml:space="preserve">Yes</t>
  </si>
  <si>
    <t xml:space="preserve">Impact financial bands calibrated to this organisation's revenue, not copied</t>
  </si>
  <si>
    <t xml:space="preserve">Every likelihood and impact score has a written justification in section 3</t>
  </si>
  <si>
    <t xml:space="preserve">Every mitigating control cites a specific clause number, never just a policy name</t>
  </si>
  <si>
    <t xml:space="preserve">Residual score is lower than inherent only where a real, operating control justifies it</t>
  </si>
  <si>
    <t xml:space="preserve">Any residual score that did not fall is explained, with the gap recorded in 4.3</t>
  </si>
  <si>
    <t xml:space="preserve">Every risk owner is a business leader; no risk is owned by the security analyst</t>
  </si>
  <si>
    <t xml:space="preserve">Every action owner is a job title, not a personal name</t>
  </si>
  <si>
    <t xml:space="preserve">At least one risk demonstrates each of Mitigate, Transfer, Avoid and Accept across sections 2, 4.1 and 4.2</t>
  </si>
  <si>
    <t xml:space="preserve">Every acceptance has a named authority with the right approval level, and an expiry date</t>
  </si>
  <si>
    <t xml:space="preserve">Arithmetic verified: every score column equals Likelihood × Impact</t>
  </si>
  <si>
    <t xml:space="preserve">Table pastes into a spreadsheet with one value per cell and no merged cells</t>
  </si>
  <si>
    <t xml:space="preserve">Limitations section written honestly, including what the model cannot do</t>
  </si>
  <si>
    <t xml:space="preserve">Case-study notice present if this is a portfolio artefact</t>
  </si>
  <si>
    <t xml:space="preserve">Added to the document register with owner, approver and review dates</t>
  </si>
</sst>
</file>

<file path=xl/styles.xml><?xml version="1.0" encoding="utf-8"?>
<styleSheet xmlns="http://schemas.openxmlformats.org/spreadsheetml/2006/main">
  <numFmts count="6">
    <numFmt numFmtId="164" formatCode="General"/>
    <numFmt numFmtId="165" formatCode="General"/>
    <numFmt numFmtId="166" formatCode="#,##0"/>
    <numFmt numFmtId="167" formatCode="0"/>
    <numFmt numFmtId="168" formatCode="0.0"/>
    <numFmt numFmtId="169" formatCode="0%"/>
  </numFmts>
  <fonts count="12">
    <font>
      <sz val="11"/>
      <color theme="1"/>
      <name val="Calibri"/>
      <family val="2"/>
      <charset val="1"/>
    </font>
    <font>
      <sz val="10"/>
      <name val="Arial"/>
      <family val="0"/>
    </font>
    <font>
      <sz val="10"/>
      <name val="Arial"/>
      <family val="0"/>
    </font>
    <font>
      <sz val="10"/>
      <name val="Arial"/>
      <family val="0"/>
    </font>
    <font>
      <b val="true"/>
      <sz val="16"/>
      <color rgb="FF13315C"/>
      <name val="Arial"/>
      <family val="0"/>
      <charset val="1"/>
    </font>
    <font>
      <b val="true"/>
      <sz val="10"/>
      <color rgb="FF9C0006"/>
      <name val="Arial"/>
      <family val="0"/>
      <charset val="1"/>
    </font>
    <font>
      <b val="true"/>
      <sz val="10"/>
      <color rgb="FF1F2937"/>
      <name val="Arial"/>
      <family val="0"/>
      <charset val="1"/>
    </font>
    <font>
      <sz val="10"/>
      <color rgb="FF1F2937"/>
      <name val="Arial"/>
      <family val="0"/>
      <charset val="1"/>
    </font>
    <font>
      <b val="true"/>
      <sz val="11"/>
      <color rgb="FF13315C"/>
      <name val="Arial"/>
      <family val="0"/>
      <charset val="1"/>
    </font>
    <font>
      <b val="true"/>
      <sz val="15"/>
      <color rgb="FF13315C"/>
      <name val="Arial"/>
      <family val="0"/>
      <charset val="1"/>
    </font>
    <font>
      <b val="true"/>
      <sz val="10"/>
      <color rgb="FFFFFFFF"/>
      <name val="Arial"/>
      <family val="0"/>
      <charset val="1"/>
    </font>
    <font>
      <i val="true"/>
      <sz val="10"/>
      <color rgb="FF6B7280"/>
      <name val="Arial"/>
      <family val="0"/>
      <charset val="1"/>
    </font>
  </fonts>
  <fills count="8">
    <fill>
      <patternFill patternType="none"/>
    </fill>
    <fill>
      <patternFill patternType="gray125"/>
    </fill>
    <fill>
      <patternFill patternType="solid">
        <fgColor rgb="FFFFF2CC"/>
        <bgColor rgb="FFFFEB9C"/>
      </patternFill>
    </fill>
    <fill>
      <patternFill patternType="solid">
        <fgColor rgb="FFE7E6E6"/>
        <bgColor rgb="FFFFF2CC"/>
      </patternFill>
    </fill>
    <fill>
      <patternFill patternType="solid">
        <fgColor rgb="FFC6EFCE"/>
        <bgColor rgb="FFCCFFFF"/>
      </patternFill>
    </fill>
    <fill>
      <patternFill patternType="solid">
        <fgColor rgb="FFFFEB9C"/>
        <bgColor rgb="FFFFF2CC"/>
      </patternFill>
    </fill>
    <fill>
      <patternFill patternType="solid">
        <fgColor rgb="FFFFC7CE"/>
        <bgColor rgb="FFE7E6E6"/>
      </patternFill>
    </fill>
    <fill>
      <patternFill patternType="solid">
        <fgColor rgb="FF13315C"/>
        <bgColor rgb="FF1F2937"/>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6" fillId="4" borderId="0" xfId="0" applyFont="true" applyBorder="false" applyAlignment="true" applyProtection="false">
      <alignment horizontal="general"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false" indent="0" shrinkToFit="false"/>
      <protection locked="true" hidden="false"/>
    </xf>
    <xf numFmtId="164" fontId="6" fillId="6"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6"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7" fontId="6" fillId="3" borderId="1" xfId="0" applyFont="true" applyBorder="true" applyAlignment="true" applyProtection="false">
      <alignment horizontal="general" vertical="top" textRotation="0" wrapText="true" indent="0" shrinkToFit="false"/>
      <protection locked="true" hidden="false"/>
    </xf>
    <xf numFmtId="168" fontId="6" fillId="3" borderId="1" xfId="0" applyFont="true" applyBorder="true" applyAlignment="true" applyProtection="false">
      <alignment horizontal="general" vertical="top" textRotation="0" wrapText="true" indent="0" shrinkToFit="false"/>
      <protection locked="true" hidden="false"/>
    </xf>
    <xf numFmtId="169" fontId="6" fillId="3"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3315C"/>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E7E6E6"/>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FFEB9C"/>
          <bgColor rgb="FF000000"/>
        </patternFill>
      </fill>
    </dxf>
    <dxf>
      <font>
        <name val="Arial"/>
        <charset val="1"/>
        <family val="0"/>
        <b val="1"/>
        <color rgb="FF9C0006"/>
      </font>
      <fill>
        <patternFill>
          <bgColor rgb="FFFFC7CE"/>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E7E6E6"/>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13315C"/>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0"/>
  </cols>
  <sheetData>
    <row r="1" customFormat="false" ht="19.5" hidden="false" customHeight="true" outlineLevel="0" collapsed="false">
      <c r="A1" s="2" t="inlineStr">
        <is>
          <t xml:space="preserve">CGI-RSK-001 — Master Information Security Risk Register v1.0</t>
        </is>
      </c>
    </row>
    <row r="2" customFormat="false" ht="42" hidden="false" customHeight="true" outlineLevel="0" collapsed="false">
      <c r="A2" s="3" t="inlineStr">
        <is>
          <t xml:space="preserve">SIMULATED CASE STUDY. Cypher Group Inc. is a simulated company. All risks, scores, costs, names and approvals are invented for a GRC portfolio case study. No certification or attestation is claimed.</t>
        </is>
      </c>
      <c r="B2" s="3"/>
    </row>
    <row r="4" customFormat="false" ht="15" hidden="false" customHeight="true" outlineLevel="0" collapsed="false">
      <c r="A4" s="4" t="inlineStr">
        <is>
          <t xml:space="preserve">Method</t>
        </is>
      </c>
      <c r="B4" s="5" t="inlineStr">
        <is>
          <t xml:space="preserve">NIST SP 800-30 Rev. 1, semi-quantitative 5 × 5. Risk score = Likelihood × Impact, calculated inherent and residual.</t>
        </is>
      </c>
    </row>
    <row r="5" customFormat="false" ht="15" hidden="false" customHeight="true" outlineLevel="0" collapsed="false">
      <c r="A5" s="4" t="inlineStr">
        <is>
          <t xml:space="preserve">Register owner</t>
        </is>
      </c>
      <c r="B5" s="5" t="inlineStr">
        <is>
          <t xml:space="preserve">Priya Raman, Chief Technology Officer</t>
        </is>
      </c>
    </row>
    <row r="6" customFormat="false" ht="15" hidden="false" customHeight="true" outlineLevel="0" collapsed="false">
      <c r="A6" s="4" t="inlineStr">
        <is>
          <t xml:space="preserve">Prepared by</t>
        </is>
      </c>
      <c r="B6" s="5" t="inlineStr">
        <is>
          <t xml:space="preserve">O.S, GRC Analyst (engaged)</t>
        </is>
      </c>
    </row>
    <row r="7" customFormat="false" ht="15" hidden="false" customHeight="true" outlineLevel="0" collapsed="false">
      <c r="A7" s="4" t="inlineStr">
        <is>
          <t xml:space="preserve">Approved by</t>
        </is>
      </c>
      <c r="B7" s="5" t="inlineStr">
        <is>
          <t xml:space="preserve">Jerry Olugboye, Chief Executive Officer — 08 September 2026</t>
        </is>
      </c>
    </row>
    <row r="8" customFormat="false" ht="15" hidden="false" customHeight="true" outlineLevel="0" collapsed="false">
      <c r="A8" s="4" t="inlineStr">
        <is>
          <t xml:space="preserve">Cross-references</t>
        </is>
      </c>
      <c r="B8" s="5" t="inlineStr">
        <is>
          <t xml:space="preserve">Every mitigating control cites a clause in CGI-POL-001 to CGI-POL-005 (Project 01).</t>
        </is>
      </c>
    </row>
    <row r="9" customFormat="false" ht="15" hidden="false" customHeight="true" outlineLevel="0" collapsed="false">
      <c r="A9" s="4" t="inlineStr">
        <is>
          <t xml:space="preserve">Rule</t>
        </is>
      </c>
      <c r="B9" s="5" t="inlineStr">
        <is>
          <t xml:space="preserve">I score the control that is operating, not the control that is written.</t>
        </is>
      </c>
    </row>
    <row r="11" customFormat="false" ht="15" hidden="false" customHeight="true" outlineLevel="0" collapsed="false">
      <c r="A11" s="6" t="inlineStr">
        <is>
          <t xml:space="preserve">SHEETS</t>
        </is>
      </c>
      <c r="B11" s="5"/>
    </row>
    <row r="12" customFormat="false" ht="15" hidden="false" customHeight="true" outlineLevel="0" collapsed="false">
      <c r="A12" s="4" t="inlineStr">
        <is>
          <t xml:space="preserve">01_Scales</t>
        </is>
      </c>
      <c r="B12" s="5" t="inlineStr">
        <is>
          <t xml:space="preserve">Anchored likelihood and impact scales, rating thresholds and treatment definitions.</t>
        </is>
      </c>
    </row>
    <row r="13" customFormat="false" ht="23.25" hidden="false" customHeight="true" outlineLevel="0" collapsed="false">
      <c r="A13" s="4" t="inlineStr">
        <is>
          <t xml:space="preserve">02_Register</t>
        </is>
      </c>
      <c r="B13" s="5" t="inlineStr">
        <is>
          <t xml:space="preserve">The register. Columns A–L are the mandated 12 columns in the required order; M–P are governance columns added after them. Scores and ratings are formulas.</t>
        </is>
      </c>
    </row>
    <row r="14" customFormat="false" ht="15" hidden="false" customHeight="true" outlineLevel="0" collapsed="false">
      <c r="A14" s="4" t="inlineStr">
        <is>
          <t xml:space="preserve">03_Residual_Rationale</t>
        </is>
      </c>
      <c r="B14" s="5" t="inlineStr">
        <is>
          <t xml:space="preserve">Why each residual score is what it is.</t>
        </is>
      </c>
    </row>
    <row r="15" customFormat="false" ht="15" hidden="false" customHeight="true" outlineLevel="0" collapsed="false">
      <c r="A15" s="4" t="inlineStr">
        <is>
          <t xml:space="preserve">04_Treatment_Plan</t>
        </is>
      </c>
      <c r="B15" s="5" t="inlineStr">
        <is>
          <t xml:space="preserve">TP-01 to TP-10 with cost, owner and target residual. Totals are formulas.</t>
        </is>
      </c>
    </row>
    <row r="16" customFormat="false" ht="15" hidden="false" customHeight="true" outlineLevel="0" collapsed="false">
      <c r="A16" s="4" t="inlineStr">
        <is>
          <t xml:space="preserve">05_Accept_Avoid</t>
        </is>
      </c>
      <c r="B16" s="5" t="inlineStr">
        <is>
          <t xml:space="preserve">ACC-001 formal acceptance and AVD-001 avoidance by design.</t>
        </is>
      </c>
    </row>
    <row r="17" customFormat="false" ht="15" hidden="false" customHeight="true" outlineLevel="0" collapsed="false">
      <c r="A17" s="4" t="inlineStr">
        <is>
          <t xml:space="preserve">06_Control_Gaps</t>
        </is>
      </c>
      <c r="B17" s="5" t="inlineStr">
        <is>
          <t xml:space="preserve">CG-01 to CG-05 — what the policy pack does not cover.</t>
        </is>
      </c>
    </row>
    <row r="18" customFormat="false" ht="15" hidden="false" customHeight="true" outlineLevel="0" collapsed="false">
      <c r="A18" s="4" t="inlineStr">
        <is>
          <t xml:space="preserve">07_KRIs</t>
        </is>
      </c>
      <c r="B18" s="5" t="inlineStr">
        <is>
          <t xml:space="preserve">Seven key risk indicators with green / amber / red thresholds.</t>
        </is>
      </c>
    </row>
    <row r="19" customFormat="false" ht="15" hidden="false" customHeight="true" outlineLevel="0" collapsed="false">
      <c r="A19" s="4" t="inlineStr">
        <is>
          <t xml:space="preserve">08_Summary</t>
        </is>
      </c>
      <c r="B19" s="5" t="inlineStr">
        <is>
          <t xml:space="preserve">Register summary — every figure is a formula over 02_Register and 04_Treatment_Plan.</t>
        </is>
      </c>
    </row>
    <row r="20" customFormat="false" ht="15" hidden="false" customHeight="true" outlineLevel="0" collapsed="false">
      <c r="A20" s="4" t="inlineStr">
        <is>
          <t xml:space="preserve">09_Issue_Checklist</t>
        </is>
      </c>
      <c r="B20" s="5" t="inlineStr">
        <is>
          <t xml:space="preserve">Quality checks performed before issue.</t>
        </is>
      </c>
    </row>
    <row r="22" customFormat="false" ht="15" hidden="false" customHeight="true" outlineLevel="0" collapsed="false">
      <c r="A22" s="6" t="inlineStr">
        <is>
          <t xml:space="preserve">COLOUR LEGEND</t>
        </is>
      </c>
      <c r="B22" s="5"/>
    </row>
    <row r="23" customFormat="false" ht="15" hidden="false" customHeight="true" outlineLevel="0" collapsed="false">
      <c r="A23" s="7" t="inlineStr">
        <is>
          <t xml:space="preserve">Yellow cell</t>
        </is>
      </c>
      <c r="B23" s="5" t="inlineStr">
        <is>
          <t xml:space="preserve">Input — type or choose here</t>
        </is>
      </c>
    </row>
    <row r="24" customFormat="false" ht="15" hidden="false" customHeight="true" outlineLevel="0" collapsed="false">
      <c r="A24" s="8" t="inlineStr">
        <is>
          <t xml:space="preserve">Grey cell</t>
        </is>
      </c>
      <c r="B24" s="5" t="inlineStr">
        <is>
          <t xml:space="preserve">Formula — do not overwrite</t>
        </is>
      </c>
    </row>
    <row r="25" customFormat="false" ht="15" hidden="false" customHeight="true" outlineLevel="0" collapsed="false">
      <c r="A25" s="9" t="inlineStr">
        <is>
          <t xml:space="preserve">Green</t>
        </is>
      </c>
      <c r="B25" s="5" t="inlineStr">
        <is>
          <t xml:space="preserve">Pass / compliant / low</t>
        </is>
      </c>
    </row>
    <row r="26" customFormat="false" ht="15" hidden="false" customHeight="true" outlineLevel="0" collapsed="false">
      <c r="A26" s="10" t="inlineStr">
        <is>
          <t xml:space="preserve">Amber</t>
        </is>
      </c>
      <c r="B26" s="5" t="inlineStr">
        <is>
          <t xml:space="preserve">Partial / condition / medium</t>
        </is>
      </c>
    </row>
    <row r="27" customFormat="false" ht="15" hidden="false" customHeight="true" outlineLevel="0" collapsed="false">
      <c r="A27" s="11" t="inlineStr">
        <is>
          <t xml:space="preserve">Red</t>
        </is>
      </c>
      <c r="B27" s="5" t="inlineStr">
        <is>
          <t xml:space="preserve">Fail / non-compliant / high or critical</t>
        </is>
      </c>
    </row>
    <row r="29" customFormat="false" ht="15" hidden="false" customHeight="true" outlineLevel="0" collapsed="false">
      <c r="A29" s="6" t="inlineStr">
        <is>
          <t xml:space="preserve">PUBLISHING</t>
        </is>
      </c>
      <c r="B29" s="5"/>
    </row>
    <row r="30" customFormat="false" ht="15" hidden="false" customHeight="true" outlineLevel="0" collapsed="false">
      <c r="A30" s="4" t="inlineStr">
        <is>
          <t xml:space="preserve">GitHub</t>
        </is>
      </c>
      <c r="B30" s="5" t="inlineStr">
        <is>
          <t xml:space="preserve">Upload this .xlsx next to its .md file. GitHub cannot preview .xlsx, so the project README links to it as a download.</t>
        </is>
      </c>
    </row>
    <row r="31" customFormat="false" ht="15" hidden="false" customHeight="true" outlineLevel="0" collapsed="false">
      <c r="A31" s="4" t="inlineStr">
        <is>
          <t xml:space="preserve">Notion</t>
        </is>
      </c>
      <c r="B31" s="5" t="inlineStr">
        <is>
          <t xml:space="preserve">Import the matching CSV files from the data/ folder (Settings → Import → CSV) for sortable databases.</t>
        </is>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18"/>
    <col collapsed="false" customWidth="true" hidden="false" outlineLevel="0" max="4" min="4" style="1" width="34"/>
    <col collapsed="false" customWidth="true" hidden="false" outlineLevel="0" max="5" min="5" style="1" width="60"/>
    <col collapsed="false" customWidth="true" hidden="false" outlineLevel="0" max="7" min="6" style="1" width="30"/>
  </cols>
  <sheetData>
    <row r="1" customFormat="false" ht="18" hidden="false" customHeight="true" outlineLevel="0" collapsed="false">
      <c r="A1" s="12" t="s">
        <v>49</v>
      </c>
    </row>
    <row r="3" customFormat="false" ht="33.75" hidden="false" customHeight="true" outlineLevel="0" collapsed="false">
      <c r="A3" s="13" t="s">
        <v>50</v>
      </c>
      <c r="B3" s="13" t="s">
        <v>51</v>
      </c>
      <c r="C3" s="13" t="s">
        <v>52</v>
      </c>
      <c r="D3" s="13" t="s">
        <v>53</v>
      </c>
      <c r="E3" s="13" t="s">
        <v>54</v>
      </c>
    </row>
    <row r="4" customFormat="false" ht="23.25" hidden="false" customHeight="true" outlineLevel="0" collapsed="false">
      <c r="A4" s="14" t="s">
        <v>55</v>
      </c>
      <c r="B4" s="14" t="s">
        <v>56</v>
      </c>
      <c r="C4" s="14" t="s">
        <v>57</v>
      </c>
      <c r="D4" s="14" t="s">
        <v>58</v>
      </c>
      <c r="E4" s="14" t="s">
        <v>59</v>
      </c>
    </row>
    <row r="5" customFormat="false" ht="23.25" hidden="false" customHeight="true" outlineLevel="0" collapsed="false">
      <c r="A5" s="14" t="s">
        <v>60</v>
      </c>
      <c r="B5" s="14" t="s">
        <v>61</v>
      </c>
      <c r="C5" s="14" t="s">
        <v>62</v>
      </c>
      <c r="D5" s="14" t="s">
        <v>63</v>
      </c>
      <c r="E5" s="14" t="s">
        <v>64</v>
      </c>
    </row>
    <row r="6" customFormat="false" ht="23.25" hidden="false" customHeight="true" outlineLevel="0" collapsed="false">
      <c r="A6" s="14" t="s">
        <v>65</v>
      </c>
      <c r="B6" s="14" t="s">
        <v>66</v>
      </c>
      <c r="C6" s="14" t="s">
        <v>67</v>
      </c>
      <c r="D6" s="14" t="s">
        <v>68</v>
      </c>
      <c r="E6" s="14" t="s">
        <v>69</v>
      </c>
    </row>
    <row r="7" customFormat="false" ht="15" hidden="false" customHeight="true" outlineLevel="0" collapsed="false">
      <c r="A7" s="14" t="s">
        <v>70</v>
      </c>
      <c r="B7" s="14" t="s">
        <v>71</v>
      </c>
      <c r="C7" s="14" t="s">
        <v>72</v>
      </c>
      <c r="D7" s="14" t="s">
        <v>73</v>
      </c>
      <c r="E7" s="14" t="s">
        <v>74</v>
      </c>
    </row>
    <row r="8" customFormat="false" ht="23.25" hidden="false" customHeight="true" outlineLevel="0" collapsed="false">
      <c r="A8" s="14" t="s">
        <v>75</v>
      </c>
      <c r="B8" s="14" t="s">
        <v>76</v>
      </c>
      <c r="C8" s="14" t="s">
        <v>77</v>
      </c>
      <c r="D8" s="14" t="s">
        <v>78</v>
      </c>
      <c r="E8" s="14" t="s">
        <v>79</v>
      </c>
    </row>
    <row r="11" customFormat="false" ht="33.75" hidden="false" customHeight="true" outlineLevel="0" collapsed="false">
      <c r="A11" s="13" t="s">
        <v>50</v>
      </c>
      <c r="B11" s="13" t="s">
        <v>51</v>
      </c>
      <c r="C11" s="13" t="s">
        <v>80</v>
      </c>
      <c r="D11" s="13" t="s">
        <v>81</v>
      </c>
      <c r="E11" s="13" t="s">
        <v>82</v>
      </c>
      <c r="F11" s="13" t="s">
        <v>83</v>
      </c>
      <c r="G11" s="13" t="s">
        <v>84</v>
      </c>
    </row>
    <row r="12" customFormat="false" ht="23.25" hidden="false" customHeight="true" outlineLevel="0" collapsed="false">
      <c r="A12" s="14" t="s">
        <v>55</v>
      </c>
      <c r="B12" s="14" t="s">
        <v>85</v>
      </c>
      <c r="C12" s="14" t="s">
        <v>86</v>
      </c>
      <c r="D12" s="14" t="s">
        <v>87</v>
      </c>
      <c r="E12" s="14" t="s">
        <v>88</v>
      </c>
      <c r="F12" s="14" t="s">
        <v>89</v>
      </c>
      <c r="G12" s="14" t="s">
        <v>90</v>
      </c>
    </row>
    <row r="13" customFormat="false" ht="23.25" hidden="false" customHeight="true" outlineLevel="0" collapsed="false">
      <c r="A13" s="14" t="s">
        <v>60</v>
      </c>
      <c r="B13" s="14" t="s">
        <v>91</v>
      </c>
      <c r="C13" s="14" t="s">
        <v>92</v>
      </c>
      <c r="D13" s="14" t="s">
        <v>93</v>
      </c>
      <c r="E13" s="14" t="s">
        <v>94</v>
      </c>
      <c r="F13" s="14" t="s">
        <v>95</v>
      </c>
      <c r="G13" s="14" t="s">
        <v>96</v>
      </c>
    </row>
    <row r="14" customFormat="false" ht="23.25" hidden="false" customHeight="true" outlineLevel="0" collapsed="false">
      <c r="A14" s="14" t="s">
        <v>65</v>
      </c>
      <c r="B14" s="14" t="s">
        <v>97</v>
      </c>
      <c r="C14" s="14" t="s">
        <v>98</v>
      </c>
      <c r="D14" s="14" t="s">
        <v>99</v>
      </c>
      <c r="E14" s="14" t="s">
        <v>100</v>
      </c>
      <c r="F14" s="14" t="s">
        <v>101</v>
      </c>
      <c r="G14" s="14" t="s">
        <v>102</v>
      </c>
    </row>
    <row r="15" customFormat="false" ht="34.5" hidden="false" customHeight="true" outlineLevel="0" collapsed="false">
      <c r="A15" s="14" t="s">
        <v>70</v>
      </c>
      <c r="B15" s="14" t="s">
        <v>103</v>
      </c>
      <c r="C15" s="14" t="s">
        <v>104</v>
      </c>
      <c r="D15" s="14" t="s">
        <v>105</v>
      </c>
      <c r="E15" s="14" t="s">
        <v>106</v>
      </c>
      <c r="F15" s="14" t="s">
        <v>107</v>
      </c>
      <c r="G15" s="14" t="s">
        <v>108</v>
      </c>
    </row>
    <row r="16" customFormat="false" ht="23.25" hidden="false" customHeight="true" outlineLevel="0" collapsed="false">
      <c r="A16" s="14" t="s">
        <v>75</v>
      </c>
      <c r="B16" s="14" t="s">
        <v>109</v>
      </c>
      <c r="C16" s="14" t="s">
        <v>110</v>
      </c>
      <c r="D16" s="14" t="s">
        <v>111</v>
      </c>
      <c r="E16" s="14" t="s">
        <v>112</v>
      </c>
      <c r="F16" s="14" t="s">
        <v>113</v>
      </c>
      <c r="G16" s="14" t="s">
        <v>114</v>
      </c>
    </row>
    <row r="19" customFormat="false" ht="33.75" hidden="false" customHeight="true" outlineLevel="0" collapsed="false">
      <c r="A19" s="13" t="s">
        <v>115</v>
      </c>
      <c r="B19" s="13" t="s">
        <v>116</v>
      </c>
      <c r="C19" s="13" t="s">
        <v>117</v>
      </c>
      <c r="D19" s="13" t="s">
        <v>118</v>
      </c>
      <c r="E19" s="13" t="s">
        <v>119</v>
      </c>
    </row>
    <row r="20" customFormat="false" ht="34.5" hidden="false" customHeight="true" outlineLevel="0" collapsed="false">
      <c r="A20" s="14" t="s">
        <v>120</v>
      </c>
      <c r="B20" s="14" t="s">
        <v>121</v>
      </c>
      <c r="C20" s="14" t="s">
        <v>122</v>
      </c>
      <c r="D20" s="14" t="s">
        <v>123</v>
      </c>
      <c r="E20" s="14" t="s">
        <v>124</v>
      </c>
    </row>
    <row r="21" customFormat="false" ht="34.5" hidden="false" customHeight="true" outlineLevel="0" collapsed="false">
      <c r="A21" s="14" t="s">
        <v>125</v>
      </c>
      <c r="B21" s="14" t="s">
        <v>126</v>
      </c>
      <c r="C21" s="14" t="s">
        <v>127</v>
      </c>
      <c r="D21" s="14" t="s">
        <v>128</v>
      </c>
      <c r="E21" s="14" t="s">
        <v>129</v>
      </c>
    </row>
    <row r="22" customFormat="false" ht="34.5" hidden="false" customHeight="true" outlineLevel="0" collapsed="false">
      <c r="A22" s="14" t="s">
        <v>130</v>
      </c>
      <c r="B22" s="14" t="s">
        <v>131</v>
      </c>
      <c r="C22" s="14" t="s">
        <v>132</v>
      </c>
      <c r="D22" s="14" t="s">
        <v>133</v>
      </c>
      <c r="E22" s="14" t="s">
        <v>134</v>
      </c>
    </row>
    <row r="23" customFormat="false" ht="45.75" hidden="false" customHeight="true" outlineLevel="0" collapsed="false">
      <c r="A23" s="14" t="s">
        <v>135</v>
      </c>
      <c r="B23" s="14" t="s">
        <v>136</v>
      </c>
      <c r="C23" s="14" t="s">
        <v>137</v>
      </c>
      <c r="D23" s="14" t="s">
        <v>138</v>
      </c>
      <c r="E23" s="14" t="s">
        <v>139</v>
      </c>
    </row>
    <row r="26" customFormat="false" ht="33.75" hidden="false" customHeight="true" outlineLevel="0" collapsed="false">
      <c r="A26" s="13" t="s">
        <v>140</v>
      </c>
      <c r="B26" s="13" t="s">
        <v>141</v>
      </c>
      <c r="C26" s="13" t="s">
        <v>142</v>
      </c>
    </row>
    <row r="27" customFormat="false" ht="57" hidden="false" customHeight="true" outlineLevel="0" collapsed="false">
      <c r="A27" s="14" t="s">
        <v>143</v>
      </c>
      <c r="B27" s="14" t="s">
        <v>144</v>
      </c>
      <c r="C27" s="14" t="s">
        <v>145</v>
      </c>
    </row>
    <row r="28" customFormat="false" ht="113.25" hidden="false" customHeight="true" outlineLevel="0" collapsed="false">
      <c r="A28" s="14" t="s">
        <v>146</v>
      </c>
      <c r="B28" s="14" t="s">
        <v>147</v>
      </c>
      <c r="C28" s="14" t="s">
        <v>148</v>
      </c>
    </row>
    <row r="29" customFormat="false" ht="45.75" hidden="false" customHeight="true" outlineLevel="0" collapsed="false">
      <c r="A29" s="14" t="s">
        <v>149</v>
      </c>
      <c r="B29" s="14" t="s">
        <v>150</v>
      </c>
      <c r="C29" s="14" t="s">
        <v>151</v>
      </c>
    </row>
    <row r="30" customFormat="false" ht="90.75" hidden="false" customHeight="true" outlineLevel="0" collapsed="false">
      <c r="A30" s="14" t="s">
        <v>152</v>
      </c>
      <c r="B30" s="14" t="s">
        <v>153</v>
      </c>
      <c r="C30" s="14"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45"/>
    <col collapsed="false" customWidth="true" hidden="false" outlineLevel="0" max="3" min="3" style="1" width="55"/>
    <col collapsed="false" customWidth="true" hidden="false" outlineLevel="0" max="5" min="4" style="1" width="11"/>
    <col collapsed="false" customWidth="true" hidden="false" outlineLevel="0" max="6" min="6" style="1" width="13"/>
    <col collapsed="false" customWidth="true" hidden="false" outlineLevel="0" max="7" min="7" style="1" width="70"/>
    <col collapsed="false" customWidth="true" hidden="false" outlineLevel="0" max="9" min="8" style="1" width="11"/>
    <col collapsed="false" customWidth="true" hidden="false" outlineLevel="0" max="10" min="10" style="1" width="13"/>
    <col collapsed="false" customWidth="true" hidden="false" outlineLevel="0" max="11" min="11" style="1" width="16"/>
    <col collapsed="false" customWidth="true" hidden="false" outlineLevel="0" max="12" min="12" style="1" width="22"/>
    <col collapsed="false" customWidth="true" hidden="false" outlineLevel="0" max="14" min="13" style="1" width="13"/>
    <col collapsed="false" customWidth="true" hidden="false" outlineLevel="0" max="15" min="15" style="1" width="11"/>
    <col collapsed="false" customWidth="true" hidden="false" outlineLevel="0" max="16" min="16" style="1" width="30"/>
  </cols>
  <sheetData>
    <row r="1" customFormat="false" ht="33.75" hidden="false" customHeight="true" outlineLevel="0" collapsed="false">
      <c r="A1" s="13" t="s">
        <v>155</v>
      </c>
      <c r="B1" s="13" t="s">
        <v>156</v>
      </c>
      <c r="C1" s="13" t="s">
        <v>157</v>
      </c>
      <c r="D1" s="13" t="s">
        <v>158</v>
      </c>
      <c r="E1" s="13" t="s">
        <v>159</v>
      </c>
      <c r="F1" s="13" t="s">
        <v>160</v>
      </c>
      <c r="G1" s="13" t="s">
        <v>161</v>
      </c>
      <c r="H1" s="13" t="s">
        <v>162</v>
      </c>
      <c r="I1" s="13" t="s">
        <v>163</v>
      </c>
      <c r="J1" s="13" t="s">
        <v>164</v>
      </c>
      <c r="K1" s="13" t="s">
        <v>165</v>
      </c>
      <c r="L1" s="13" t="s">
        <v>166</v>
      </c>
      <c r="M1" s="13" t="s">
        <v>167</v>
      </c>
      <c r="N1" s="13" t="s">
        <v>168</v>
      </c>
      <c r="O1" s="13" t="s">
        <v>169</v>
      </c>
      <c r="P1" s="13" t="s">
        <v>170</v>
      </c>
    </row>
    <row r="2" customFormat="false" ht="259.5" hidden="false" customHeight="true" outlineLevel="0" collapsed="false">
      <c r="A2" s="14" t="s">
        <v>171</v>
      </c>
      <c r="B2" s="14" t="s">
        <v>172</v>
      </c>
      <c r="C2" s="14" t="s">
        <v>173</v>
      </c>
      <c r="D2" s="15" t="n">
        <v>5</v>
      </c>
      <c r="E2" s="15" t="n">
        <v>4</v>
      </c>
      <c r="F2" s="16" t="n">
        <f aca="false">D2*E2</f>
        <v>20</v>
      </c>
      <c r="G2" s="14" t="s">
        <v>174</v>
      </c>
      <c r="H2" s="15" t="n">
        <v>2</v>
      </c>
      <c r="I2" s="15" t="n">
        <v>3</v>
      </c>
      <c r="J2" s="16" t="n">
        <f aca="false">H2*I2</f>
        <v>6</v>
      </c>
      <c r="K2" s="15" t="s">
        <v>143</v>
      </c>
      <c r="L2" s="15" t="s">
        <v>175</v>
      </c>
      <c r="M2" s="17" t="str">
        <f aca="false">IF(F2="","",IF(F2&gt;=15,"Critical",IF(F2&gt;=10,"High",IF(F2&gt;=5,"Medium","Low"))))</f>
        <v>Critical</v>
      </c>
      <c r="N2" s="17" t="str">
        <f aca="false">IF(J2="","",IF(J2&gt;=15,"Critical",IF(J2&gt;=10,"High",IF(J2&gt;=5,"Medium","Low"))))</f>
        <v>Medium</v>
      </c>
      <c r="O2" s="16" t="n">
        <f aca="false">F2-J2</f>
        <v>14</v>
      </c>
      <c r="P2" s="15" t="s">
        <v>128</v>
      </c>
    </row>
    <row r="3" customFormat="false" ht="259.5" hidden="false" customHeight="true" outlineLevel="0" collapsed="false">
      <c r="A3" s="14" t="s">
        <v>176</v>
      </c>
      <c r="B3" s="14" t="s">
        <v>177</v>
      </c>
      <c r="C3" s="14" t="s">
        <v>178</v>
      </c>
      <c r="D3" s="15" t="n">
        <v>4</v>
      </c>
      <c r="E3" s="15" t="n">
        <v>5</v>
      </c>
      <c r="F3" s="16" t="n">
        <f aca="false">D3*E3</f>
        <v>20</v>
      </c>
      <c r="G3" s="14" t="s">
        <v>179</v>
      </c>
      <c r="H3" s="15" t="n">
        <v>2</v>
      </c>
      <c r="I3" s="15" t="n">
        <v>4</v>
      </c>
      <c r="J3" s="16" t="n">
        <f aca="false">H3*I3</f>
        <v>8</v>
      </c>
      <c r="K3" s="15" t="s">
        <v>180</v>
      </c>
      <c r="L3" s="15" t="s">
        <v>175</v>
      </c>
      <c r="M3" s="17" t="str">
        <f aca="false">IF(F3="","",IF(F3&gt;=15,"Critical",IF(F3&gt;=10,"High",IF(F3&gt;=5,"Medium","Low"))))</f>
        <v>Critical</v>
      </c>
      <c r="N3" s="17" t="str">
        <f aca="false">IF(J3="","",IF(J3&gt;=15,"Critical",IF(J3&gt;=10,"High",IF(J3&gt;=5,"Medium","Low"))))</f>
        <v>Medium</v>
      </c>
      <c r="O3" s="16" t="n">
        <f aca="false">F3-J3</f>
        <v>12</v>
      </c>
      <c r="P3" s="15" t="s">
        <v>128</v>
      </c>
    </row>
    <row r="4" customFormat="false" ht="259.5" hidden="false" customHeight="true" outlineLevel="0" collapsed="false">
      <c r="A4" s="14" t="s">
        <v>181</v>
      </c>
      <c r="B4" s="14" t="s">
        <v>182</v>
      </c>
      <c r="C4" s="14" t="s">
        <v>183</v>
      </c>
      <c r="D4" s="15" t="n">
        <v>3</v>
      </c>
      <c r="E4" s="15" t="n">
        <v>4</v>
      </c>
      <c r="F4" s="16" t="n">
        <f aca="false">D4*E4</f>
        <v>12</v>
      </c>
      <c r="G4" s="14" t="s">
        <v>184</v>
      </c>
      <c r="H4" s="15" t="n">
        <v>2</v>
      </c>
      <c r="I4" s="15" t="n">
        <v>3</v>
      </c>
      <c r="J4" s="16" t="n">
        <f aca="false">H4*I4</f>
        <v>6</v>
      </c>
      <c r="K4" s="15" t="s">
        <v>143</v>
      </c>
      <c r="L4" s="15" t="s">
        <v>185</v>
      </c>
      <c r="M4" s="17" t="str">
        <f aca="false">IF(F4="","",IF(F4&gt;=15,"Critical",IF(F4&gt;=10,"High",IF(F4&gt;=5,"Medium","Low"))))</f>
        <v>High</v>
      </c>
      <c r="N4" s="17" t="str">
        <f aca="false">IF(J4="","",IF(J4&gt;=15,"Critical",IF(J4&gt;=10,"High",IF(J4&gt;=5,"Medium","Low"))))</f>
        <v>Medium</v>
      </c>
      <c r="O4" s="16" t="n">
        <f aca="false">F4-J4</f>
        <v>6</v>
      </c>
      <c r="P4" s="15" t="s">
        <v>186</v>
      </c>
    </row>
    <row r="5" customFormat="false" ht="259.5" hidden="false" customHeight="true" outlineLevel="0" collapsed="false">
      <c r="A5" s="14" t="s">
        <v>187</v>
      </c>
      <c r="B5" s="14" t="s">
        <v>188</v>
      </c>
      <c r="C5" s="14" t="s">
        <v>189</v>
      </c>
      <c r="D5" s="15" t="n">
        <v>4</v>
      </c>
      <c r="E5" s="15" t="n">
        <v>5</v>
      </c>
      <c r="F5" s="16" t="n">
        <f aca="false">D5*E5</f>
        <v>20</v>
      </c>
      <c r="G5" s="14" t="s">
        <v>190</v>
      </c>
      <c r="H5" s="15" t="n">
        <v>3</v>
      </c>
      <c r="I5" s="15" t="n">
        <v>4</v>
      </c>
      <c r="J5" s="16" t="n">
        <f aca="false">H5*I5</f>
        <v>12</v>
      </c>
      <c r="K5" s="15" t="s">
        <v>143</v>
      </c>
      <c r="L5" s="15" t="s">
        <v>128</v>
      </c>
      <c r="M5" s="17" t="str">
        <f aca="false">IF(F5="","",IF(F5&gt;=15,"Critical",IF(F5&gt;=10,"High",IF(F5&gt;=5,"Medium","Low"))))</f>
        <v>Critical</v>
      </c>
      <c r="N5" s="17" t="str">
        <f aca="false">IF(J5="","",IF(J5&gt;=15,"Critical",IF(J5&gt;=10,"High",IF(J5&gt;=5,"Medium","Low"))))</f>
        <v>High</v>
      </c>
      <c r="O5" s="16" t="n">
        <f aca="false">F5-J5</f>
        <v>8</v>
      </c>
      <c r="P5" s="15" t="s">
        <v>128</v>
      </c>
    </row>
    <row r="6" customFormat="false" ht="259.5" hidden="false" customHeight="true" outlineLevel="0" collapsed="false">
      <c r="A6" s="14" t="s">
        <v>191</v>
      </c>
      <c r="B6" s="14" t="s">
        <v>192</v>
      </c>
      <c r="C6" s="14" t="s">
        <v>193</v>
      </c>
      <c r="D6" s="15" t="n">
        <v>4</v>
      </c>
      <c r="E6" s="15" t="n">
        <v>5</v>
      </c>
      <c r="F6" s="16" t="n">
        <f aca="false">D6*E6</f>
        <v>20</v>
      </c>
      <c r="G6" s="14" t="s">
        <v>194</v>
      </c>
      <c r="H6" s="15" t="n">
        <v>3</v>
      </c>
      <c r="I6" s="15" t="n">
        <v>4</v>
      </c>
      <c r="J6" s="16" t="n">
        <f aca="false">H6*I6</f>
        <v>12</v>
      </c>
      <c r="K6" s="15" t="s">
        <v>143</v>
      </c>
      <c r="L6" s="15" t="s">
        <v>128</v>
      </c>
      <c r="M6" s="17" t="str">
        <f aca="false">IF(F6="","",IF(F6&gt;=15,"Critical",IF(F6&gt;=10,"High",IF(F6&gt;=5,"Medium","Low"))))</f>
        <v>Critical</v>
      </c>
      <c r="N6" s="17" t="str">
        <f aca="false">IF(J6="","",IF(J6&gt;=15,"Critical",IF(J6&gt;=10,"High",IF(J6&gt;=5,"Medium","Low"))))</f>
        <v>High</v>
      </c>
      <c r="O6" s="16" t="n">
        <f aca="false">F6-J6</f>
        <v>8</v>
      </c>
      <c r="P6" s="15" t="s">
        <v>128</v>
      </c>
    </row>
  </sheetData>
  <autoFilter ref="A1:P6"/>
  <conditionalFormatting sqref="M2:N6">
    <cfRule type="cellIs" priority="2" operator="equal" aboveAverage="0" equalAverage="0" bottom="0" percent="0" rank="0" text="" dxfId="9">
      <formula>"Critical"</formula>
    </cfRule>
    <cfRule type="cellIs" priority="3" operator="equal" aboveAverage="0" equalAverage="0" bottom="0" percent="0" rank="0" text="" dxfId="10">
      <formula>"High"</formula>
    </cfRule>
    <cfRule type="cellIs" priority="4" operator="equal" aboveAverage="0" equalAverage="0" bottom="0" percent="0" rank="0" text="" dxfId="11">
      <formula>"Medium"</formula>
    </cfRule>
    <cfRule type="cellIs" priority="5" operator="equal" aboveAverage="0" equalAverage="0" bottom="0" percent="0" rank="0" text="" dxfId="12">
      <formula>"Low"</formula>
    </cfRule>
  </conditionalFormatting>
  <dataValidations count="2">
    <dataValidation allowBlank="true" error="Enter a whole number from 1 to 5." errorStyle="stop" errorTitle="Out of range" operator="between" showDropDown="false" showErrorMessage="true" showInputMessage="false" sqref="D2:E6 H2:I6" type="whole">
      <formula1>1</formula1>
      <formula2>5</formula2>
    </dataValidation>
    <dataValidation allowBlank="true" error="Pick a value from the dropdown." errorStyle="stop" errorTitle="Use a listed value" operator="between" showDropDown="false" showErrorMessage="true" showInputMessage="false" sqref="K2:K6" type="list">
      <formula1>"Mitigate,Transfer,Avoid,Accept,Mitigate + Transfer"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0"/>
    <col collapsed="false" customWidth="true" hidden="false" outlineLevel="0" max="3" min="3" style="1" width="11"/>
    <col collapsed="false" customWidth="true" hidden="false" outlineLevel="0" max="4" min="4" style="1" width="10"/>
    <col collapsed="false" customWidth="true" hidden="false" outlineLevel="0" max="6" min="5" style="1" width="11"/>
    <col collapsed="false" customWidth="true" hidden="false" outlineLevel="0" max="7" min="7" style="1" width="30"/>
    <col collapsed="false" customWidth="true" hidden="false" outlineLevel="0" max="8" min="8" style="1" width="110"/>
  </cols>
  <sheetData>
    <row r="1" customFormat="false" ht="33.75" hidden="false" customHeight="true" outlineLevel="0" collapsed="false">
      <c r="A1" s="13" t="s">
        <v>155</v>
      </c>
      <c r="B1" s="13" t="s">
        <v>195</v>
      </c>
      <c r="C1" s="13" t="s">
        <v>116</v>
      </c>
      <c r="D1" s="13" t="s">
        <v>196</v>
      </c>
      <c r="E1" s="13" t="s">
        <v>116</v>
      </c>
      <c r="F1" s="13" t="s">
        <v>197</v>
      </c>
      <c r="G1" s="13" t="s">
        <v>198</v>
      </c>
      <c r="H1" s="13" t="s">
        <v>199</v>
      </c>
    </row>
    <row r="2" customFormat="false" ht="199.5" hidden="false" customHeight="true" outlineLevel="0" collapsed="false">
      <c r="A2" s="14" t="s">
        <v>171</v>
      </c>
      <c r="B2" s="16" t="n">
        <f aca="false">02_Register!F2</f>
        <v>20</v>
      </c>
      <c r="C2" s="17" t="str">
        <f aca="false">02_Register!M2</f>
        <v>Critical</v>
      </c>
      <c r="D2" s="16" t="n">
        <f aca="false">02_Register!J2</f>
        <v>6</v>
      </c>
      <c r="E2" s="16" t="str">
        <f aca="false">02_Register!N2</f>
        <v>Medium</v>
      </c>
      <c r="F2" s="16" t="n">
        <f aca="false">D2-B2</f>
        <v>-14</v>
      </c>
      <c r="G2" s="14" t="s">
        <v>128</v>
      </c>
      <c r="H2" s="14" t="s">
        <v>200</v>
      </c>
    </row>
    <row r="3" customFormat="false" ht="199.5" hidden="false" customHeight="true" outlineLevel="0" collapsed="false">
      <c r="A3" s="14" t="s">
        <v>176</v>
      </c>
      <c r="B3" s="16" t="n">
        <f aca="false">02_Register!F3</f>
        <v>20</v>
      </c>
      <c r="C3" s="17" t="str">
        <f aca="false">02_Register!M3</f>
        <v>Critical</v>
      </c>
      <c r="D3" s="16" t="n">
        <f aca="false">02_Register!J3</f>
        <v>8</v>
      </c>
      <c r="E3" s="16" t="str">
        <f aca="false">02_Register!N3</f>
        <v>Medium</v>
      </c>
      <c r="F3" s="16" t="n">
        <f aca="false">D3-B3</f>
        <v>-12</v>
      </c>
      <c r="G3" s="14" t="s">
        <v>128</v>
      </c>
      <c r="H3" s="14" t="s">
        <v>201</v>
      </c>
    </row>
    <row r="4" customFormat="false" ht="199.5" hidden="false" customHeight="true" outlineLevel="0" collapsed="false">
      <c r="A4" s="14" t="s">
        <v>181</v>
      </c>
      <c r="B4" s="16" t="n">
        <f aca="false">02_Register!F4</f>
        <v>12</v>
      </c>
      <c r="C4" s="17" t="str">
        <f aca="false">02_Register!M4</f>
        <v>High</v>
      </c>
      <c r="D4" s="16" t="n">
        <f aca="false">02_Register!J4</f>
        <v>6</v>
      </c>
      <c r="E4" s="16" t="str">
        <f aca="false">02_Register!N4</f>
        <v>Medium</v>
      </c>
      <c r="F4" s="16" t="n">
        <f aca="false">D4-B4</f>
        <v>-6</v>
      </c>
      <c r="G4" s="14" t="s">
        <v>186</v>
      </c>
      <c r="H4" s="14" t="s">
        <v>202</v>
      </c>
    </row>
    <row r="5" customFormat="false" ht="199.5" hidden="false" customHeight="true" outlineLevel="0" collapsed="false">
      <c r="A5" s="14" t="s">
        <v>187</v>
      </c>
      <c r="B5" s="16" t="n">
        <f aca="false">02_Register!F5</f>
        <v>20</v>
      </c>
      <c r="C5" s="17" t="str">
        <f aca="false">02_Register!M5</f>
        <v>Critical</v>
      </c>
      <c r="D5" s="16" t="n">
        <f aca="false">02_Register!J5</f>
        <v>12</v>
      </c>
      <c r="E5" s="16" t="str">
        <f aca="false">02_Register!N5</f>
        <v>High</v>
      </c>
      <c r="F5" s="16" t="n">
        <f aca="false">D5-B5</f>
        <v>-8</v>
      </c>
      <c r="G5" s="14" t="s">
        <v>128</v>
      </c>
      <c r="H5" s="14" t="s">
        <v>203</v>
      </c>
    </row>
    <row r="6" customFormat="false" ht="199.5" hidden="false" customHeight="true" outlineLevel="0" collapsed="false">
      <c r="A6" s="14" t="s">
        <v>191</v>
      </c>
      <c r="B6" s="16" t="n">
        <f aca="false">02_Register!F6</f>
        <v>20</v>
      </c>
      <c r="C6" s="17" t="str">
        <f aca="false">02_Register!M6</f>
        <v>Critical</v>
      </c>
      <c r="D6" s="16" t="n">
        <f aca="false">02_Register!J6</f>
        <v>12</v>
      </c>
      <c r="E6" s="16" t="str">
        <f aca="false">02_Register!N6</f>
        <v>High</v>
      </c>
      <c r="F6" s="16" t="n">
        <f aca="false">D6-B6</f>
        <v>-8</v>
      </c>
      <c r="G6" s="14" t="s">
        <v>128</v>
      </c>
      <c r="H6" s="14" t="s">
        <v>204</v>
      </c>
    </row>
  </sheetData>
  <conditionalFormatting sqref="C2:C6">
    <cfRule type="cellIs" priority="2" operator="equal" aboveAverage="0" equalAverage="0" bottom="0" percent="0" rank="0" text="" dxfId="9">
      <formula>"Critical"</formula>
    </cfRule>
    <cfRule type="cellIs" priority="3" operator="equal" aboveAverage="0" equalAverage="0" bottom="0" percent="0" rank="0" text="" dxfId="10">
      <formula>"High"</formula>
    </cfRule>
    <cfRule type="cellIs" priority="4" operator="equal" aboveAverage="0" equalAverage="0" bottom="0" percent="0" rank="0" text="" dxfId="11">
      <formula>"Medium"</formula>
    </cfRule>
    <cfRule type="cellIs" priority="5" operator="equal" aboveAverage="0" equalAverage="0" bottom="0" percent="0" rank="0" text="" dxfId="12">
      <formula>"Low"</formula>
    </cfRule>
  </conditionalFormatting>
  <conditionalFormatting sqref="E2:E6">
    <cfRule type="cellIs" priority="6" operator="equal" aboveAverage="0" equalAverage="0" bottom="0" percent="0" rank="0" text="" dxfId="9">
      <formula>"Critical"</formula>
    </cfRule>
    <cfRule type="cellIs" priority="7" operator="equal" aboveAverage="0" equalAverage="0" bottom="0" percent="0" rank="0" text="" dxfId="10">
      <formula>"High"</formula>
    </cfRule>
    <cfRule type="cellIs" priority="8" operator="equal" aboveAverage="0" equalAverage="0" bottom="0" percent="0" rank="0" text="" dxfId="11">
      <formula>"Medium"</formula>
    </cfRule>
    <cfRule type="cellIs" priority="9" operator="equal" aboveAverage="0" equalAverage="0" bottom="0" percent="0" rank="0" text="" dxfId="1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14"/>
    <col collapsed="false" customWidth="true" hidden="false" outlineLevel="0" max="4" min="4" style="1" width="60"/>
    <col collapsed="false" customWidth="true" hidden="false" outlineLevel="0" max="5" min="5" style="1" width="16"/>
    <col collapsed="false" customWidth="true" hidden="false" outlineLevel="0" max="6" min="6" style="1" width="26"/>
    <col collapsed="false" customWidth="true" hidden="false" outlineLevel="0" max="7" min="7" style="1" width="14"/>
    <col collapsed="false" customWidth="true" hidden="false" outlineLevel="0" max="8" min="8" style="1" width="16"/>
    <col collapsed="false" customWidth="true" hidden="false" outlineLevel="0" max="9" min="9" style="1" width="26"/>
    <col collapsed="false" customWidth="true" hidden="false" outlineLevel="0" max="10" min="10" style="1" width="18"/>
    <col collapsed="false" customWidth="true" hidden="false" outlineLevel="0" max="11" min="11" style="1" width="12"/>
  </cols>
  <sheetData>
    <row r="1" customFormat="false" ht="33.75" hidden="false" customHeight="true" outlineLevel="0" collapsed="false">
      <c r="A1" s="13" t="s">
        <v>205</v>
      </c>
      <c r="B1" s="13" t="s">
        <v>155</v>
      </c>
      <c r="C1" s="13" t="s">
        <v>140</v>
      </c>
      <c r="D1" s="13" t="s">
        <v>206</v>
      </c>
      <c r="E1" s="13" t="s">
        <v>207</v>
      </c>
      <c r="F1" s="13" t="s">
        <v>208</v>
      </c>
      <c r="G1" s="13" t="s">
        <v>209</v>
      </c>
      <c r="H1" s="13" t="s">
        <v>210</v>
      </c>
      <c r="I1" s="13" t="s">
        <v>211</v>
      </c>
      <c r="J1" s="13" t="s">
        <v>212</v>
      </c>
      <c r="K1" s="13" t="s">
        <v>213</v>
      </c>
    </row>
    <row r="2" customFormat="false" ht="34.5" hidden="false" customHeight="true" outlineLevel="0" collapsed="false">
      <c r="A2" s="14" t="s">
        <v>214</v>
      </c>
      <c r="B2" s="14" t="s">
        <v>171</v>
      </c>
      <c r="C2" s="14" t="s">
        <v>143</v>
      </c>
      <c r="D2" s="14" t="s">
        <v>215</v>
      </c>
      <c r="E2" s="14" t="s">
        <v>216</v>
      </c>
      <c r="F2" s="14" t="s">
        <v>217</v>
      </c>
      <c r="G2" s="18" t="n">
        <v>2500</v>
      </c>
      <c r="H2" s="14" t="s">
        <v>218</v>
      </c>
      <c r="I2" s="14" t="s">
        <v>175</v>
      </c>
      <c r="J2" s="14" t="s">
        <v>219</v>
      </c>
      <c r="K2" s="15" t="n">
        <v>3</v>
      </c>
    </row>
    <row r="3" customFormat="false" ht="34.5" hidden="false" customHeight="true" outlineLevel="0" collapsed="false">
      <c r="A3" s="14" t="s">
        <v>220</v>
      </c>
      <c r="B3" s="14" t="s">
        <v>171</v>
      </c>
      <c r="C3" s="14" t="s">
        <v>143</v>
      </c>
      <c r="D3" s="14" t="s">
        <v>221</v>
      </c>
      <c r="E3" s="14" t="s">
        <v>222</v>
      </c>
      <c r="F3" s="14" t="s">
        <v>223</v>
      </c>
      <c r="G3" s="18" t="n">
        <v>1800</v>
      </c>
      <c r="H3" s="14" t="s">
        <v>218</v>
      </c>
      <c r="I3" s="14" t="s">
        <v>185</v>
      </c>
      <c r="J3" s="14" t="s">
        <v>224</v>
      </c>
      <c r="K3" s="15" t="n">
        <v>3</v>
      </c>
    </row>
    <row r="4" customFormat="false" ht="45.75" hidden="false" customHeight="true" outlineLevel="0" collapsed="false">
      <c r="A4" s="14" t="s">
        <v>225</v>
      </c>
      <c r="B4" s="14" t="s">
        <v>176</v>
      </c>
      <c r="C4" s="14" t="s">
        <v>143</v>
      </c>
      <c r="D4" s="14" t="s">
        <v>226</v>
      </c>
      <c r="E4" s="14" t="s">
        <v>227</v>
      </c>
      <c r="F4" s="14" t="s">
        <v>228</v>
      </c>
      <c r="G4" s="18" t="n">
        <v>0</v>
      </c>
      <c r="H4" s="14" t="s">
        <v>229</v>
      </c>
      <c r="I4" s="14" t="s">
        <v>128</v>
      </c>
      <c r="J4" s="14" t="s">
        <v>219</v>
      </c>
      <c r="K4" s="15" t="n">
        <v>4</v>
      </c>
    </row>
    <row r="5" customFormat="false" ht="34.5" hidden="false" customHeight="true" outlineLevel="0" collapsed="false">
      <c r="A5" s="14" t="s">
        <v>230</v>
      </c>
      <c r="B5" s="14" t="s">
        <v>176</v>
      </c>
      <c r="C5" s="14" t="s">
        <v>146</v>
      </c>
      <c r="D5" s="14" t="s">
        <v>231</v>
      </c>
      <c r="E5" s="14" t="s">
        <v>80</v>
      </c>
      <c r="F5" s="14" t="s">
        <v>232</v>
      </c>
      <c r="G5" s="18" t="n">
        <v>9000</v>
      </c>
      <c r="H5" s="14" t="s">
        <v>233</v>
      </c>
      <c r="I5" s="14" t="s">
        <v>133</v>
      </c>
      <c r="J5" s="14" t="s">
        <v>234</v>
      </c>
      <c r="K5" s="15" t="n">
        <v>6</v>
      </c>
    </row>
    <row r="6" customFormat="false" ht="34.5" hidden="false" customHeight="true" outlineLevel="0" collapsed="false">
      <c r="A6" s="14" t="s">
        <v>235</v>
      </c>
      <c r="B6" s="14" t="s">
        <v>176</v>
      </c>
      <c r="C6" s="14" t="s">
        <v>143</v>
      </c>
      <c r="D6" s="14" t="s">
        <v>236</v>
      </c>
      <c r="E6" s="14" t="s">
        <v>222</v>
      </c>
      <c r="F6" s="14" t="s">
        <v>237</v>
      </c>
      <c r="G6" s="18" t="n">
        <v>4200</v>
      </c>
      <c r="H6" s="14" t="s">
        <v>233</v>
      </c>
      <c r="I6" s="14" t="s">
        <v>175</v>
      </c>
      <c r="J6" s="14" t="s">
        <v>238</v>
      </c>
      <c r="K6" s="15" t="n">
        <v>6</v>
      </c>
    </row>
    <row r="7" customFormat="false" ht="34.5" hidden="false" customHeight="true" outlineLevel="0" collapsed="false">
      <c r="A7" s="14" t="s">
        <v>239</v>
      </c>
      <c r="B7" s="14" t="s">
        <v>181</v>
      </c>
      <c r="C7" s="14" t="s">
        <v>143</v>
      </c>
      <c r="D7" s="14" t="s">
        <v>240</v>
      </c>
      <c r="E7" s="14" t="s">
        <v>241</v>
      </c>
      <c r="F7" s="14" t="s">
        <v>242</v>
      </c>
      <c r="G7" s="18" t="n">
        <v>2400</v>
      </c>
      <c r="H7" s="14" t="s">
        <v>233</v>
      </c>
      <c r="I7" s="14" t="s">
        <v>175</v>
      </c>
      <c r="J7" s="14" t="s">
        <v>238</v>
      </c>
      <c r="K7" s="15" t="n">
        <v>4</v>
      </c>
    </row>
    <row r="8" customFormat="false" ht="45.75" hidden="false" customHeight="true" outlineLevel="0" collapsed="false">
      <c r="A8" s="14" t="s">
        <v>243</v>
      </c>
      <c r="B8" s="14" t="s">
        <v>187</v>
      </c>
      <c r="C8" s="14" t="s">
        <v>143</v>
      </c>
      <c r="D8" s="14" t="s">
        <v>244</v>
      </c>
      <c r="E8" s="14" t="s">
        <v>216</v>
      </c>
      <c r="F8" s="14" t="s">
        <v>245</v>
      </c>
      <c r="G8" s="18" t="n">
        <v>0</v>
      </c>
      <c r="H8" s="14" t="s">
        <v>229</v>
      </c>
      <c r="I8" s="14" t="s">
        <v>128</v>
      </c>
      <c r="J8" s="14" t="s">
        <v>224</v>
      </c>
      <c r="K8" s="15" t="n">
        <v>8</v>
      </c>
    </row>
    <row r="9" customFormat="false" ht="34.5" hidden="false" customHeight="true" outlineLevel="0" collapsed="false">
      <c r="A9" s="14" t="s">
        <v>246</v>
      </c>
      <c r="B9" s="14" t="s">
        <v>187</v>
      </c>
      <c r="C9" s="14" t="s">
        <v>143</v>
      </c>
      <c r="D9" s="14" t="s">
        <v>247</v>
      </c>
      <c r="E9" s="14" t="s">
        <v>222</v>
      </c>
      <c r="F9" s="14" t="s">
        <v>245</v>
      </c>
      <c r="G9" s="18" t="n">
        <v>11000</v>
      </c>
      <c r="H9" s="14" t="s">
        <v>218</v>
      </c>
      <c r="I9" s="14" t="s">
        <v>128</v>
      </c>
      <c r="J9" s="14" t="s">
        <v>238</v>
      </c>
      <c r="K9" s="15" t="n">
        <v>6</v>
      </c>
    </row>
    <row r="10" customFormat="false" ht="45.75" hidden="false" customHeight="true" outlineLevel="0" collapsed="false">
      <c r="A10" s="14" t="s">
        <v>248</v>
      </c>
      <c r="B10" s="14" t="s">
        <v>191</v>
      </c>
      <c r="C10" s="14" t="s">
        <v>143</v>
      </c>
      <c r="D10" s="14" t="s">
        <v>249</v>
      </c>
      <c r="E10" s="14" t="s">
        <v>222</v>
      </c>
      <c r="F10" s="14" t="s">
        <v>250</v>
      </c>
      <c r="G10" s="18" t="n">
        <v>1200</v>
      </c>
      <c r="H10" s="14" t="s">
        <v>233</v>
      </c>
      <c r="I10" s="14" t="s">
        <v>128</v>
      </c>
      <c r="J10" s="14" t="s">
        <v>224</v>
      </c>
      <c r="K10" s="15" t="n">
        <v>6</v>
      </c>
    </row>
    <row r="11" customFormat="false" ht="34.5" hidden="false" customHeight="true" outlineLevel="0" collapsed="false">
      <c r="A11" s="14" t="s">
        <v>251</v>
      </c>
      <c r="B11" s="14" t="s">
        <v>191</v>
      </c>
      <c r="C11" s="14" t="s">
        <v>143</v>
      </c>
      <c r="D11" s="14" t="s">
        <v>252</v>
      </c>
      <c r="E11" s="14" t="s">
        <v>216</v>
      </c>
      <c r="F11" s="14" t="s">
        <v>253</v>
      </c>
      <c r="G11" s="18" t="n">
        <v>0</v>
      </c>
      <c r="H11" s="14" t="s">
        <v>229</v>
      </c>
      <c r="I11" s="14" t="s">
        <v>128</v>
      </c>
      <c r="J11" s="14" t="s">
        <v>254</v>
      </c>
      <c r="K11" s="15" t="n">
        <v>4</v>
      </c>
    </row>
    <row r="12" customFormat="false" ht="15" hidden="false" customHeight="true" outlineLevel="0" collapsed="false">
      <c r="F12" s="19" t="s">
        <v>255</v>
      </c>
      <c r="G12" s="20" t="n">
        <f aca="false">SUM(G2:G11)</f>
        <v>32100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5" min="3" style="1" width="40"/>
    <col collapsed="false" customWidth="true" hidden="false" outlineLevel="0" max="6" min="6" style="1" width="30"/>
    <col collapsed="false" customWidth="true" hidden="false" outlineLevel="0" max="8" min="7" style="1" width="14"/>
    <col collapsed="false" customWidth="true" hidden="false" outlineLevel="0" max="9" min="9" style="1" width="24"/>
  </cols>
  <sheetData>
    <row r="1" customFormat="false" ht="18" hidden="false" customHeight="true" outlineLevel="0" collapsed="false">
      <c r="A1" s="12" t="s">
        <v>256</v>
      </c>
    </row>
    <row r="3" customFormat="false" ht="33.75" hidden="false" customHeight="true" outlineLevel="0" collapsed="false">
      <c r="A3" s="13" t="s">
        <v>257</v>
      </c>
      <c r="B3" s="13" t="s">
        <v>258</v>
      </c>
      <c r="C3" s="13" t="s">
        <v>259</v>
      </c>
      <c r="D3" s="13" t="s">
        <v>260</v>
      </c>
      <c r="E3" s="13" t="s">
        <v>261</v>
      </c>
      <c r="F3" s="13" t="s">
        <v>262</v>
      </c>
      <c r="G3" s="13" t="s">
        <v>263</v>
      </c>
      <c r="H3" s="13" t="s">
        <v>264</v>
      </c>
      <c r="I3" s="13" t="s">
        <v>265</v>
      </c>
    </row>
    <row r="4" customFormat="false" ht="45.75" hidden="false" customHeight="true" outlineLevel="0" collapsed="false">
      <c r="A4" s="14" t="s">
        <v>266</v>
      </c>
      <c r="B4" s="14" t="s">
        <v>267</v>
      </c>
      <c r="C4" s="14" t="s">
        <v>268</v>
      </c>
      <c r="D4" s="14" t="s">
        <v>269</v>
      </c>
      <c r="E4" s="14" t="s">
        <v>270</v>
      </c>
      <c r="F4" s="14" t="s">
        <v>271</v>
      </c>
      <c r="G4" s="14" t="s">
        <v>272</v>
      </c>
      <c r="H4" s="14" t="s">
        <v>273</v>
      </c>
      <c r="I4" s="14" t="s">
        <v>274</v>
      </c>
    </row>
    <row r="7" customFormat="false" ht="33.75" hidden="false" customHeight="true" outlineLevel="0" collapsed="false">
      <c r="A7" s="13" t="s">
        <v>275</v>
      </c>
      <c r="B7" s="13" t="s">
        <v>276</v>
      </c>
      <c r="C7" s="13" t="s">
        <v>277</v>
      </c>
      <c r="D7" s="13" t="s">
        <v>278</v>
      </c>
    </row>
    <row r="8" customFormat="false" ht="168.75" hidden="false" customHeight="true" outlineLevel="0" collapsed="false">
      <c r="A8" s="14" t="s">
        <v>279</v>
      </c>
      <c r="B8" s="14" t="s">
        <v>280</v>
      </c>
      <c r="C8" s="14" t="s">
        <v>281</v>
      </c>
      <c r="D8" s="14" t="s">
        <v>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0"/>
    <col collapsed="false" customWidth="true" hidden="false" outlineLevel="0" max="3" min="3" style="1" width="16"/>
    <col collapsed="false" customWidth="true" hidden="false" outlineLevel="0" max="4" min="4" style="1" width="50"/>
    <col collapsed="false" customWidth="true" hidden="false" outlineLevel="0" max="5" min="5" style="1" width="16"/>
  </cols>
  <sheetData>
    <row r="1" customFormat="false" ht="33.75" hidden="false" customHeight="true" outlineLevel="0" collapsed="false">
      <c r="A1" s="13" t="s">
        <v>283</v>
      </c>
      <c r="B1" s="13" t="s">
        <v>284</v>
      </c>
      <c r="C1" s="13" t="s">
        <v>285</v>
      </c>
      <c r="D1" s="13" t="s">
        <v>286</v>
      </c>
      <c r="E1" s="13" t="s">
        <v>287</v>
      </c>
    </row>
    <row r="2" customFormat="false" ht="23.25" hidden="false" customHeight="true" outlineLevel="0" collapsed="false">
      <c r="A2" s="14" t="s">
        <v>288</v>
      </c>
      <c r="B2" s="14" t="s">
        <v>289</v>
      </c>
      <c r="C2" s="14" t="s">
        <v>176</v>
      </c>
      <c r="D2" s="14" t="s">
        <v>290</v>
      </c>
      <c r="E2" s="14" t="s">
        <v>225</v>
      </c>
    </row>
    <row r="3" customFormat="false" ht="23.25" hidden="false" customHeight="true" outlineLevel="0" collapsed="false">
      <c r="A3" s="14" t="s">
        <v>291</v>
      </c>
      <c r="B3" s="14" t="s">
        <v>292</v>
      </c>
      <c r="C3" s="14" t="s">
        <v>187</v>
      </c>
      <c r="D3" s="14" t="s">
        <v>293</v>
      </c>
      <c r="E3" s="14" t="s">
        <v>294</v>
      </c>
    </row>
    <row r="4" customFormat="false" ht="23.25" hidden="false" customHeight="true" outlineLevel="0" collapsed="false">
      <c r="A4" s="14" t="s">
        <v>295</v>
      </c>
      <c r="B4" s="14" t="s">
        <v>296</v>
      </c>
      <c r="C4" s="14" t="s">
        <v>191</v>
      </c>
      <c r="D4" s="14" t="s">
        <v>297</v>
      </c>
      <c r="E4" s="14" t="s">
        <v>298</v>
      </c>
    </row>
    <row r="5" customFormat="false" ht="23.25" hidden="false" customHeight="true" outlineLevel="0" collapsed="false">
      <c r="A5" s="14" t="s">
        <v>299</v>
      </c>
      <c r="B5" s="14" t="s">
        <v>300</v>
      </c>
      <c r="C5" s="14" t="s">
        <v>301</v>
      </c>
      <c r="D5" s="14" t="s">
        <v>302</v>
      </c>
      <c r="E5" s="14" t="s">
        <v>220</v>
      </c>
    </row>
    <row r="6" customFormat="false" ht="23.25" hidden="false" customHeight="true" outlineLevel="0" collapsed="false">
      <c r="A6" s="14" t="s">
        <v>303</v>
      </c>
      <c r="B6" s="14" t="s">
        <v>304</v>
      </c>
      <c r="C6" s="14" t="s">
        <v>181</v>
      </c>
      <c r="D6" s="14" t="s">
        <v>305</v>
      </c>
      <c r="E6" s="14" t="s">
        <v>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50"/>
    <col collapsed="false" customWidth="true" hidden="false" outlineLevel="0" max="3" min="3" style="1" width="14"/>
    <col collapsed="false" customWidth="true" hidden="false" outlineLevel="0" max="4" min="4" style="1" width="40"/>
    <col collapsed="false" customWidth="true" hidden="false" outlineLevel="0" max="5" min="5" style="1" width="26"/>
    <col collapsed="false" customWidth="true" hidden="false" outlineLevel="0" max="6" min="6" style="1" width="14"/>
    <col collapsed="false" customWidth="true" hidden="false" outlineLevel="0" max="7" min="7" style="1" width="26"/>
  </cols>
  <sheetData>
    <row r="1" customFormat="false" ht="33.75" hidden="false" customHeight="true" outlineLevel="0" collapsed="false">
      <c r="A1" s="13" t="s">
        <v>306</v>
      </c>
      <c r="B1" s="13" t="s">
        <v>307</v>
      </c>
      <c r="C1" s="13" t="s">
        <v>258</v>
      </c>
      <c r="D1" s="13" t="s">
        <v>308</v>
      </c>
      <c r="E1" s="13" t="s">
        <v>309</v>
      </c>
      <c r="F1" s="13" t="s">
        <v>310</v>
      </c>
      <c r="G1" s="13" t="s">
        <v>311</v>
      </c>
    </row>
    <row r="2" customFormat="false" ht="23.25" hidden="false" customHeight="true" outlineLevel="0" collapsed="false">
      <c r="A2" s="14" t="s">
        <v>312</v>
      </c>
      <c r="B2" s="14" t="s">
        <v>313</v>
      </c>
      <c r="C2" s="14" t="s">
        <v>314</v>
      </c>
      <c r="D2" s="14" t="s">
        <v>315</v>
      </c>
      <c r="E2" s="14" t="s">
        <v>316</v>
      </c>
      <c r="F2" s="14" t="s">
        <v>134</v>
      </c>
      <c r="G2" s="14" t="s">
        <v>175</v>
      </c>
    </row>
    <row r="3" customFormat="false" ht="15" hidden="false" customHeight="true" outlineLevel="0" collapsed="false">
      <c r="A3" s="14" t="s">
        <v>317</v>
      </c>
      <c r="B3" s="14" t="s">
        <v>318</v>
      </c>
      <c r="C3" s="14" t="s">
        <v>301</v>
      </c>
      <c r="D3" s="14" t="s">
        <v>319</v>
      </c>
      <c r="E3" s="14" t="s">
        <v>320</v>
      </c>
      <c r="F3" s="14" t="s">
        <v>321</v>
      </c>
      <c r="G3" s="14" t="s">
        <v>185</v>
      </c>
    </row>
    <row r="4" customFormat="false" ht="23.25" hidden="false" customHeight="true" outlineLevel="0" collapsed="false">
      <c r="A4" s="14" t="s">
        <v>322</v>
      </c>
      <c r="B4" s="14" t="s">
        <v>323</v>
      </c>
      <c r="C4" s="14" t="s">
        <v>181</v>
      </c>
      <c r="D4" s="14" t="s">
        <v>324</v>
      </c>
      <c r="E4" s="14" t="s">
        <v>325</v>
      </c>
      <c r="F4" s="14" t="s">
        <v>134</v>
      </c>
      <c r="G4" s="14" t="s">
        <v>175</v>
      </c>
    </row>
    <row r="5" customFormat="false" ht="23.25" hidden="false" customHeight="true" outlineLevel="0" collapsed="false">
      <c r="A5" s="14" t="s">
        <v>326</v>
      </c>
      <c r="B5" s="14" t="s">
        <v>327</v>
      </c>
      <c r="C5" s="14" t="s">
        <v>176</v>
      </c>
      <c r="D5" s="14" t="s">
        <v>328</v>
      </c>
      <c r="E5" s="14" t="s">
        <v>329</v>
      </c>
      <c r="F5" s="14" t="s">
        <v>321</v>
      </c>
      <c r="G5" s="14" t="s">
        <v>175</v>
      </c>
    </row>
    <row r="6" customFormat="false" ht="15" hidden="false" customHeight="true" outlineLevel="0" collapsed="false">
      <c r="A6" s="14" t="s">
        <v>330</v>
      </c>
      <c r="B6" s="14" t="s">
        <v>331</v>
      </c>
      <c r="C6" s="14" t="s">
        <v>191</v>
      </c>
      <c r="D6" s="14" t="s">
        <v>332</v>
      </c>
      <c r="E6" s="14" t="s">
        <v>333</v>
      </c>
      <c r="F6" s="14" t="s">
        <v>321</v>
      </c>
      <c r="G6" s="14" t="s">
        <v>128</v>
      </c>
    </row>
    <row r="7" customFormat="false" ht="23.25" hidden="false" customHeight="true" outlineLevel="0" collapsed="false">
      <c r="A7" s="14" t="s">
        <v>334</v>
      </c>
      <c r="B7" s="14" t="s">
        <v>335</v>
      </c>
      <c r="C7" s="14" t="s">
        <v>181</v>
      </c>
      <c r="D7" s="14" t="s">
        <v>336</v>
      </c>
      <c r="E7" s="14" t="s">
        <v>337</v>
      </c>
      <c r="F7" s="14" t="s">
        <v>321</v>
      </c>
      <c r="G7" s="14" t="s">
        <v>175</v>
      </c>
    </row>
    <row r="8" customFormat="false" ht="15" hidden="false" customHeight="true" outlineLevel="0" collapsed="false">
      <c r="A8" s="14" t="s">
        <v>338</v>
      </c>
      <c r="B8" s="14" t="s">
        <v>339</v>
      </c>
      <c r="C8" s="14" t="s">
        <v>187</v>
      </c>
      <c r="D8" s="14" t="s">
        <v>340</v>
      </c>
      <c r="E8" s="14" t="s">
        <v>337</v>
      </c>
      <c r="F8" s="14" t="s">
        <v>321</v>
      </c>
      <c r="G8" s="14"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6"/>
  </cols>
  <sheetData>
    <row r="1" customFormat="false" ht="18" hidden="false" customHeight="true" outlineLevel="0" collapsed="false">
      <c r="A1" s="12" t="s">
        <v>341</v>
      </c>
    </row>
    <row r="2" customFormat="false" ht="15" hidden="false" customHeight="true" outlineLevel="0" collapsed="false">
      <c r="A2" s="21" t="s">
        <v>342</v>
      </c>
    </row>
    <row r="3" customFormat="false" ht="33.75" hidden="false" customHeight="true" outlineLevel="0" collapsed="false">
      <c r="A3" s="13" t="s">
        <v>343</v>
      </c>
      <c r="B3" s="13" t="s">
        <v>344</v>
      </c>
    </row>
    <row r="4" customFormat="false" ht="15" hidden="false" customHeight="true" outlineLevel="0" collapsed="false">
      <c r="A4" s="14" t="s">
        <v>345</v>
      </c>
      <c r="B4" s="22" t="n">
        <f aca="false">COUNTA(02_Register!A2:A6)</f>
        <v>5</v>
      </c>
    </row>
    <row r="5" customFormat="false" ht="15" hidden="false" customHeight="true" outlineLevel="0" collapsed="false">
      <c r="A5" s="14" t="s">
        <v>346</v>
      </c>
      <c r="B5" s="22" t="n">
        <f aca="false">COUNTIF(02_Register!M2:M6,"Critical")</f>
        <v>4</v>
      </c>
    </row>
    <row r="6" customFormat="false" ht="15" hidden="false" customHeight="true" outlineLevel="0" collapsed="false">
      <c r="A6" s="14" t="s">
        <v>347</v>
      </c>
      <c r="B6" s="22" t="n">
        <f aca="false">COUNTIF(02_Register!M2:M6,"High")</f>
        <v>1</v>
      </c>
    </row>
    <row r="7" customFormat="false" ht="15" hidden="false" customHeight="true" outlineLevel="0" collapsed="false">
      <c r="A7" s="14" t="s">
        <v>348</v>
      </c>
      <c r="B7" s="22" t="n">
        <f aca="false">SUM(02_Register!F2:F6)</f>
        <v>92</v>
      </c>
    </row>
    <row r="8" customFormat="false" ht="15" hidden="false" customHeight="true" outlineLevel="0" collapsed="false">
      <c r="A8" s="14" t="s">
        <v>349</v>
      </c>
      <c r="B8" s="22" t="n">
        <f aca="false">B4*25</f>
        <v>125</v>
      </c>
    </row>
    <row r="9" customFormat="false" ht="15" hidden="false" customHeight="true" outlineLevel="0" collapsed="false">
      <c r="A9" s="14" t="s">
        <v>350</v>
      </c>
      <c r="B9" s="23" t="n">
        <f aca="false">AVERAGE(02_Register!F2:F6)</f>
        <v>18.4</v>
      </c>
    </row>
    <row r="10" customFormat="false" ht="15" hidden="false" customHeight="true" outlineLevel="0" collapsed="false">
      <c r="A10" s="14" t="s">
        <v>351</v>
      </c>
      <c r="B10" s="22" t="n">
        <f aca="false">COUNTIF(02_Register!N2:N6,"Critical")</f>
        <v>0</v>
      </c>
    </row>
    <row r="11" customFormat="false" ht="15" hidden="false" customHeight="true" outlineLevel="0" collapsed="false">
      <c r="A11" s="14" t="s">
        <v>352</v>
      </c>
      <c r="B11" s="22" t="n">
        <f aca="false">COUNTIF(02_Register!N2:N6,"High")</f>
        <v>2</v>
      </c>
    </row>
    <row r="12" customFormat="false" ht="15" hidden="false" customHeight="true" outlineLevel="0" collapsed="false">
      <c r="A12" s="14" t="s">
        <v>353</v>
      </c>
      <c r="B12" s="22" t="n">
        <f aca="false">COUNTIF(02_Register!N2:N6,"Medium")</f>
        <v>3</v>
      </c>
    </row>
    <row r="13" customFormat="false" ht="15" hidden="false" customHeight="true" outlineLevel="0" collapsed="false">
      <c r="A13" s="14" t="s">
        <v>354</v>
      </c>
      <c r="B13" s="22" t="n">
        <f aca="false">SUM(02_Register!J2:J6)</f>
        <v>44</v>
      </c>
    </row>
    <row r="14" customFormat="false" ht="15" hidden="false" customHeight="true" outlineLevel="0" collapsed="false">
      <c r="A14" s="14" t="s">
        <v>355</v>
      </c>
      <c r="B14" s="23" t="n">
        <f aca="false">AVERAGE(02_Register!J2:J6)</f>
        <v>8.8</v>
      </c>
    </row>
    <row r="15" customFormat="false" ht="15" hidden="false" customHeight="true" outlineLevel="0" collapsed="false">
      <c r="A15" s="14" t="s">
        <v>356</v>
      </c>
      <c r="B15" s="22" t="n">
        <f aca="false">B7-B13</f>
        <v>48</v>
      </c>
    </row>
    <row r="16" customFormat="false" ht="15" hidden="false" customHeight="true" outlineLevel="0" collapsed="false">
      <c r="A16" s="14" t="s">
        <v>357</v>
      </c>
      <c r="B16" s="24" t="n">
        <f aca="false">IF(B7=0,0,B15/B7)</f>
        <v>0.521739130434783</v>
      </c>
    </row>
    <row r="17" customFormat="false" ht="15" hidden="false" customHeight="true" outlineLevel="0" collapsed="false">
      <c r="A17" s="14" t="s">
        <v>358</v>
      </c>
      <c r="B17" s="22" t="n">
        <f aca="false">B10+B11</f>
        <v>2</v>
      </c>
    </row>
    <row r="18" customFormat="false" ht="15" hidden="false" customHeight="true" outlineLevel="0" collapsed="false">
      <c r="A18" s="14" t="s">
        <v>359</v>
      </c>
      <c r="B18" s="22" t="n">
        <f aca="false">COUNTA(04_Treatment_Plan!A2:A11)</f>
        <v>10</v>
      </c>
    </row>
    <row r="19" customFormat="false" ht="15" hidden="false" customHeight="true" outlineLevel="0" collapsed="false">
      <c r="A19" s="14" t="s">
        <v>360</v>
      </c>
      <c r="B19" s="20" t="n">
        <f aca="false">04_Treatment_Plan!G12</f>
        <v>32100</v>
      </c>
    </row>
    <row r="20" customFormat="false" ht="15" hidden="false" customHeight="true" outlineLevel="0" collapsed="false">
      <c r="A20" s="14" t="s">
        <v>361</v>
      </c>
      <c r="B20" s="22" t="n">
        <f aca="false">COUNTA(06_Control_Gaps!A2:A6)</f>
        <v>5</v>
      </c>
    </row>
    <row r="22" customFormat="false" ht="34.5" hidden="false" customHeight="true" outlineLevel="0" collapsed="false">
      <c r="A22" s="25" t="s">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0"/>
    <col collapsed="false" customWidth="true" hidden="false" outlineLevel="0" max="3" min="3" style="1" width="10"/>
    <col collapsed="false" customWidth="true" hidden="false" outlineLevel="0" max="4" min="4" style="1" width="50"/>
  </cols>
  <sheetData>
    <row r="1" customFormat="false" ht="33.75" hidden="false" customHeight="true" outlineLevel="0" collapsed="false">
      <c r="A1" s="13" t="s">
        <v>363</v>
      </c>
      <c r="B1" s="13" t="s">
        <v>364</v>
      </c>
      <c r="C1" s="13" t="s">
        <v>365</v>
      </c>
      <c r="D1" s="13" t="s">
        <v>366</v>
      </c>
    </row>
    <row r="2" customFormat="false" ht="15" hidden="false" customHeight="true" outlineLevel="0" collapsed="false">
      <c r="A2" s="14" t="n">
        <v>1</v>
      </c>
      <c r="B2" s="14" t="s">
        <v>367</v>
      </c>
      <c r="C2" s="15" t="s">
        <v>368</v>
      </c>
      <c r="D2" s="14"/>
    </row>
    <row r="3" customFormat="false" ht="15" hidden="false" customHeight="true" outlineLevel="0" collapsed="false">
      <c r="A3" s="14" t="n">
        <v>2</v>
      </c>
      <c r="B3" s="14" t="s">
        <v>369</v>
      </c>
      <c r="C3" s="15" t="s">
        <v>368</v>
      </c>
      <c r="D3" s="14"/>
    </row>
    <row r="4" customFormat="false" ht="15" hidden="false" customHeight="true" outlineLevel="0" collapsed="false">
      <c r="A4" s="14" t="n">
        <v>3</v>
      </c>
      <c r="B4" s="14" t="s">
        <v>370</v>
      </c>
      <c r="C4" s="15" t="s">
        <v>368</v>
      </c>
      <c r="D4" s="14"/>
    </row>
    <row r="5" customFormat="false" ht="15" hidden="false" customHeight="true" outlineLevel="0" collapsed="false">
      <c r="A5" s="14" t="n">
        <v>4</v>
      </c>
      <c r="B5" s="14" t="s">
        <v>371</v>
      </c>
      <c r="C5" s="15" t="s">
        <v>368</v>
      </c>
      <c r="D5" s="14"/>
    </row>
    <row r="6" customFormat="false" ht="15" hidden="false" customHeight="true" outlineLevel="0" collapsed="false">
      <c r="A6" s="14" t="n">
        <v>5</v>
      </c>
      <c r="B6" s="14" t="s">
        <v>372</v>
      </c>
      <c r="C6" s="15" t="s">
        <v>368</v>
      </c>
      <c r="D6" s="14"/>
    </row>
    <row r="7" customFormat="false" ht="15" hidden="false" customHeight="true" outlineLevel="0" collapsed="false">
      <c r="A7" s="14" t="n">
        <v>6</v>
      </c>
      <c r="B7" s="14" t="s">
        <v>373</v>
      </c>
      <c r="C7" s="15" t="s">
        <v>368</v>
      </c>
      <c r="D7" s="14"/>
    </row>
    <row r="8" customFormat="false" ht="15" hidden="false" customHeight="true" outlineLevel="0" collapsed="false">
      <c r="A8" s="14" t="n">
        <v>7</v>
      </c>
      <c r="B8" s="14" t="s">
        <v>374</v>
      </c>
      <c r="C8" s="15" t="s">
        <v>368</v>
      </c>
      <c r="D8" s="14"/>
    </row>
    <row r="9" customFormat="false" ht="15" hidden="false" customHeight="true" outlineLevel="0" collapsed="false">
      <c r="A9" s="14" t="n">
        <v>8</v>
      </c>
      <c r="B9" s="14" t="s">
        <v>375</v>
      </c>
      <c r="C9" s="15" t="s">
        <v>368</v>
      </c>
      <c r="D9" s="14"/>
    </row>
    <row r="10" customFormat="false" ht="15" hidden="false" customHeight="true" outlineLevel="0" collapsed="false">
      <c r="A10" s="14" t="n">
        <v>9</v>
      </c>
      <c r="B10" s="14" t="s">
        <v>376</v>
      </c>
      <c r="C10" s="15" t="s">
        <v>368</v>
      </c>
      <c r="D10" s="14"/>
    </row>
    <row r="11" customFormat="false" ht="15" hidden="false" customHeight="true" outlineLevel="0" collapsed="false">
      <c r="A11" s="14" t="n">
        <v>10</v>
      </c>
      <c r="B11" s="14" t="s">
        <v>377</v>
      </c>
      <c r="C11" s="15" t="s">
        <v>368</v>
      </c>
      <c r="D11" s="14"/>
    </row>
    <row r="12" customFormat="false" ht="15" hidden="false" customHeight="true" outlineLevel="0" collapsed="false">
      <c r="A12" s="14" t="n">
        <v>11</v>
      </c>
      <c r="B12" s="14" t="s">
        <v>378</v>
      </c>
      <c r="C12" s="15" t="s">
        <v>368</v>
      </c>
      <c r="D12" s="14"/>
    </row>
    <row r="13" customFormat="false" ht="15" hidden="false" customHeight="true" outlineLevel="0" collapsed="false">
      <c r="A13" s="14" t="n">
        <v>12</v>
      </c>
      <c r="B13" s="14" t="s">
        <v>379</v>
      </c>
      <c r="C13" s="15" t="s">
        <v>368</v>
      </c>
      <c r="D13" s="14"/>
    </row>
    <row r="14" customFormat="false" ht="15" hidden="false" customHeight="true" outlineLevel="0" collapsed="false">
      <c r="A14" s="14" t="n">
        <v>13</v>
      </c>
      <c r="B14" s="14" t="s">
        <v>380</v>
      </c>
      <c r="C14" s="15" t="s">
        <v>368</v>
      </c>
      <c r="D14" s="14"/>
    </row>
    <row r="15" customFormat="false" ht="15" hidden="false" customHeight="true" outlineLevel="0" collapsed="false">
      <c r="A15" s="14" t="n">
        <v>14</v>
      </c>
      <c r="B15" s="14" t="s">
        <v>381</v>
      </c>
      <c r="C15" s="15" t="s">
        <v>368</v>
      </c>
      <c r="D15" s="14"/>
    </row>
    <row r="16" customFormat="false" ht="15" hidden="false" customHeight="true" outlineLevel="0" collapsed="false">
      <c r="A16" s="14" t="n">
        <v>15</v>
      </c>
      <c r="B16" s="14" t="s">
        <v>382</v>
      </c>
      <c r="C16" s="15" t="s">
        <v>368</v>
      </c>
      <c r="D16" s="14"/>
    </row>
  </sheetData>
  <conditionalFormatting sqref="C2:C16">
    <cfRule type="cellIs" priority="2" operator="equal" aboveAverage="0" equalAverage="0" bottom="0" percent="0" rank="0" text="" dxfId="12">
      <formula>"Yes"</formula>
    </cfRule>
    <cfRule type="cellIs" priority="3" operator="equal" aboveAverage="0" equalAverage="0" bottom="0" percent="0" rank="0" text="" dxfId="10">
      <formula>"No"</formula>
    </cfRule>
  </conditionalFormatting>
  <dataValidations count="1">
    <dataValidation allowBlank="true" error="Pick a value from the dropdown." errorStyle="stop" errorTitle="Use a listed value" operator="between" showDropDown="false" showErrorMessage="true" showInputMessage="false" sqref="C2:C1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2026-09-16T01:33:06Z</dcterms:created>
  <dc:creator>openpyxl</dc:creator>
  <dc:description/>
  <dc:language>en-US</dc:language>
  <cp:lastModifiedBy/>
  <dcterms:modified xsi:type="dcterms:W3CDTF">2026-10-13T14:22:17Z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