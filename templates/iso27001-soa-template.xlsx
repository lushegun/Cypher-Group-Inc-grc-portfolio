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README" sheetId="1" state="visible" r:id="rId3"/>
    <sheet name="01_SoA" sheetId="2" state="visible" r:id="rId4"/>
    <sheet name="02_Summary" sheetId="3" state="visible" r:id="rId5"/>
    <sheet name="03_Clauses" sheetId="4" state="visible" r:id="rId6"/>
    <sheet name="04_Readiness" sheetId="5" state="visible" r:id="rId7"/>
    <sheet name="05_Issue_Checklist" sheetId="6" state="visible" r:id="rId8"/>
    <sheet name="06_Lists" sheetId="7" state="visible" r:id="rId9"/>
  </sheets>
  <definedNames>
    <definedName function="false" hidden="true" localSheetId="1" name="_xlnm._FilterDatabase" vbProcedure="false">01_SoA!$A$4:$O$97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<sst xmlns="http://schemas.openxmlformats.org/spreadsheetml/2006/main" count="540" uniqueCount="397">
  <si>
    <t xml:space="preserve">ISO/IEC 27001:2022 Statement of Applicability &amp; Readiness - Template</t>
  </si>
  <si>
    <t xml:space="preserve">TEMPLATE - replace every blank yellow cell. Prepared by Olugboye Shola. ISO/IEC 27001 wording is paraphrased; use the purchased standard.</t>
  </si>
  <si>
    <t xml:space="preserve">What it does</t>
  </si>
  <si>
    <t xml:space="preserve">Records a decision for each of the 93 Annex A controls, derives each status from an evidence-based maturity score, scores clauses 4-10, and calculates certification readiness with a gate override.</t>
  </si>
  <si>
    <t xml:space="preserve">Step 1</t>
  </si>
  <si>
    <t xml:space="preserve">01_SoA: for each control choose Applicable Y/N, write the justification (for N, say what would bring it back), then enter a maturity 0-4 for applicable controls. Status is calculated.</t>
  </si>
  <si>
    <t xml:space="preserve">Step 2</t>
  </si>
  <si>
    <t xml:space="preserve">03_Clauses: score each of the 28 requirements 0 (absent), 1 (partly in place or designed but not evidenced) or 2 (met, with evidence).</t>
  </si>
  <si>
    <t xml:space="preserve">Step 3</t>
  </si>
  <si>
    <t xml:space="preserve">04_Readiness shows the score, the band and the Stage 1 decision. It reads "Incomplete" until every row is filled in.</t>
  </si>
  <si>
    <t xml:space="preserve">Step 4</t>
  </si>
  <si>
    <t xml:space="preserve">05_Issue_Checklist: every formula check must show PASS and every manual check Yes before the SoA is approved.</t>
  </si>
  <si>
    <t xml:space="preserve">Maturity scale</t>
  </si>
  <si>
    <t xml:space="preserve">0 Not performed | 1 Initial / ad hoc | 2 Documented: approved and owned, not evidenced | 3 Defined and operating, with retained evidence | 4 Measured and improved</t>
  </si>
  <si>
    <t xml:space="preserve">Status rule</t>
  </si>
  <si>
    <t xml:space="preserve">0 = Not started | 1-2 = Partial | 3-4 = Implemented. An approved but unevidenced control is a 2, so it can never read Implemented.</t>
  </si>
  <si>
    <t xml:space="preserve">Traceability rule</t>
  </si>
  <si>
    <t xml:space="preserve">Every applicable control traces to a risk ID, a maturity Category or a supplier finding, or its basis says NOT risk-based. Never invent a risk to justify a control.</t>
  </si>
  <si>
    <t xml:space="preserve">Gate override</t>
  </si>
  <si>
    <t xml:space="preserve">If any gate requirement (4.3, 6.1.2, 6.1.3, 9.2.1, 9.2.2, 9.3.1, 9.3.2, 9.3.3) scores below 2, the Stage 1 decision is NO-GO whatever the percentage.</t>
  </si>
  <si>
    <t xml:space="preserve">Worked example</t>
  </si>
  <si>
    <t xml:space="preserve">A.8.13 Information backup | Y | Acts after the event to limit the impact of ransomware; snapshots exist but no restore has been tested, so no credit is taken | maturity 1 -&gt; Partial | Held: backup configuration. Required: backup policy; dated restore test | IT Operations Manager | R-002 | PR.IR; RC.RP | F-013</t>
  </si>
  <si>
    <t xml:space="preserve">SHEETS</t>
  </si>
  <si>
    <t xml:space="preserve">01_SoA</t>
  </si>
  <si>
    <t xml:space="preserve">All 93 Annex A controls with titles and themes filled in</t>
  </si>
  <si>
    <t xml:space="preserve">02_Summary</t>
  </si>
  <si>
    <t xml:space="preserve">Counts by theme and the Annex A score (formulas)</t>
  </si>
  <si>
    <t xml:space="preserve">03_Clauses</t>
  </si>
  <si>
    <t xml:space="preserve">Clauses 4-10 readiness, 28 requirements with gate flags</t>
  </si>
  <si>
    <t xml:space="preserve">04_Readiness</t>
  </si>
  <si>
    <t xml:space="preserve">Weighted readiness, band and go/no-go (formulas)</t>
  </si>
  <si>
    <t xml:space="preserve">05_Issue_Checklist</t>
  </si>
  <si>
    <t xml:space="preserve">Formula checks and manual quality gates</t>
  </si>
  <si>
    <t xml:space="preserve">06_Lists</t>
  </si>
  <si>
    <t xml:space="preserve">Dropdown values</t>
  </si>
  <si>
    <t xml:space="preserve">COLOUR LEGEND</t>
  </si>
  <si>
    <t xml:space="preserve">Yellow cell</t>
  </si>
  <si>
    <t xml:space="preserve">Input — type or choose here</t>
  </si>
  <si>
    <t xml:space="preserve">Grey cell</t>
  </si>
  <si>
    <t xml:space="preserve">Formula — do not overwrite</t>
  </si>
  <si>
    <t xml:space="preserve">Green</t>
  </si>
  <si>
    <t xml:space="preserve">Pass / compliant / low</t>
  </si>
  <si>
    <t xml:space="preserve">Amber</t>
  </si>
  <si>
    <t xml:space="preserve">Partial / condition / medium</t>
  </si>
  <si>
    <t xml:space="preserve">Red</t>
  </si>
  <si>
    <t xml:space="preserve">Fail / non-compliant / high or critical</t>
  </si>
  <si>
    <t xml:space="preserve">PUBLISHING</t>
  </si>
  <si>
    <t xml:space="preserve">Version control</t>
  </si>
  <si>
    <t xml:space="preserve">Keep the SoA under document control: version it, and record the approval of top management on the version you issue.</t>
  </si>
  <si>
    <t xml:space="preserve">Databases</t>
  </si>
  <si>
    <t xml:space="preserve">Save 01_SoA as CSV to import it as a database (Settings -&gt; Import -&gt; CSV).</t>
  </si>
  <si>
    <t xml:space="preserve">Statement of Applicability - all 93 Annex A controls</t>
  </si>
  <si>
    <t xml:space="preserve">Columns A-L are the columns an auditor expects; M-O support the status and score. TEMPLATE - free to adapt.</t>
  </si>
  <si>
    <t xml:space="preserve">Control</t>
  </si>
  <si>
    <t xml:space="preserve">Title</t>
  </si>
  <si>
    <t xml:space="preserve">Theme</t>
  </si>
  <si>
    <t xml:space="preserve">Applicable Y/N</t>
  </si>
  <si>
    <t xml:space="preserve">Justification for inclusion or exclusion</t>
  </si>
  <si>
    <t xml:space="preserve">Implementation status</t>
  </si>
  <si>
    <t xml:space="preserve">Evidence held or required</t>
  </si>
  <si>
    <t xml:space="preserve">Owner (job title)</t>
  </si>
  <si>
    <t xml:space="preserve">Related risk ID</t>
  </si>
  <si>
    <t xml:space="preserve">Related maturity Category</t>
  </si>
  <si>
    <t xml:space="preserve">Related supplier finding</t>
  </si>
  <si>
    <t xml:space="preserve">Target date</t>
  </si>
  <si>
    <t xml:space="preserve">Basis for inclusion</t>
  </si>
  <si>
    <t xml:space="preserve">Control maturity (0-4)</t>
  </si>
  <si>
    <t xml:space="preserve">Status points</t>
  </si>
  <si>
    <t xml:space="preserve">A.5.1</t>
  </si>
  <si>
    <t xml:space="preserve">Policies for information security</t>
  </si>
  <si>
    <t xml:space="preserve">Organizational</t>
  </si>
  <si>
    <t xml:space="preserve">A.5.2</t>
  </si>
  <si>
    <t xml:space="preserve">Information security roles and responsibilities</t>
  </si>
  <si>
    <t xml:space="preserve">A.5.3</t>
  </si>
  <si>
    <t xml:space="preserve">Segregation of duties</t>
  </si>
  <si>
    <t xml:space="preserve">A.5.4</t>
  </si>
  <si>
    <t xml:space="preserve">Management responsibilities</t>
  </si>
  <si>
    <t xml:space="preserve">A.5.5</t>
  </si>
  <si>
    <t xml:space="preserve">Contact with authorities</t>
  </si>
  <si>
    <t xml:space="preserve">A.5.6</t>
  </si>
  <si>
    <t xml:space="preserve">Contact with special interest groups</t>
  </si>
  <si>
    <t xml:space="preserve">A.5.7</t>
  </si>
  <si>
    <t xml:space="preserve">Threat intelligence</t>
  </si>
  <si>
    <t xml:space="preserve">A.5.8</t>
  </si>
  <si>
    <t xml:space="preserve">Information security in project management</t>
  </si>
  <si>
    <t xml:space="preserve">A.5.9</t>
  </si>
  <si>
    <t xml:space="preserve">Inventory of information and other associated assets</t>
  </si>
  <si>
    <t xml:space="preserve">A.5.10</t>
  </si>
  <si>
    <t xml:space="preserve">Acceptable use of information and other associated assets</t>
  </si>
  <si>
    <t xml:space="preserve">A.5.11</t>
  </si>
  <si>
    <t xml:space="preserve">Return of assets</t>
  </si>
  <si>
    <t xml:space="preserve">A.5.12</t>
  </si>
  <si>
    <t xml:space="preserve">Classification of information</t>
  </si>
  <si>
    <t xml:space="preserve">A.5.13</t>
  </si>
  <si>
    <t xml:space="preserve">Labelling of information</t>
  </si>
  <si>
    <t xml:space="preserve">A.5.14</t>
  </si>
  <si>
    <t xml:space="preserve">Information transfer</t>
  </si>
  <si>
    <t xml:space="preserve">A.5.15</t>
  </si>
  <si>
    <t xml:space="preserve">Access control</t>
  </si>
  <si>
    <t xml:space="preserve">A.5.16</t>
  </si>
  <si>
    <t xml:space="preserve">Identity management</t>
  </si>
  <si>
    <t xml:space="preserve">A.5.17</t>
  </si>
  <si>
    <t xml:space="preserve">Authentication information</t>
  </si>
  <si>
    <t xml:space="preserve">A.5.18</t>
  </si>
  <si>
    <t xml:space="preserve">Access rights</t>
  </si>
  <si>
    <t xml:space="preserve">A.5.19</t>
  </si>
  <si>
    <t xml:space="preserve">Information security in supplier relationships</t>
  </si>
  <si>
    <t xml:space="preserve">A.5.20</t>
  </si>
  <si>
    <t xml:space="preserve">Addressing information security within supplier agreements</t>
  </si>
  <si>
    <t xml:space="preserve">A.5.21</t>
  </si>
  <si>
    <t xml:space="preserve">Managing information security in the ICT supply chain</t>
  </si>
  <si>
    <t xml:space="preserve">A.5.22</t>
  </si>
  <si>
    <t xml:space="preserve">Monitoring, review and change management of supplier services</t>
  </si>
  <si>
    <t xml:space="preserve">A.5.23</t>
  </si>
  <si>
    <t xml:space="preserve">Information security for use of cloud services</t>
  </si>
  <si>
    <t xml:space="preserve">A.5.24</t>
  </si>
  <si>
    <t xml:space="preserve">Information security incident management planning and preparation</t>
  </si>
  <si>
    <t xml:space="preserve">A.5.25</t>
  </si>
  <si>
    <t xml:space="preserve">Assessment and decision on information security events</t>
  </si>
  <si>
    <t xml:space="preserve">A.5.26</t>
  </si>
  <si>
    <t xml:space="preserve">Response to information security incidents</t>
  </si>
  <si>
    <t xml:space="preserve">A.5.27</t>
  </si>
  <si>
    <t xml:space="preserve">Learning from information security incidents</t>
  </si>
  <si>
    <t xml:space="preserve">A.5.28</t>
  </si>
  <si>
    <t xml:space="preserve">Collection of evidence</t>
  </si>
  <si>
    <t xml:space="preserve">A.5.29</t>
  </si>
  <si>
    <t xml:space="preserve">Information security during disruption</t>
  </si>
  <si>
    <t xml:space="preserve">A.5.30</t>
  </si>
  <si>
    <t xml:space="preserve">ICT readiness for business continuity</t>
  </si>
  <si>
    <t xml:space="preserve">A.5.31</t>
  </si>
  <si>
    <t xml:space="preserve">Legal, statutory, regulatory and contractual requirements</t>
  </si>
  <si>
    <t xml:space="preserve">A.5.32</t>
  </si>
  <si>
    <t xml:space="preserve">Intellectual property rights</t>
  </si>
  <si>
    <t xml:space="preserve">A.5.33</t>
  </si>
  <si>
    <t xml:space="preserve">Protection of records</t>
  </si>
  <si>
    <t xml:space="preserve">A.5.34</t>
  </si>
  <si>
    <t xml:space="preserve">Privacy and protection of PII</t>
  </si>
  <si>
    <t xml:space="preserve">A.5.35</t>
  </si>
  <si>
    <t xml:space="preserve">Independent review of information security</t>
  </si>
  <si>
    <t xml:space="preserve">A.5.36</t>
  </si>
  <si>
    <t xml:space="preserve">Compliance with policies, rules and standards for information security</t>
  </si>
  <si>
    <t xml:space="preserve">A.5.37</t>
  </si>
  <si>
    <t xml:space="preserve">Documented operating procedures</t>
  </si>
  <si>
    <t xml:space="preserve">A.6.1</t>
  </si>
  <si>
    <t xml:space="preserve">Screening</t>
  </si>
  <si>
    <t xml:space="preserve">People</t>
  </si>
  <si>
    <t xml:space="preserve">A.6.2</t>
  </si>
  <si>
    <t xml:space="preserve">Terms and conditions of employment</t>
  </si>
  <si>
    <t xml:space="preserve">A.6.3</t>
  </si>
  <si>
    <t xml:space="preserve">Information security awareness, education and training</t>
  </si>
  <si>
    <t xml:space="preserve">A.6.4</t>
  </si>
  <si>
    <t xml:space="preserve">Disciplinary process</t>
  </si>
  <si>
    <t xml:space="preserve">A.6.5</t>
  </si>
  <si>
    <t xml:space="preserve">Responsibilities after termination or change of employment</t>
  </si>
  <si>
    <t xml:space="preserve">A.6.6</t>
  </si>
  <si>
    <t xml:space="preserve">Confidentiality or non-disclosure agreements</t>
  </si>
  <si>
    <t xml:space="preserve">A.6.7</t>
  </si>
  <si>
    <t xml:space="preserve">Remote working</t>
  </si>
  <si>
    <t xml:space="preserve">A.6.8</t>
  </si>
  <si>
    <t xml:space="preserve">Information security event reporting</t>
  </si>
  <si>
    <t xml:space="preserve">A.7.1</t>
  </si>
  <si>
    <t xml:space="preserve">Physical security perimeters</t>
  </si>
  <si>
    <t xml:space="preserve">Physical</t>
  </si>
  <si>
    <t xml:space="preserve">A.7.2</t>
  </si>
  <si>
    <t xml:space="preserve">Physical entry</t>
  </si>
  <si>
    <t xml:space="preserve">A.7.3</t>
  </si>
  <si>
    <t xml:space="preserve">Securing offices, rooms and facilities</t>
  </si>
  <si>
    <t xml:space="preserve">A.7.4</t>
  </si>
  <si>
    <t xml:space="preserve">Physical security monitoring</t>
  </si>
  <si>
    <t xml:space="preserve">A.7.5</t>
  </si>
  <si>
    <t xml:space="preserve">Protecting against physical and environmental threats</t>
  </si>
  <si>
    <t xml:space="preserve">A.7.6</t>
  </si>
  <si>
    <t xml:space="preserve">Working in secure areas</t>
  </si>
  <si>
    <t xml:space="preserve">A.7.7</t>
  </si>
  <si>
    <t xml:space="preserve">Clear desk and clear screen</t>
  </si>
  <si>
    <t xml:space="preserve">A.7.8</t>
  </si>
  <si>
    <t xml:space="preserve">Equipment siting and protection</t>
  </si>
  <si>
    <t xml:space="preserve">A.7.9</t>
  </si>
  <si>
    <t xml:space="preserve">Security of assets off-premises</t>
  </si>
  <si>
    <t xml:space="preserve">A.7.10</t>
  </si>
  <si>
    <t xml:space="preserve">Storage media</t>
  </si>
  <si>
    <t xml:space="preserve">A.7.11</t>
  </si>
  <si>
    <t xml:space="preserve">Supporting utilities</t>
  </si>
  <si>
    <t xml:space="preserve">A.7.12</t>
  </si>
  <si>
    <t xml:space="preserve">Cabling security</t>
  </si>
  <si>
    <t xml:space="preserve">A.7.13</t>
  </si>
  <si>
    <t xml:space="preserve">Equipment maintenance</t>
  </si>
  <si>
    <t xml:space="preserve">A.7.14</t>
  </si>
  <si>
    <t xml:space="preserve">Secure disposal or re-use of equipment</t>
  </si>
  <si>
    <t xml:space="preserve">A.8.1</t>
  </si>
  <si>
    <t xml:space="preserve">User endpoint devices</t>
  </si>
  <si>
    <t xml:space="preserve">Technological</t>
  </si>
  <si>
    <t xml:space="preserve">A.8.2</t>
  </si>
  <si>
    <t xml:space="preserve">Privileged access rights</t>
  </si>
  <si>
    <t xml:space="preserve">A.8.3</t>
  </si>
  <si>
    <t xml:space="preserve">Information access restriction</t>
  </si>
  <si>
    <t xml:space="preserve">A.8.4</t>
  </si>
  <si>
    <t xml:space="preserve">Access to source code</t>
  </si>
  <si>
    <t xml:space="preserve">A.8.5</t>
  </si>
  <si>
    <t xml:space="preserve">Secure authentication</t>
  </si>
  <si>
    <t xml:space="preserve">A.8.6</t>
  </si>
  <si>
    <t xml:space="preserve">Capacity management</t>
  </si>
  <si>
    <t xml:space="preserve">A.8.7</t>
  </si>
  <si>
    <t xml:space="preserve">Protection against malware</t>
  </si>
  <si>
    <t xml:space="preserve">A.8.8</t>
  </si>
  <si>
    <t xml:space="preserve">Management of technical vulnerabilities</t>
  </si>
  <si>
    <t xml:space="preserve">A.8.9</t>
  </si>
  <si>
    <t xml:space="preserve">Configuration management</t>
  </si>
  <si>
    <t xml:space="preserve">A.8.10</t>
  </si>
  <si>
    <t xml:space="preserve">Information deletion</t>
  </si>
  <si>
    <t xml:space="preserve">A.8.11</t>
  </si>
  <si>
    <t xml:space="preserve">Data masking</t>
  </si>
  <si>
    <t xml:space="preserve">A.8.12</t>
  </si>
  <si>
    <t xml:space="preserve">Data leakage prevention</t>
  </si>
  <si>
    <t xml:space="preserve">A.8.13</t>
  </si>
  <si>
    <t xml:space="preserve">Information backup</t>
  </si>
  <si>
    <t xml:space="preserve">A.8.14</t>
  </si>
  <si>
    <t xml:space="preserve">Redundancy of information processing facilities</t>
  </si>
  <si>
    <t xml:space="preserve">A.8.15</t>
  </si>
  <si>
    <t xml:space="preserve">Logging</t>
  </si>
  <si>
    <t xml:space="preserve">A.8.16</t>
  </si>
  <si>
    <t xml:space="preserve">Monitoring activities</t>
  </si>
  <si>
    <t xml:space="preserve">A.8.17</t>
  </si>
  <si>
    <t xml:space="preserve">Clock synchronization</t>
  </si>
  <si>
    <t xml:space="preserve">A.8.18</t>
  </si>
  <si>
    <t xml:space="preserve">Use of privileged utility programs</t>
  </si>
  <si>
    <t xml:space="preserve">A.8.19</t>
  </si>
  <si>
    <t xml:space="preserve">Installation of software on operational systems</t>
  </si>
  <si>
    <t xml:space="preserve">A.8.20</t>
  </si>
  <si>
    <t xml:space="preserve">Networks security</t>
  </si>
  <si>
    <t xml:space="preserve">A.8.21</t>
  </si>
  <si>
    <t xml:space="preserve">Security of network services</t>
  </si>
  <si>
    <t xml:space="preserve">A.8.22</t>
  </si>
  <si>
    <t xml:space="preserve">Segregation of networks</t>
  </si>
  <si>
    <t xml:space="preserve">A.8.23</t>
  </si>
  <si>
    <t xml:space="preserve">Web filtering</t>
  </si>
  <si>
    <t xml:space="preserve">A.8.24</t>
  </si>
  <si>
    <t xml:space="preserve">Use of cryptography</t>
  </si>
  <si>
    <t xml:space="preserve">A.8.25</t>
  </si>
  <si>
    <t xml:space="preserve">Secure development life cycle</t>
  </si>
  <si>
    <t xml:space="preserve">A.8.26</t>
  </si>
  <si>
    <t xml:space="preserve">Application security requirements</t>
  </si>
  <si>
    <t xml:space="preserve">A.8.27</t>
  </si>
  <si>
    <t xml:space="preserve">Secure system architecture and engineering principles</t>
  </si>
  <si>
    <t xml:space="preserve">A.8.28</t>
  </si>
  <si>
    <t xml:space="preserve">Secure coding</t>
  </si>
  <si>
    <t xml:space="preserve">A.8.29</t>
  </si>
  <si>
    <t xml:space="preserve">Security testing in development and acceptance</t>
  </si>
  <si>
    <t xml:space="preserve">A.8.30</t>
  </si>
  <si>
    <t xml:space="preserve">Outsourced development</t>
  </si>
  <si>
    <t xml:space="preserve">A.8.31</t>
  </si>
  <si>
    <t xml:space="preserve">Separation of development, test and production environments</t>
  </si>
  <si>
    <t xml:space="preserve">A.8.32</t>
  </si>
  <si>
    <t xml:space="preserve">Change management</t>
  </si>
  <si>
    <t xml:space="preserve">A.8.33</t>
  </si>
  <si>
    <t xml:space="preserve">Test information</t>
  </si>
  <si>
    <t xml:space="preserve">A.8.34</t>
  </si>
  <si>
    <t xml:space="preserve">Protection of information systems during audit testing</t>
  </si>
  <si>
    <t xml:space="preserve">SoA summary (all formulas)</t>
  </si>
  <si>
    <t xml:space="preserve">TEMPLATE - free to adapt.</t>
  </si>
  <si>
    <t xml:space="preserve">Controls</t>
  </si>
  <si>
    <t xml:space="preserve">Applicable</t>
  </si>
  <si>
    <t xml:space="preserve">Excluded</t>
  </si>
  <si>
    <t xml:space="preserve">Implemented</t>
  </si>
  <si>
    <t xml:space="preserve">Partial</t>
  </si>
  <si>
    <t xml:space="preserve">Not started</t>
  </si>
  <si>
    <t xml:space="preserve">Undecided</t>
  </si>
  <si>
    <t xml:space="preserve">TOTAL</t>
  </si>
  <si>
    <t xml:space="preserve">Annex A points (Implemented x1 + Partial x0.5)</t>
  </si>
  <si>
    <t xml:space="preserve">Applicable controls</t>
  </si>
  <si>
    <t xml:space="preserve">Annex A score</t>
  </si>
  <si>
    <t xml:space="preserve">Applicable rows with no maturity</t>
  </si>
  <si>
    <t xml:space="preserve">Excluded rows with no justification</t>
  </si>
  <si>
    <t xml:space="preserve">Applicable rows with no justification</t>
  </si>
  <si>
    <t xml:space="preserve">Applicable rows with no basis</t>
  </si>
  <si>
    <t xml:space="preserve">Applicable rows with no owner</t>
  </si>
  <si>
    <t xml:space="preserve">Clauses 4-10 readiness assessment</t>
  </si>
  <si>
    <t xml:space="preserve">Score 0 = absent · 1 = partly in place or designed but not evidenced · 2 = met, with evidence. Clauses 4-10 can never be excluded. TEMPLATE - free to adapt.</t>
  </si>
  <si>
    <t xml:space="preserve">Clause</t>
  </si>
  <si>
    <t xml:space="preserve">Requirement</t>
  </si>
  <si>
    <t xml:space="preserve">Stage 1 gate (Y/N)</t>
  </si>
  <si>
    <t xml:space="preserve">Score (0-2)</t>
  </si>
  <si>
    <t xml:space="preserve">Current state</t>
  </si>
  <si>
    <t xml:space="preserve">Gap</t>
  </si>
  <si>
    <t xml:space="preserve">Evidence needed</t>
  </si>
  <si>
    <t xml:space="preserve">Action</t>
  </si>
  <si>
    <t xml:space="preserve">Due</t>
  </si>
  <si>
    <t xml:space="preserve">4.1</t>
  </si>
  <si>
    <t xml:space="preserve">Understand the organisation and its context: internal and external issues, including whether climate change is relevant (Amd 1:2024)</t>
  </si>
  <si>
    <t xml:space="preserve">N</t>
  </si>
  <si>
    <t xml:space="preserve">4.2</t>
  </si>
  <si>
    <t xml:space="preserve">Interested parties, their relevant requirements, and which of those the ISMS addresses</t>
  </si>
  <si>
    <t xml:space="preserve">4.3</t>
  </si>
  <si>
    <t xml:space="preserve">Determine and document the ISMS scope, considering interfaces and dependencies with other organisations</t>
  </si>
  <si>
    <t xml:space="preserve">Y</t>
  </si>
  <si>
    <t xml:space="preserve">4.4</t>
  </si>
  <si>
    <t xml:space="preserve">Establish, implement, maintain and continually improve the ISMS</t>
  </si>
  <si>
    <t xml:space="preserve">5.1</t>
  </si>
  <si>
    <t xml:space="preserve">Leadership and commitment</t>
  </si>
  <si>
    <t xml:space="preserve">5.2</t>
  </si>
  <si>
    <t xml:space="preserve">Information security policy: appropriate, provides a framework for objectives, commits to requirements and continual improvement; documented and communicated</t>
  </si>
  <si>
    <t xml:space="preserve">5.3</t>
  </si>
  <si>
    <t xml:space="preserve">Roles, responsibilities and authorities, including for ISMS conformance and reporting to top management</t>
  </si>
  <si>
    <t xml:space="preserve">6.1.1</t>
  </si>
  <si>
    <t xml:space="preserve">Determine risks and opportunities for the ISMS itself and plan actions</t>
  </si>
  <si>
    <t xml:space="preserve">6.1.2</t>
  </si>
  <si>
    <t xml:space="preserve">Information security risk assessment process, including risk ACCEPTANCE criteria and criteria for performing assessments</t>
  </si>
  <si>
    <t xml:space="preserve">6.1.3</t>
  </si>
  <si>
    <t xml:space="preserve">Risk treatment: select options, determine controls, compare with Annex A, produce the SoA and a risk treatment plan, and obtain risk owners' approval and residual acceptance</t>
  </si>
  <si>
    <t xml:space="preserve">6.2</t>
  </si>
  <si>
    <t xml:space="preserve">Information security objectives: measurable, monitored, communicated; plans to achieve them</t>
  </si>
  <si>
    <t xml:space="preserve">6.3</t>
  </si>
  <si>
    <t xml:space="preserve">Planning of changes to the ISMS</t>
  </si>
  <si>
    <t xml:space="preserve">7.1</t>
  </si>
  <si>
    <t xml:space="preserve">Resources</t>
  </si>
  <si>
    <t xml:space="preserve">7.2</t>
  </si>
  <si>
    <t xml:space="preserve">Competence, with documented evidence</t>
  </si>
  <si>
    <t xml:space="preserve">7.3</t>
  </si>
  <si>
    <t xml:space="preserve">Awareness of policy, contribution and implications of non-conformance</t>
  </si>
  <si>
    <t xml:space="preserve">7.4</t>
  </si>
  <si>
    <t xml:space="preserve">Internal and external communication</t>
  </si>
  <si>
    <t xml:space="preserve">7.5</t>
  </si>
  <si>
    <t xml:space="preserve">Documented information: creation, updating and control</t>
  </si>
  <si>
    <t xml:space="preserve">8.1</t>
  </si>
  <si>
    <t xml:space="preserve">Operational planning and control, including control of externally provided processes</t>
  </si>
  <si>
    <t xml:space="preserve">8.2</t>
  </si>
  <si>
    <t xml:space="preserve">Perform risk assessments at planned intervals or on significant change; retain results</t>
  </si>
  <si>
    <t xml:space="preserve">8.3</t>
  </si>
  <si>
    <t xml:space="preserve">Implement the risk treatment plan; retain results</t>
  </si>
  <si>
    <t xml:space="preserve">9.1</t>
  </si>
  <si>
    <t xml:space="preserve">Monitoring, measurement, analysis and evaluation; retain results</t>
  </si>
  <si>
    <t xml:space="preserve">9.2.1</t>
  </si>
  <si>
    <t xml:space="preserve">Internal audit at planned intervals</t>
  </si>
  <si>
    <t xml:space="preserve">9.2.2</t>
  </si>
  <si>
    <t xml:space="preserve">Internal audit programme: frequency, methods, responsibilities, criteria and scope; auditor objectivity; results reported</t>
  </si>
  <si>
    <t xml:space="preserve">9.3.1</t>
  </si>
  <si>
    <t xml:space="preserve">Management review at planned intervals</t>
  </si>
  <si>
    <t xml:space="preserve">9.3.2</t>
  </si>
  <si>
    <t xml:space="preserve">Management review inputs a) to g), including changes in interested parties' needs</t>
  </si>
  <si>
    <t xml:space="preserve">9.3.3</t>
  </si>
  <si>
    <t xml:space="preserve">Management review results: improvement decisions and changes; documented</t>
  </si>
  <si>
    <t xml:space="preserve">10.1</t>
  </si>
  <si>
    <t xml:space="preserve">Continual improvement</t>
  </si>
  <si>
    <t xml:space="preserve">10.2</t>
  </si>
  <si>
    <t xml:space="preserve">Nonconformity and corrective action (correction, root cause, action, effectiveness review); retained</t>
  </si>
  <si>
    <t xml:space="preserve">Certification readiness and Stage 1 go/no-go</t>
  </si>
  <si>
    <t xml:space="preserve">Method: 60% clauses + 40% Annex A, then the gate override. Change the weights and thresholds only deliberately. TEMPLATE - free to adapt.</t>
  </si>
  <si>
    <t xml:space="preserve">Element</t>
  </si>
  <si>
    <t xml:space="preserve">Value</t>
  </si>
  <si>
    <t xml:space="preserve">Note</t>
  </si>
  <si>
    <t xml:space="preserve">Clauses scored</t>
  </si>
  <si>
    <t xml:space="preserve">Must be 28</t>
  </si>
  <si>
    <t xml:space="preserve">Clause score</t>
  </si>
  <si>
    <t xml:space="preserve">Sum of 0-2 scores / 56</t>
  </si>
  <si>
    <t xml:space="preserve">(Implemented x1 + Partial x0.5) / applicable</t>
  </si>
  <si>
    <t xml:space="preserve">Weight - clauses</t>
  </si>
  <si>
    <t xml:space="preserve">Clauses cannot be excluded and carry most first-certification majors</t>
  </si>
  <si>
    <t xml:space="preserve">Weight - Annex A</t>
  </si>
  <si>
    <t xml:space="preserve">Weights check</t>
  </si>
  <si>
    <t xml:space="preserve">Weights must sum to 100%</t>
  </si>
  <si>
    <t xml:space="preserve">Weighted readiness</t>
  </si>
  <si>
    <t xml:space="preserve">Gate requirements</t>
  </si>
  <si>
    <t xml:space="preserve">4.3, 6.1.2, 6.1.3, 9.2.1, 9.2.2, 9.3.1, 9.3.2, 9.3.3</t>
  </si>
  <si>
    <t xml:space="preserve">Gates failed (score below 2)</t>
  </si>
  <si>
    <t xml:space="preserve">Any failed gate forces NO-GO</t>
  </si>
  <si>
    <t xml:space="preserve">Band threshold - ready</t>
  </si>
  <si>
    <t xml:space="preserve">Band threshold - within 90 days</t>
  </si>
  <si>
    <t xml:space="preserve">Band</t>
  </si>
  <si>
    <t xml:space="preserve">&gt;= 85% with no gate failure = Ready for Stage 1</t>
  </si>
  <si>
    <t xml:space="preserve">Stage 1 decision today</t>
  </si>
  <si>
    <t xml:space="preserve">Gate override applied first</t>
  </si>
  <si>
    <t xml:space="preserve">Issue checklist - quality gates before approval</t>
  </si>
  <si>
    <t xml:space="preserve">#</t>
  </si>
  <si>
    <t xml:space="preserve">Check</t>
  </si>
  <si>
    <t xml:space="preserve">Result</t>
  </si>
  <si>
    <t xml:space="preserve">How verified</t>
  </si>
  <si>
    <t xml:space="preserve">All 93 controls listed</t>
  </si>
  <si>
    <t xml:space="preserve">Formula</t>
  </si>
  <si>
    <t xml:space="preserve">Every control has an Applicable decision</t>
  </si>
  <si>
    <t xml:space="preserve">Every exclusion is justified</t>
  </si>
  <si>
    <t xml:space="preserve">Every applicable control has a justification, maturity, basis and owner</t>
  </si>
  <si>
    <t xml:space="preserve">All 28 clause requirements scored</t>
  </si>
  <si>
    <t xml:space="preserve">Readiness weights sum to 100%</t>
  </si>
  <si>
    <t xml:space="preserve">Every exclusion names what would bring the control back</t>
  </si>
  <si>
    <t xml:space="preserve">Manual: Yes / No</t>
  </si>
  <si>
    <t xml:space="preserve">No control is marked N (excluded) to hide a gap the risk register needs closed</t>
  </si>
  <si>
    <t xml:space="preserve">No applicable control is justified by a risk that is not in the risk register</t>
  </si>
  <si>
    <t xml:space="preserve">No control scores higher than the Categories it traces to (if you use a maturity scorecard)</t>
  </si>
  <si>
    <t xml:space="preserve">Owners are job titles, and target dates are in the future</t>
  </si>
  <si>
    <t xml:space="preserve">The SoA version is approved by top management and matches the scope statement</t>
  </si>
  <si>
    <t xml:space="preserve">Risk</t>
  </si>
  <si>
    <t xml:space="preserve">Risk + Maturity gap</t>
  </si>
  <si>
    <t xml:space="preserve">Risk + Maturity gap + Vendor finding</t>
  </si>
  <si>
    <t xml:space="preserve">Maturity gap</t>
  </si>
  <si>
    <t xml:space="preserve">Vendor finding</t>
  </si>
  <si>
    <t xml:space="preserve">Contractual / stakeholder - NOT risk-based</t>
  </si>
  <si>
    <t xml:space="preserve">Legal - NOT risk-based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</si>
</sst>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3315C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1"/>
      <color rgb="FF13315C"/>
      <name val="Arial"/>
      <family val="0"/>
      <charset val="1"/>
    </font>
    <font>
      <b val="true"/>
      <sz val="15"/>
      <color rgb="FF13315C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E7E6E6"/>
        <bgColor rgb="FFFFF2C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E7E6E6"/>
      </patternFill>
    </fill>
    <fill>
      <patternFill patternType="solid">
        <fgColor rgb="FF13315C"/>
        <bgColor rgb="FF1F293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331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9C0006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9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3315C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0"/>
  </cols>
  <sheetData>
    <row r="1" customFormat="false" ht="19.5" hidden="false" customHeight="true" outlineLevel="0" collapsed="false">
      <c r="A1" s="2" t="s">
        <v>0</v>
      </c>
    </row>
    <row r="2" customFormat="false" ht="42" hidden="false" customHeight="true" outlineLevel="0" collapsed="false">
      <c r="A2" s="3" t="s">
        <v>1</v>
      </c>
      <c r="B2" s="3"/>
    </row>
    <row r="4" customFormat="false" ht="23.25" hidden="false" customHeight="true" outlineLevel="0" collapsed="false">
      <c r="A4" s="4" t="s">
        <v>2</v>
      </c>
      <c r="B4" s="5" t="s">
        <v>3</v>
      </c>
    </row>
    <row r="5" customFormat="false" ht="23.25" hidden="false" customHeight="true" outlineLevel="0" collapsed="false">
      <c r="A5" s="4" t="s">
        <v>4</v>
      </c>
      <c r="B5" s="5" t="s">
        <v>5</v>
      </c>
    </row>
    <row r="6" customFormat="false" ht="23.2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 t="s">
        <v>10</v>
      </c>
      <c r="B8" s="5" t="s">
        <v>11</v>
      </c>
    </row>
    <row r="9" customFormat="false" ht="23.25" hidden="false" customHeight="true" outlineLevel="0" collapsed="false">
      <c r="A9" s="4" t="s">
        <v>12</v>
      </c>
      <c r="B9" s="5" t="s">
        <v>13</v>
      </c>
    </row>
    <row r="10" customFormat="false" ht="23.25" hidden="false" customHeight="true" outlineLevel="0" collapsed="false">
      <c r="A10" s="4" t="s">
        <v>14</v>
      </c>
      <c r="B10" s="5" t="s">
        <v>15</v>
      </c>
    </row>
    <row r="11" customFormat="false" ht="23.25" hidden="false" customHeight="true" outlineLevel="0" collapsed="false">
      <c r="A11" s="4" t="s">
        <v>16</v>
      </c>
      <c r="B11" s="5" t="s">
        <v>17</v>
      </c>
    </row>
    <row r="12" customFormat="false" ht="23.25" hidden="false" customHeight="true" outlineLevel="0" collapsed="false">
      <c r="A12" s="4" t="s">
        <v>18</v>
      </c>
      <c r="B12" s="5" t="s">
        <v>19</v>
      </c>
    </row>
    <row r="13" customFormat="false" ht="34.5" hidden="false" customHeight="true" outlineLevel="0" collapsed="false">
      <c r="A13" s="4" t="s">
        <v>20</v>
      </c>
      <c r="B13" s="5" t="s">
        <v>21</v>
      </c>
    </row>
    <row r="15" customFormat="false" ht="15" hidden="false" customHeight="true" outlineLevel="0" collapsed="false">
      <c r="A15" s="6" t="s">
        <v>22</v>
      </c>
      <c r="B15" s="5"/>
    </row>
    <row r="16" customFormat="false" ht="15" hidden="false" customHeight="true" outlineLevel="0" collapsed="false">
      <c r="A16" s="4" t="s">
        <v>23</v>
      </c>
      <c r="B16" s="5" t="s">
        <v>24</v>
      </c>
    </row>
    <row r="17" customFormat="false" ht="15" hidden="false" customHeight="true" outlineLevel="0" collapsed="false">
      <c r="A17" s="4" t="s">
        <v>25</v>
      </c>
      <c r="B17" s="5" t="s">
        <v>26</v>
      </c>
    </row>
    <row r="18" customFormat="false" ht="15" hidden="false" customHeight="true" outlineLevel="0" collapsed="false">
      <c r="A18" s="4" t="s">
        <v>27</v>
      </c>
      <c r="B18" s="5" t="s">
        <v>28</v>
      </c>
    </row>
    <row r="19" customFormat="false" ht="15" hidden="false" customHeight="true" outlineLevel="0" collapsed="false">
      <c r="A19" s="4" t="s">
        <v>29</v>
      </c>
      <c r="B19" s="5" t="s">
        <v>30</v>
      </c>
    </row>
    <row r="20" customFormat="false" ht="15" hidden="false" customHeight="true" outlineLevel="0" collapsed="false">
      <c r="A20" s="4" t="s">
        <v>31</v>
      </c>
      <c r="B20" s="5" t="s">
        <v>32</v>
      </c>
    </row>
    <row r="21" customFormat="false" ht="15" hidden="false" customHeight="true" outlineLevel="0" collapsed="false">
      <c r="A21" s="4" t="s">
        <v>33</v>
      </c>
      <c r="B21" s="5" t="s">
        <v>34</v>
      </c>
    </row>
    <row r="23" customFormat="false" ht="15" hidden="false" customHeight="true" outlineLevel="0" collapsed="false">
      <c r="A23" s="6" t="s">
        <v>35</v>
      </c>
      <c r="B23" s="5"/>
    </row>
    <row r="24" customFormat="false" ht="15" hidden="false" customHeight="true" outlineLevel="0" collapsed="false">
      <c r="A24" s="7" t="s">
        <v>36</v>
      </c>
      <c r="B24" s="5" t="s">
        <v>37</v>
      </c>
    </row>
    <row r="25" customFormat="false" ht="15" hidden="false" customHeight="true" outlineLevel="0" collapsed="false">
      <c r="A25" s="8" t="s">
        <v>38</v>
      </c>
      <c r="B25" s="5" t="s">
        <v>39</v>
      </c>
    </row>
    <row r="26" customFormat="false" ht="15" hidden="false" customHeight="true" outlineLevel="0" collapsed="false">
      <c r="A26" s="9" t="s">
        <v>40</v>
      </c>
      <c r="B26" s="5" t="s">
        <v>41</v>
      </c>
    </row>
    <row r="27" customFormat="false" ht="15" hidden="false" customHeight="true" outlineLevel="0" collapsed="false">
      <c r="A27" s="10" t="s">
        <v>42</v>
      </c>
      <c r="B27" s="5" t="s">
        <v>43</v>
      </c>
    </row>
    <row r="28" customFormat="false" ht="15" hidden="false" customHeight="true" outlineLevel="0" collapsed="false">
      <c r="A28" s="11" t="s">
        <v>44</v>
      </c>
      <c r="B28" s="5" t="s">
        <v>45</v>
      </c>
    </row>
    <row r="30" customFormat="false" ht="15" hidden="false" customHeight="true" outlineLevel="0" collapsed="false">
      <c r="A30" s="6" t="s">
        <v>46</v>
      </c>
      <c r="B30" s="5"/>
    </row>
    <row r="31" customFormat="false" ht="15" hidden="false" customHeight="true" outlineLevel="0" collapsed="false">
      <c r="A31" s="4" t="s">
        <v>47</v>
      </c>
      <c r="B31" s="5" t="s">
        <v>48</v>
      </c>
    </row>
    <row r="32" customFormat="false" ht="15" hidden="false" customHeight="true" outlineLevel="0" collapsed="false">
      <c r="A32" s="4" t="s">
        <v>49</v>
      </c>
      <c r="B32" s="5" t="s">
        <v>50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11"/>
    <col collapsed="false" customWidth="true" hidden="false" outlineLevel="0" max="5" min="5" style="1" width="50"/>
    <col collapsed="false" customWidth="true" hidden="false" outlineLevel="0" max="6" min="6" style="1" width="16"/>
    <col collapsed="false" customWidth="true" hidden="false" outlineLevel="0" max="7" min="7" style="1" width="44"/>
    <col collapsed="false" customWidth="true" hidden="false" outlineLevel="0" max="8" min="8" style="1" width="22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8"/>
    <col collapsed="false" customWidth="true" hidden="false" outlineLevel="0" max="12" min="12" style="1" width="13"/>
    <col collapsed="false" customWidth="true" hidden="false" outlineLevel="0" max="13" min="13" style="1" width="24"/>
    <col collapsed="false" customWidth="true" hidden="false" outlineLevel="0" max="14" min="14" style="1" width="11"/>
    <col collapsed="false" customWidth="true" hidden="false" outlineLevel="0" max="15" min="15" style="1" width="9"/>
  </cols>
  <sheetData>
    <row r="1" customFormat="false" ht="18" hidden="false" customHeight="true" outlineLevel="0" collapsed="false">
      <c r="A1" s="12" t="s">
        <v>51</v>
      </c>
    </row>
    <row r="2" customFormat="false" ht="15" hidden="false" customHeight="true" outlineLevel="0" collapsed="false">
      <c r="A2" s="13" t="s">
        <v>52</v>
      </c>
    </row>
    <row r="4" customFormat="false" ht="33.75" hidden="false" customHeight="true" outlineLevel="0" collapsed="false">
      <c r="A4" s="14" t="s">
        <v>53</v>
      </c>
      <c r="B4" s="14" t="s">
        <v>54</v>
      </c>
      <c r="C4" s="14" t="s">
        <v>55</v>
      </c>
      <c r="D4" s="14" t="s">
        <v>56</v>
      </c>
      <c r="E4" s="14" t="s">
        <v>57</v>
      </c>
      <c r="F4" s="14" t="s">
        <v>58</v>
      </c>
      <c r="G4" s="14" t="s">
        <v>59</v>
      </c>
      <c r="H4" s="14" t="s">
        <v>60</v>
      </c>
      <c r="I4" s="14" t="s">
        <v>61</v>
      </c>
      <c r="J4" s="14" t="s">
        <v>62</v>
      </c>
      <c r="K4" s="14" t="s">
        <v>63</v>
      </c>
      <c r="L4" s="14" t="s">
        <v>64</v>
      </c>
      <c r="M4" s="14" t="s">
        <v>65</v>
      </c>
      <c r="N4" s="14" t="s">
        <v>66</v>
      </c>
      <c r="O4" s="14" t="s">
        <v>67</v>
      </c>
    </row>
    <row r="5" customFormat="false" ht="15" hidden="false" customHeight="true" outlineLevel="0" collapsed="false">
      <c r="A5" s="15" t="s">
        <v>68</v>
      </c>
      <c r="B5" s="16" t="s">
        <v>69</v>
      </c>
      <c r="C5" s="16" t="s">
        <v>70</v>
      </c>
      <c r="D5" s="17"/>
      <c r="E5" s="17"/>
      <c r="F5" s="18" t="str">
        <f aca="false">IF(D5="","",IF(D5="N","N/A - excluded",IF(N5="","Maturity missing",IF(N5&gt;=3,"Implemented",IF(N5&gt;=1,"Partial","Not started")))))</f>
        <v/>
      </c>
      <c r="G5" s="17"/>
      <c r="H5" s="17"/>
      <c r="I5" s="17"/>
      <c r="J5" s="17"/>
      <c r="K5" s="17"/>
      <c r="L5" s="17"/>
      <c r="M5" s="17"/>
      <c r="N5" s="17"/>
      <c r="O5" s="18" t="str">
        <f aca="false">IF(OR(D5&lt;&gt;"Y",N5=""),"",IF(N5&gt;=3,1,IF(N5&gt;=1,0.5,0)))</f>
        <v/>
      </c>
    </row>
    <row r="6" customFormat="false" ht="23.25" hidden="false" customHeight="true" outlineLevel="0" collapsed="false">
      <c r="A6" s="15" t="s">
        <v>71</v>
      </c>
      <c r="B6" s="16" t="s">
        <v>72</v>
      </c>
      <c r="C6" s="16" t="s">
        <v>70</v>
      </c>
      <c r="D6" s="17"/>
      <c r="E6" s="17"/>
      <c r="F6" s="18" t="str">
        <f aca="false">IF(D6="","",IF(D6="N","N/A - excluded",IF(N6="","Maturity missing",IF(N6&gt;=3,"Implemented",IF(N6&gt;=1,"Partial","Not started")))))</f>
        <v/>
      </c>
      <c r="G6" s="17"/>
      <c r="H6" s="17"/>
      <c r="I6" s="17"/>
      <c r="J6" s="17"/>
      <c r="K6" s="17"/>
      <c r="L6" s="17"/>
      <c r="M6" s="17"/>
      <c r="N6" s="17"/>
      <c r="O6" s="18" t="str">
        <f aca="false">IF(OR(D6&lt;&gt;"Y",N6=""),"",IF(N6&gt;=3,1,IF(N6&gt;=1,0.5,0)))</f>
        <v/>
      </c>
    </row>
    <row r="7" customFormat="false" ht="15" hidden="false" customHeight="true" outlineLevel="0" collapsed="false">
      <c r="A7" s="15" t="s">
        <v>73</v>
      </c>
      <c r="B7" s="16" t="s">
        <v>74</v>
      </c>
      <c r="C7" s="16" t="s">
        <v>70</v>
      </c>
      <c r="D7" s="17"/>
      <c r="E7" s="17"/>
      <c r="F7" s="18" t="str">
        <f aca="false">IF(D7="","",IF(D7="N","N/A - excluded",IF(N7="","Maturity missing",IF(N7&gt;=3,"Implemented",IF(N7&gt;=1,"Partial","Not started")))))</f>
        <v/>
      </c>
      <c r="G7" s="17"/>
      <c r="H7" s="17"/>
      <c r="I7" s="17"/>
      <c r="J7" s="17"/>
      <c r="K7" s="17"/>
      <c r="L7" s="17"/>
      <c r="M7" s="17"/>
      <c r="N7" s="17"/>
      <c r="O7" s="18" t="str">
        <f aca="false">IF(OR(D7&lt;&gt;"Y",N7=""),"",IF(N7&gt;=3,1,IF(N7&gt;=1,0.5,0)))</f>
        <v/>
      </c>
    </row>
    <row r="8" customFormat="false" ht="15" hidden="false" customHeight="true" outlineLevel="0" collapsed="false">
      <c r="A8" s="15" t="s">
        <v>75</v>
      </c>
      <c r="B8" s="16" t="s">
        <v>76</v>
      </c>
      <c r="C8" s="16" t="s">
        <v>70</v>
      </c>
      <c r="D8" s="17"/>
      <c r="E8" s="17"/>
      <c r="F8" s="18" t="str">
        <f aca="false">IF(D8="","",IF(D8="N","N/A - excluded",IF(N8="","Maturity missing",IF(N8&gt;=3,"Implemented",IF(N8&gt;=1,"Partial","Not started")))))</f>
        <v/>
      </c>
      <c r="G8" s="17"/>
      <c r="H8" s="17"/>
      <c r="I8" s="17"/>
      <c r="J8" s="17"/>
      <c r="K8" s="17"/>
      <c r="L8" s="17"/>
      <c r="M8" s="17"/>
      <c r="N8" s="17"/>
      <c r="O8" s="18" t="str">
        <f aca="false">IF(OR(D8&lt;&gt;"Y",N8=""),"",IF(N8&gt;=3,1,IF(N8&gt;=1,0.5,0)))</f>
        <v/>
      </c>
    </row>
    <row r="9" customFormat="false" ht="15" hidden="false" customHeight="true" outlineLevel="0" collapsed="false">
      <c r="A9" s="15" t="s">
        <v>77</v>
      </c>
      <c r="B9" s="16" t="s">
        <v>78</v>
      </c>
      <c r="C9" s="16" t="s">
        <v>70</v>
      </c>
      <c r="D9" s="17"/>
      <c r="E9" s="17"/>
      <c r="F9" s="18" t="str">
        <f aca="false">IF(D9="","",IF(D9="N","N/A - excluded",IF(N9="","Maturity missing",IF(N9&gt;=3,"Implemented",IF(N9&gt;=1,"Partial","Not started")))))</f>
        <v/>
      </c>
      <c r="G9" s="17"/>
      <c r="H9" s="17"/>
      <c r="I9" s="17"/>
      <c r="J9" s="17"/>
      <c r="K9" s="17"/>
      <c r="L9" s="17"/>
      <c r="M9" s="17"/>
      <c r="N9" s="17"/>
      <c r="O9" s="18" t="str">
        <f aca="false">IF(OR(D9&lt;&gt;"Y",N9=""),"",IF(N9&gt;=3,1,IF(N9&gt;=1,0.5,0)))</f>
        <v/>
      </c>
    </row>
    <row r="10" customFormat="false" ht="15" hidden="false" customHeight="true" outlineLevel="0" collapsed="false">
      <c r="A10" s="15" t="s">
        <v>79</v>
      </c>
      <c r="B10" s="16" t="s">
        <v>80</v>
      </c>
      <c r="C10" s="16" t="s">
        <v>70</v>
      </c>
      <c r="D10" s="17"/>
      <c r="E10" s="17"/>
      <c r="F10" s="18" t="str">
        <f aca="false">IF(D10="","",IF(D10="N","N/A - excluded",IF(N10="","Maturity missing",IF(N10&gt;=3,"Implemented",IF(N10&gt;=1,"Partial","Not started")))))</f>
        <v/>
      </c>
      <c r="G10" s="17"/>
      <c r="H10" s="17"/>
      <c r="I10" s="17"/>
      <c r="J10" s="17"/>
      <c r="K10" s="17"/>
      <c r="L10" s="17"/>
      <c r="M10" s="17"/>
      <c r="N10" s="17"/>
      <c r="O10" s="18" t="str">
        <f aca="false">IF(OR(D10&lt;&gt;"Y",N10=""),"",IF(N10&gt;=3,1,IF(N10&gt;=1,0.5,0)))</f>
        <v/>
      </c>
    </row>
    <row r="11" customFormat="false" ht="15" hidden="false" customHeight="true" outlineLevel="0" collapsed="false">
      <c r="A11" s="15" t="s">
        <v>81</v>
      </c>
      <c r="B11" s="16" t="s">
        <v>82</v>
      </c>
      <c r="C11" s="16" t="s">
        <v>70</v>
      </c>
      <c r="D11" s="17"/>
      <c r="E11" s="17"/>
      <c r="F11" s="18" t="str">
        <f aca="false">IF(D11="","",IF(D11="N","N/A - excluded",IF(N11="","Maturity missing",IF(N11&gt;=3,"Implemented",IF(N11&gt;=1,"Partial","Not started")))))</f>
        <v/>
      </c>
      <c r="G11" s="17"/>
      <c r="H11" s="17"/>
      <c r="I11" s="17"/>
      <c r="J11" s="17"/>
      <c r="K11" s="17"/>
      <c r="L11" s="17"/>
      <c r="M11" s="17"/>
      <c r="N11" s="17"/>
      <c r="O11" s="18" t="str">
        <f aca="false">IF(OR(D11&lt;&gt;"Y",N11=""),"",IF(N11&gt;=3,1,IF(N11&gt;=1,0.5,0)))</f>
        <v/>
      </c>
    </row>
    <row r="12" customFormat="false" ht="23.25" hidden="false" customHeight="true" outlineLevel="0" collapsed="false">
      <c r="A12" s="15" t="s">
        <v>83</v>
      </c>
      <c r="B12" s="16" t="s">
        <v>84</v>
      </c>
      <c r="C12" s="16" t="s">
        <v>70</v>
      </c>
      <c r="D12" s="17"/>
      <c r="E12" s="17"/>
      <c r="F12" s="18" t="str">
        <f aca="false">IF(D12="","",IF(D12="N","N/A - excluded",IF(N12="","Maturity missing",IF(N12&gt;=3,"Implemented",IF(N12&gt;=1,"Partial","Not started")))))</f>
        <v/>
      </c>
      <c r="G12" s="17"/>
      <c r="H12" s="17"/>
      <c r="I12" s="17"/>
      <c r="J12" s="17"/>
      <c r="K12" s="17"/>
      <c r="L12" s="17"/>
      <c r="M12" s="17"/>
      <c r="N12" s="17"/>
      <c r="O12" s="18" t="str">
        <f aca="false">IF(OR(D12&lt;&gt;"Y",N12=""),"",IF(N12&gt;=3,1,IF(N12&gt;=1,0.5,0)))</f>
        <v/>
      </c>
    </row>
    <row r="13" customFormat="false" ht="23.25" hidden="false" customHeight="true" outlineLevel="0" collapsed="false">
      <c r="A13" s="15" t="s">
        <v>85</v>
      </c>
      <c r="B13" s="16" t="s">
        <v>86</v>
      </c>
      <c r="C13" s="16" t="s">
        <v>70</v>
      </c>
      <c r="D13" s="17"/>
      <c r="E13" s="17"/>
      <c r="F13" s="18" t="str">
        <f aca="false">IF(D13="","",IF(D13="N","N/A - excluded",IF(N13="","Maturity missing",IF(N13&gt;=3,"Implemented",IF(N13&gt;=1,"Partial","Not started")))))</f>
        <v/>
      </c>
      <c r="G13" s="17"/>
      <c r="H13" s="17"/>
      <c r="I13" s="17"/>
      <c r="J13" s="17"/>
      <c r="K13" s="17"/>
      <c r="L13" s="17"/>
      <c r="M13" s="17"/>
      <c r="N13" s="17"/>
      <c r="O13" s="18" t="str">
        <f aca="false">IF(OR(D13&lt;&gt;"Y",N13=""),"",IF(N13&gt;=3,1,IF(N13&gt;=1,0.5,0)))</f>
        <v/>
      </c>
    </row>
    <row r="14" customFormat="false" ht="23.25" hidden="false" customHeight="true" outlineLevel="0" collapsed="false">
      <c r="A14" s="15" t="s">
        <v>87</v>
      </c>
      <c r="B14" s="16" t="s">
        <v>88</v>
      </c>
      <c r="C14" s="16" t="s">
        <v>70</v>
      </c>
      <c r="D14" s="17"/>
      <c r="E14" s="17"/>
      <c r="F14" s="18" t="str">
        <f aca="false">IF(D14="","",IF(D14="N","N/A - excluded",IF(N14="","Maturity missing",IF(N14&gt;=3,"Implemented",IF(N14&gt;=1,"Partial","Not started")))))</f>
        <v/>
      </c>
      <c r="G14" s="17"/>
      <c r="H14" s="17"/>
      <c r="I14" s="17"/>
      <c r="J14" s="17"/>
      <c r="K14" s="17"/>
      <c r="L14" s="17"/>
      <c r="M14" s="17"/>
      <c r="N14" s="17"/>
      <c r="O14" s="18" t="str">
        <f aca="false">IF(OR(D14&lt;&gt;"Y",N14=""),"",IF(N14&gt;=3,1,IF(N14&gt;=1,0.5,0)))</f>
        <v/>
      </c>
    </row>
    <row r="15" customFormat="false" ht="15" hidden="false" customHeight="true" outlineLevel="0" collapsed="false">
      <c r="A15" s="15" t="s">
        <v>89</v>
      </c>
      <c r="B15" s="16" t="s">
        <v>90</v>
      </c>
      <c r="C15" s="16" t="s">
        <v>70</v>
      </c>
      <c r="D15" s="17"/>
      <c r="E15" s="17"/>
      <c r="F15" s="18" t="str">
        <f aca="false">IF(D15="","",IF(D15="N","N/A - excluded",IF(N15="","Maturity missing",IF(N15&gt;=3,"Implemented",IF(N15&gt;=1,"Partial","Not started")))))</f>
        <v/>
      </c>
      <c r="G15" s="17"/>
      <c r="H15" s="17"/>
      <c r="I15" s="17"/>
      <c r="J15" s="17"/>
      <c r="K15" s="17"/>
      <c r="L15" s="17"/>
      <c r="M15" s="17"/>
      <c r="N15" s="17"/>
      <c r="O15" s="18" t="str">
        <f aca="false">IF(OR(D15&lt;&gt;"Y",N15=""),"",IF(N15&gt;=3,1,IF(N15&gt;=1,0.5,0)))</f>
        <v/>
      </c>
    </row>
    <row r="16" customFormat="false" ht="15" hidden="false" customHeight="true" outlineLevel="0" collapsed="false">
      <c r="A16" s="15" t="s">
        <v>91</v>
      </c>
      <c r="B16" s="16" t="s">
        <v>92</v>
      </c>
      <c r="C16" s="16" t="s">
        <v>70</v>
      </c>
      <c r="D16" s="17"/>
      <c r="E16" s="17"/>
      <c r="F16" s="18" t="str">
        <f aca="false">IF(D16="","",IF(D16="N","N/A - excluded",IF(N16="","Maturity missing",IF(N16&gt;=3,"Implemented",IF(N16&gt;=1,"Partial","Not started")))))</f>
        <v/>
      </c>
      <c r="G16" s="17"/>
      <c r="H16" s="17"/>
      <c r="I16" s="17"/>
      <c r="J16" s="17"/>
      <c r="K16" s="17"/>
      <c r="L16" s="17"/>
      <c r="M16" s="17"/>
      <c r="N16" s="17"/>
      <c r="O16" s="18" t="str">
        <f aca="false">IF(OR(D16&lt;&gt;"Y",N16=""),"",IF(N16&gt;=3,1,IF(N16&gt;=1,0.5,0)))</f>
        <v/>
      </c>
    </row>
    <row r="17" customFormat="false" ht="15" hidden="false" customHeight="true" outlineLevel="0" collapsed="false">
      <c r="A17" s="15" t="s">
        <v>93</v>
      </c>
      <c r="B17" s="16" t="s">
        <v>94</v>
      </c>
      <c r="C17" s="16" t="s">
        <v>70</v>
      </c>
      <c r="D17" s="17"/>
      <c r="E17" s="17"/>
      <c r="F17" s="18" t="str">
        <f aca="false">IF(D17="","",IF(D17="N","N/A - excluded",IF(N17="","Maturity missing",IF(N17&gt;=3,"Implemented",IF(N17&gt;=1,"Partial","Not started")))))</f>
        <v/>
      </c>
      <c r="G17" s="17"/>
      <c r="H17" s="17"/>
      <c r="I17" s="17"/>
      <c r="J17" s="17"/>
      <c r="K17" s="17"/>
      <c r="L17" s="17"/>
      <c r="M17" s="17"/>
      <c r="N17" s="17"/>
      <c r="O17" s="18" t="str">
        <f aca="false">IF(OR(D17&lt;&gt;"Y",N17=""),"",IF(N17&gt;=3,1,IF(N17&gt;=1,0.5,0)))</f>
        <v/>
      </c>
    </row>
    <row r="18" customFormat="false" ht="15" hidden="false" customHeight="true" outlineLevel="0" collapsed="false">
      <c r="A18" s="15" t="s">
        <v>95</v>
      </c>
      <c r="B18" s="16" t="s">
        <v>96</v>
      </c>
      <c r="C18" s="16" t="s">
        <v>70</v>
      </c>
      <c r="D18" s="17"/>
      <c r="E18" s="17"/>
      <c r="F18" s="18" t="str">
        <f aca="false">IF(D18="","",IF(D18="N","N/A - excluded",IF(N18="","Maturity missing",IF(N18&gt;=3,"Implemented",IF(N18&gt;=1,"Partial","Not started")))))</f>
        <v/>
      </c>
      <c r="G18" s="17"/>
      <c r="H18" s="17"/>
      <c r="I18" s="17"/>
      <c r="J18" s="17"/>
      <c r="K18" s="17"/>
      <c r="L18" s="17"/>
      <c r="M18" s="17"/>
      <c r="N18" s="17"/>
      <c r="O18" s="18" t="str">
        <f aca="false">IF(OR(D18&lt;&gt;"Y",N18=""),"",IF(N18&gt;=3,1,IF(N18&gt;=1,0.5,0)))</f>
        <v/>
      </c>
    </row>
    <row r="19" customFormat="false" ht="15" hidden="false" customHeight="true" outlineLevel="0" collapsed="false">
      <c r="A19" s="15" t="s">
        <v>97</v>
      </c>
      <c r="B19" s="16" t="s">
        <v>98</v>
      </c>
      <c r="C19" s="16" t="s">
        <v>70</v>
      </c>
      <c r="D19" s="17"/>
      <c r="E19" s="17"/>
      <c r="F19" s="18" t="str">
        <f aca="false">IF(D19="","",IF(D19="N","N/A - excluded",IF(N19="","Maturity missing",IF(N19&gt;=3,"Implemented",IF(N19&gt;=1,"Partial","Not started")))))</f>
        <v/>
      </c>
      <c r="G19" s="17"/>
      <c r="H19" s="17"/>
      <c r="I19" s="17"/>
      <c r="J19" s="17"/>
      <c r="K19" s="17"/>
      <c r="L19" s="17"/>
      <c r="M19" s="17"/>
      <c r="N19" s="17"/>
      <c r="O19" s="18" t="str">
        <f aca="false">IF(OR(D19&lt;&gt;"Y",N19=""),"",IF(N19&gt;=3,1,IF(N19&gt;=1,0.5,0)))</f>
        <v/>
      </c>
    </row>
    <row r="20" customFormat="false" ht="15" hidden="false" customHeight="true" outlineLevel="0" collapsed="false">
      <c r="A20" s="15" t="s">
        <v>99</v>
      </c>
      <c r="B20" s="16" t="s">
        <v>100</v>
      </c>
      <c r="C20" s="16" t="s">
        <v>70</v>
      </c>
      <c r="D20" s="17"/>
      <c r="E20" s="17"/>
      <c r="F20" s="18" t="str">
        <f aca="false">IF(D20="","",IF(D20="N","N/A - excluded",IF(N20="","Maturity missing",IF(N20&gt;=3,"Implemented",IF(N20&gt;=1,"Partial","Not started")))))</f>
        <v/>
      </c>
      <c r="G20" s="17"/>
      <c r="H20" s="17"/>
      <c r="I20" s="17"/>
      <c r="J20" s="17"/>
      <c r="K20" s="17"/>
      <c r="L20" s="17"/>
      <c r="M20" s="17"/>
      <c r="N20" s="17"/>
      <c r="O20" s="18" t="str">
        <f aca="false">IF(OR(D20&lt;&gt;"Y",N20=""),"",IF(N20&gt;=3,1,IF(N20&gt;=1,0.5,0)))</f>
        <v/>
      </c>
    </row>
    <row r="21" customFormat="false" ht="15" hidden="false" customHeight="true" outlineLevel="0" collapsed="false">
      <c r="A21" s="15" t="s">
        <v>101</v>
      </c>
      <c r="B21" s="16" t="s">
        <v>102</v>
      </c>
      <c r="C21" s="16" t="s">
        <v>70</v>
      </c>
      <c r="D21" s="17"/>
      <c r="E21" s="17"/>
      <c r="F21" s="18" t="str">
        <f aca="false">IF(D21="","",IF(D21="N","N/A - excluded",IF(N21="","Maturity missing",IF(N21&gt;=3,"Implemented",IF(N21&gt;=1,"Partial","Not started")))))</f>
        <v/>
      </c>
      <c r="G21" s="17"/>
      <c r="H21" s="17"/>
      <c r="I21" s="17"/>
      <c r="J21" s="17"/>
      <c r="K21" s="17"/>
      <c r="L21" s="17"/>
      <c r="M21" s="17"/>
      <c r="N21" s="17"/>
      <c r="O21" s="18" t="str">
        <f aca="false">IF(OR(D21&lt;&gt;"Y",N21=""),"",IF(N21&gt;=3,1,IF(N21&gt;=1,0.5,0)))</f>
        <v/>
      </c>
    </row>
    <row r="22" customFormat="false" ht="15" hidden="false" customHeight="true" outlineLevel="0" collapsed="false">
      <c r="A22" s="15" t="s">
        <v>103</v>
      </c>
      <c r="B22" s="16" t="s">
        <v>104</v>
      </c>
      <c r="C22" s="16" t="s">
        <v>70</v>
      </c>
      <c r="D22" s="17"/>
      <c r="E22" s="17"/>
      <c r="F22" s="18" t="str">
        <f aca="false">IF(D22="","",IF(D22="N","N/A - excluded",IF(N22="","Maturity missing",IF(N22&gt;=3,"Implemented",IF(N22&gt;=1,"Partial","Not started")))))</f>
        <v/>
      </c>
      <c r="G22" s="17"/>
      <c r="H22" s="17"/>
      <c r="I22" s="17"/>
      <c r="J22" s="17"/>
      <c r="K22" s="17"/>
      <c r="L22" s="17"/>
      <c r="M22" s="17"/>
      <c r="N22" s="17"/>
      <c r="O22" s="18" t="str">
        <f aca="false">IF(OR(D22&lt;&gt;"Y",N22=""),"",IF(N22&gt;=3,1,IF(N22&gt;=1,0.5,0)))</f>
        <v/>
      </c>
    </row>
    <row r="23" customFormat="false" ht="23.25" hidden="false" customHeight="true" outlineLevel="0" collapsed="false">
      <c r="A23" s="15" t="s">
        <v>105</v>
      </c>
      <c r="B23" s="16" t="s">
        <v>106</v>
      </c>
      <c r="C23" s="16" t="s">
        <v>70</v>
      </c>
      <c r="D23" s="17"/>
      <c r="E23" s="17"/>
      <c r="F23" s="18" t="str">
        <f aca="false">IF(D23="","",IF(D23="N","N/A - excluded",IF(N23="","Maturity missing",IF(N23&gt;=3,"Implemented",IF(N23&gt;=1,"Partial","Not started")))))</f>
        <v/>
      </c>
      <c r="G23" s="17"/>
      <c r="H23" s="17"/>
      <c r="I23" s="17"/>
      <c r="J23" s="17"/>
      <c r="K23" s="17"/>
      <c r="L23" s="17"/>
      <c r="M23" s="17"/>
      <c r="N23" s="17"/>
      <c r="O23" s="18" t="str">
        <f aca="false">IF(OR(D23&lt;&gt;"Y",N23=""),"",IF(N23&gt;=3,1,IF(N23&gt;=1,0.5,0)))</f>
        <v/>
      </c>
    </row>
    <row r="24" customFormat="false" ht="23.25" hidden="false" customHeight="true" outlineLevel="0" collapsed="false">
      <c r="A24" s="15" t="s">
        <v>107</v>
      </c>
      <c r="B24" s="16" t="s">
        <v>108</v>
      </c>
      <c r="C24" s="16" t="s">
        <v>70</v>
      </c>
      <c r="D24" s="17"/>
      <c r="E24" s="17"/>
      <c r="F24" s="18" t="str">
        <f aca="false">IF(D24="","",IF(D24="N","N/A - excluded",IF(N24="","Maturity missing",IF(N24&gt;=3,"Implemented",IF(N24&gt;=1,"Partial","Not started")))))</f>
        <v/>
      </c>
      <c r="G24" s="17"/>
      <c r="H24" s="17"/>
      <c r="I24" s="17"/>
      <c r="J24" s="17"/>
      <c r="K24" s="17"/>
      <c r="L24" s="17"/>
      <c r="M24" s="17"/>
      <c r="N24" s="17"/>
      <c r="O24" s="18" t="str">
        <f aca="false">IF(OR(D24&lt;&gt;"Y",N24=""),"",IF(N24&gt;=3,1,IF(N24&gt;=1,0.5,0)))</f>
        <v/>
      </c>
    </row>
    <row r="25" customFormat="false" ht="23.25" hidden="false" customHeight="true" outlineLevel="0" collapsed="false">
      <c r="A25" s="15" t="s">
        <v>109</v>
      </c>
      <c r="B25" s="16" t="s">
        <v>110</v>
      </c>
      <c r="C25" s="16" t="s">
        <v>70</v>
      </c>
      <c r="D25" s="17"/>
      <c r="E25" s="17"/>
      <c r="F25" s="18" t="str">
        <f aca="false">IF(D25="","",IF(D25="N","N/A - excluded",IF(N25="","Maturity missing",IF(N25&gt;=3,"Implemented",IF(N25&gt;=1,"Partial","Not started")))))</f>
        <v/>
      </c>
      <c r="G25" s="17"/>
      <c r="H25" s="17"/>
      <c r="I25" s="17"/>
      <c r="J25" s="17"/>
      <c r="K25" s="17"/>
      <c r="L25" s="17"/>
      <c r="M25" s="17"/>
      <c r="N25" s="17"/>
      <c r="O25" s="18" t="str">
        <f aca="false">IF(OR(D25&lt;&gt;"Y",N25=""),"",IF(N25&gt;=3,1,IF(N25&gt;=1,0.5,0)))</f>
        <v/>
      </c>
    </row>
    <row r="26" customFormat="false" ht="23.25" hidden="false" customHeight="true" outlineLevel="0" collapsed="false">
      <c r="A26" s="15" t="s">
        <v>111</v>
      </c>
      <c r="B26" s="16" t="s">
        <v>112</v>
      </c>
      <c r="C26" s="16" t="s">
        <v>70</v>
      </c>
      <c r="D26" s="17"/>
      <c r="E26" s="17"/>
      <c r="F26" s="18" t="str">
        <f aca="false">IF(D26="","",IF(D26="N","N/A - excluded",IF(N26="","Maturity missing",IF(N26&gt;=3,"Implemented",IF(N26&gt;=1,"Partial","Not started")))))</f>
        <v/>
      </c>
      <c r="G26" s="17"/>
      <c r="H26" s="17"/>
      <c r="I26" s="17"/>
      <c r="J26" s="17"/>
      <c r="K26" s="17"/>
      <c r="L26" s="17"/>
      <c r="M26" s="17"/>
      <c r="N26" s="17"/>
      <c r="O26" s="18" t="str">
        <f aca="false">IF(OR(D26&lt;&gt;"Y",N26=""),"",IF(N26&gt;=3,1,IF(N26&gt;=1,0.5,0)))</f>
        <v/>
      </c>
    </row>
    <row r="27" customFormat="false" ht="23.25" hidden="false" customHeight="true" outlineLevel="0" collapsed="false">
      <c r="A27" s="15" t="s">
        <v>113</v>
      </c>
      <c r="B27" s="16" t="s">
        <v>114</v>
      </c>
      <c r="C27" s="16" t="s">
        <v>70</v>
      </c>
      <c r="D27" s="17"/>
      <c r="E27" s="17"/>
      <c r="F27" s="18" t="str">
        <f aca="false">IF(D27="","",IF(D27="N","N/A - excluded",IF(N27="","Maturity missing",IF(N27&gt;=3,"Implemented",IF(N27&gt;=1,"Partial","Not started")))))</f>
        <v/>
      </c>
      <c r="G27" s="17"/>
      <c r="H27" s="17"/>
      <c r="I27" s="17"/>
      <c r="J27" s="17"/>
      <c r="K27" s="17"/>
      <c r="L27" s="17"/>
      <c r="M27" s="17"/>
      <c r="N27" s="17"/>
      <c r="O27" s="18" t="str">
        <f aca="false">IF(OR(D27&lt;&gt;"Y",N27=""),"",IF(N27&gt;=3,1,IF(N27&gt;=1,0.5,0)))</f>
        <v/>
      </c>
    </row>
    <row r="28" customFormat="false" ht="23.25" hidden="false" customHeight="true" outlineLevel="0" collapsed="false">
      <c r="A28" s="15" t="s">
        <v>115</v>
      </c>
      <c r="B28" s="16" t="s">
        <v>116</v>
      </c>
      <c r="C28" s="16" t="s">
        <v>70</v>
      </c>
      <c r="D28" s="17"/>
      <c r="E28" s="17"/>
      <c r="F28" s="18" t="str">
        <f aca="false">IF(D28="","",IF(D28="N","N/A - excluded",IF(N28="","Maturity missing",IF(N28&gt;=3,"Implemented",IF(N28&gt;=1,"Partial","Not started")))))</f>
        <v/>
      </c>
      <c r="G28" s="17"/>
      <c r="H28" s="17"/>
      <c r="I28" s="17"/>
      <c r="J28" s="17"/>
      <c r="K28" s="17"/>
      <c r="L28" s="17"/>
      <c r="M28" s="17"/>
      <c r="N28" s="17"/>
      <c r="O28" s="18" t="str">
        <f aca="false">IF(OR(D28&lt;&gt;"Y",N28=""),"",IF(N28&gt;=3,1,IF(N28&gt;=1,0.5,0)))</f>
        <v/>
      </c>
    </row>
    <row r="29" customFormat="false" ht="23.25" hidden="false" customHeight="true" outlineLevel="0" collapsed="false">
      <c r="A29" s="15" t="s">
        <v>117</v>
      </c>
      <c r="B29" s="16" t="s">
        <v>118</v>
      </c>
      <c r="C29" s="16" t="s">
        <v>70</v>
      </c>
      <c r="D29" s="17"/>
      <c r="E29" s="17"/>
      <c r="F29" s="18" t="str">
        <f aca="false">IF(D29="","",IF(D29="N","N/A - excluded",IF(N29="","Maturity missing",IF(N29&gt;=3,"Implemented",IF(N29&gt;=1,"Partial","Not started")))))</f>
        <v/>
      </c>
      <c r="G29" s="17"/>
      <c r="H29" s="17"/>
      <c r="I29" s="17"/>
      <c r="J29" s="17"/>
      <c r="K29" s="17"/>
      <c r="L29" s="17"/>
      <c r="M29" s="17"/>
      <c r="N29" s="17"/>
      <c r="O29" s="18" t="str">
        <f aca="false">IF(OR(D29&lt;&gt;"Y",N29=""),"",IF(N29&gt;=3,1,IF(N29&gt;=1,0.5,0)))</f>
        <v/>
      </c>
    </row>
    <row r="30" customFormat="false" ht="23.25" hidden="false" customHeight="true" outlineLevel="0" collapsed="false">
      <c r="A30" s="15" t="s">
        <v>119</v>
      </c>
      <c r="B30" s="16" t="s">
        <v>120</v>
      </c>
      <c r="C30" s="16" t="s">
        <v>70</v>
      </c>
      <c r="D30" s="17"/>
      <c r="E30" s="17"/>
      <c r="F30" s="18" t="str">
        <f aca="false">IF(D30="","",IF(D30="N","N/A - excluded",IF(N30="","Maturity missing",IF(N30&gt;=3,"Implemented",IF(N30&gt;=1,"Partial","Not started")))))</f>
        <v/>
      </c>
      <c r="G30" s="17"/>
      <c r="H30" s="17"/>
      <c r="I30" s="17"/>
      <c r="J30" s="17"/>
      <c r="K30" s="17"/>
      <c r="L30" s="17"/>
      <c r="M30" s="17"/>
      <c r="N30" s="17"/>
      <c r="O30" s="18" t="str">
        <f aca="false">IF(OR(D30&lt;&gt;"Y",N30=""),"",IF(N30&gt;=3,1,IF(N30&gt;=1,0.5,0)))</f>
        <v/>
      </c>
    </row>
    <row r="31" customFormat="false" ht="23.25" hidden="false" customHeight="true" outlineLevel="0" collapsed="false">
      <c r="A31" s="15" t="s">
        <v>121</v>
      </c>
      <c r="B31" s="16" t="s">
        <v>122</v>
      </c>
      <c r="C31" s="16" t="s">
        <v>70</v>
      </c>
      <c r="D31" s="17"/>
      <c r="E31" s="17"/>
      <c r="F31" s="18" t="str">
        <f aca="false">IF(D31="","",IF(D31="N","N/A - excluded",IF(N31="","Maturity missing",IF(N31&gt;=3,"Implemented",IF(N31&gt;=1,"Partial","Not started")))))</f>
        <v/>
      </c>
      <c r="G31" s="17"/>
      <c r="H31" s="17"/>
      <c r="I31" s="17"/>
      <c r="J31" s="17"/>
      <c r="K31" s="17"/>
      <c r="L31" s="17"/>
      <c r="M31" s="17"/>
      <c r="N31" s="17"/>
      <c r="O31" s="18" t="str">
        <f aca="false">IF(OR(D31&lt;&gt;"Y",N31=""),"",IF(N31&gt;=3,1,IF(N31&gt;=1,0.5,0)))</f>
        <v/>
      </c>
    </row>
    <row r="32" customFormat="false" ht="15" hidden="false" customHeight="true" outlineLevel="0" collapsed="false">
      <c r="A32" s="15" t="s">
        <v>123</v>
      </c>
      <c r="B32" s="16" t="s">
        <v>124</v>
      </c>
      <c r="C32" s="16" t="s">
        <v>70</v>
      </c>
      <c r="D32" s="17"/>
      <c r="E32" s="17"/>
      <c r="F32" s="18" t="str">
        <f aca="false">IF(D32="","",IF(D32="N","N/A - excluded",IF(N32="","Maturity missing",IF(N32&gt;=3,"Implemented",IF(N32&gt;=1,"Partial","Not started")))))</f>
        <v/>
      </c>
      <c r="G32" s="17"/>
      <c r="H32" s="17"/>
      <c r="I32" s="17"/>
      <c r="J32" s="17"/>
      <c r="K32" s="17"/>
      <c r="L32" s="17"/>
      <c r="M32" s="17"/>
      <c r="N32" s="17"/>
      <c r="O32" s="18" t="str">
        <f aca="false">IF(OR(D32&lt;&gt;"Y",N32=""),"",IF(N32&gt;=3,1,IF(N32&gt;=1,0.5,0)))</f>
        <v/>
      </c>
    </row>
    <row r="33" customFormat="false" ht="15" hidden="false" customHeight="true" outlineLevel="0" collapsed="false">
      <c r="A33" s="15" t="s">
        <v>125</v>
      </c>
      <c r="B33" s="16" t="s">
        <v>126</v>
      </c>
      <c r="C33" s="16" t="s">
        <v>70</v>
      </c>
      <c r="D33" s="17"/>
      <c r="E33" s="17"/>
      <c r="F33" s="18" t="str">
        <f aca="false">IF(D33="","",IF(D33="N","N/A - excluded",IF(N33="","Maturity missing",IF(N33&gt;=3,"Implemented",IF(N33&gt;=1,"Partial","Not started")))))</f>
        <v/>
      </c>
      <c r="G33" s="17"/>
      <c r="H33" s="17"/>
      <c r="I33" s="17"/>
      <c r="J33" s="17"/>
      <c r="K33" s="17"/>
      <c r="L33" s="17"/>
      <c r="M33" s="17"/>
      <c r="N33" s="17"/>
      <c r="O33" s="18" t="str">
        <f aca="false">IF(OR(D33&lt;&gt;"Y",N33=""),"",IF(N33&gt;=3,1,IF(N33&gt;=1,0.5,0)))</f>
        <v/>
      </c>
    </row>
    <row r="34" customFormat="false" ht="15" hidden="false" customHeight="true" outlineLevel="0" collapsed="false">
      <c r="A34" s="15" t="s">
        <v>127</v>
      </c>
      <c r="B34" s="16" t="s">
        <v>128</v>
      </c>
      <c r="C34" s="16" t="s">
        <v>70</v>
      </c>
      <c r="D34" s="17"/>
      <c r="E34" s="17"/>
      <c r="F34" s="18" t="str">
        <f aca="false">IF(D34="","",IF(D34="N","N/A - excluded",IF(N34="","Maturity missing",IF(N34&gt;=3,"Implemented",IF(N34&gt;=1,"Partial","Not started")))))</f>
        <v/>
      </c>
      <c r="G34" s="17"/>
      <c r="H34" s="17"/>
      <c r="I34" s="17"/>
      <c r="J34" s="17"/>
      <c r="K34" s="17"/>
      <c r="L34" s="17"/>
      <c r="M34" s="17"/>
      <c r="N34" s="17"/>
      <c r="O34" s="18" t="str">
        <f aca="false">IF(OR(D34&lt;&gt;"Y",N34=""),"",IF(N34&gt;=3,1,IF(N34&gt;=1,0.5,0)))</f>
        <v/>
      </c>
    </row>
    <row r="35" customFormat="false" ht="23.25" hidden="false" customHeight="true" outlineLevel="0" collapsed="false">
      <c r="A35" s="15" t="s">
        <v>129</v>
      </c>
      <c r="B35" s="16" t="s">
        <v>130</v>
      </c>
      <c r="C35" s="16" t="s">
        <v>70</v>
      </c>
      <c r="D35" s="17"/>
      <c r="E35" s="17"/>
      <c r="F35" s="18" t="str">
        <f aca="false">IF(D35="","",IF(D35="N","N/A - excluded",IF(N35="","Maturity missing",IF(N35&gt;=3,"Implemented",IF(N35&gt;=1,"Partial","Not started")))))</f>
        <v/>
      </c>
      <c r="G35" s="17"/>
      <c r="H35" s="17"/>
      <c r="I35" s="17"/>
      <c r="J35" s="17"/>
      <c r="K35" s="17"/>
      <c r="L35" s="17"/>
      <c r="M35" s="17"/>
      <c r="N35" s="17"/>
      <c r="O35" s="18" t="str">
        <f aca="false">IF(OR(D35&lt;&gt;"Y",N35=""),"",IF(N35&gt;=3,1,IF(N35&gt;=1,0.5,0)))</f>
        <v/>
      </c>
    </row>
    <row r="36" customFormat="false" ht="15" hidden="false" customHeight="true" outlineLevel="0" collapsed="false">
      <c r="A36" s="15" t="s">
        <v>131</v>
      </c>
      <c r="B36" s="16" t="s">
        <v>132</v>
      </c>
      <c r="C36" s="16" t="s">
        <v>70</v>
      </c>
      <c r="D36" s="17"/>
      <c r="E36" s="17"/>
      <c r="F36" s="18" t="str">
        <f aca="false">IF(D36="","",IF(D36="N","N/A - excluded",IF(N36="","Maturity missing",IF(N36&gt;=3,"Implemented",IF(N36&gt;=1,"Partial","Not started")))))</f>
        <v/>
      </c>
      <c r="G36" s="17"/>
      <c r="H36" s="17"/>
      <c r="I36" s="17"/>
      <c r="J36" s="17"/>
      <c r="K36" s="17"/>
      <c r="L36" s="17"/>
      <c r="M36" s="17"/>
      <c r="N36" s="17"/>
      <c r="O36" s="18" t="str">
        <f aca="false">IF(OR(D36&lt;&gt;"Y",N36=""),"",IF(N36&gt;=3,1,IF(N36&gt;=1,0.5,0)))</f>
        <v/>
      </c>
    </row>
    <row r="37" customFormat="false" ht="15" hidden="false" customHeight="true" outlineLevel="0" collapsed="false">
      <c r="A37" s="15" t="s">
        <v>133</v>
      </c>
      <c r="B37" s="16" t="s">
        <v>134</v>
      </c>
      <c r="C37" s="16" t="s">
        <v>70</v>
      </c>
      <c r="D37" s="17"/>
      <c r="E37" s="17"/>
      <c r="F37" s="18" t="str">
        <f aca="false">IF(D37="","",IF(D37="N","N/A - excluded",IF(N37="","Maturity missing",IF(N37&gt;=3,"Implemented",IF(N37&gt;=1,"Partial","Not started")))))</f>
        <v/>
      </c>
      <c r="G37" s="17"/>
      <c r="H37" s="17"/>
      <c r="I37" s="17"/>
      <c r="J37" s="17"/>
      <c r="K37" s="17"/>
      <c r="L37" s="17"/>
      <c r="M37" s="17"/>
      <c r="N37" s="17"/>
      <c r="O37" s="18" t="str">
        <f aca="false">IF(OR(D37&lt;&gt;"Y",N37=""),"",IF(N37&gt;=3,1,IF(N37&gt;=1,0.5,0)))</f>
        <v/>
      </c>
    </row>
    <row r="38" customFormat="false" ht="15" hidden="false" customHeight="true" outlineLevel="0" collapsed="false">
      <c r="A38" s="15" t="s">
        <v>135</v>
      </c>
      <c r="B38" s="16" t="s">
        <v>136</v>
      </c>
      <c r="C38" s="16" t="s">
        <v>70</v>
      </c>
      <c r="D38" s="17"/>
      <c r="E38" s="17"/>
      <c r="F38" s="18" t="str">
        <f aca="false">IF(D38="","",IF(D38="N","N/A - excluded",IF(N38="","Maturity missing",IF(N38&gt;=3,"Implemented",IF(N38&gt;=1,"Partial","Not started")))))</f>
        <v/>
      </c>
      <c r="G38" s="17"/>
      <c r="H38" s="17"/>
      <c r="I38" s="17"/>
      <c r="J38" s="17"/>
      <c r="K38" s="17"/>
      <c r="L38" s="17"/>
      <c r="M38" s="17"/>
      <c r="N38" s="17"/>
      <c r="O38" s="18" t="str">
        <f aca="false">IF(OR(D38&lt;&gt;"Y",N38=""),"",IF(N38&gt;=3,1,IF(N38&gt;=1,0.5,0)))</f>
        <v/>
      </c>
    </row>
    <row r="39" customFormat="false" ht="23.25" hidden="false" customHeight="true" outlineLevel="0" collapsed="false">
      <c r="A39" s="15" t="s">
        <v>137</v>
      </c>
      <c r="B39" s="16" t="s">
        <v>138</v>
      </c>
      <c r="C39" s="16" t="s">
        <v>70</v>
      </c>
      <c r="D39" s="17"/>
      <c r="E39" s="17"/>
      <c r="F39" s="18" t="str">
        <f aca="false">IF(D39="","",IF(D39="N","N/A - excluded",IF(N39="","Maturity missing",IF(N39&gt;=3,"Implemented",IF(N39&gt;=1,"Partial","Not started")))))</f>
        <v/>
      </c>
      <c r="G39" s="17"/>
      <c r="H39" s="17"/>
      <c r="I39" s="17"/>
      <c r="J39" s="17"/>
      <c r="K39" s="17"/>
      <c r="L39" s="17"/>
      <c r="M39" s="17"/>
      <c r="N39" s="17"/>
      <c r="O39" s="18" t="str">
        <f aca="false">IF(OR(D39&lt;&gt;"Y",N39=""),"",IF(N39&gt;=3,1,IF(N39&gt;=1,0.5,0)))</f>
        <v/>
      </c>
    </row>
    <row r="40" customFormat="false" ht="23.25" hidden="false" customHeight="true" outlineLevel="0" collapsed="false">
      <c r="A40" s="15" t="s">
        <v>139</v>
      </c>
      <c r="B40" s="16" t="s">
        <v>140</v>
      </c>
      <c r="C40" s="16" t="s">
        <v>70</v>
      </c>
      <c r="D40" s="17"/>
      <c r="E40" s="17"/>
      <c r="F40" s="18" t="str">
        <f aca="false">IF(D40="","",IF(D40="N","N/A - excluded",IF(N40="","Maturity missing",IF(N40&gt;=3,"Implemented",IF(N40&gt;=1,"Partial","Not started")))))</f>
        <v/>
      </c>
      <c r="G40" s="17"/>
      <c r="H40" s="17"/>
      <c r="I40" s="17"/>
      <c r="J40" s="17"/>
      <c r="K40" s="17"/>
      <c r="L40" s="17"/>
      <c r="M40" s="17"/>
      <c r="N40" s="17"/>
      <c r="O40" s="18" t="str">
        <f aca="false">IF(OR(D40&lt;&gt;"Y",N40=""),"",IF(N40&gt;=3,1,IF(N40&gt;=1,0.5,0)))</f>
        <v/>
      </c>
    </row>
    <row r="41" customFormat="false" ht="15" hidden="false" customHeight="true" outlineLevel="0" collapsed="false">
      <c r="A41" s="15" t="s">
        <v>141</v>
      </c>
      <c r="B41" s="16" t="s">
        <v>142</v>
      </c>
      <c r="C41" s="16" t="s">
        <v>70</v>
      </c>
      <c r="D41" s="17"/>
      <c r="E41" s="17"/>
      <c r="F41" s="18" t="str">
        <f aca="false">IF(D41="","",IF(D41="N","N/A - excluded",IF(N41="","Maturity missing",IF(N41&gt;=3,"Implemented",IF(N41&gt;=1,"Partial","Not started")))))</f>
        <v/>
      </c>
      <c r="G41" s="17"/>
      <c r="H41" s="17"/>
      <c r="I41" s="17"/>
      <c r="J41" s="17"/>
      <c r="K41" s="17"/>
      <c r="L41" s="17"/>
      <c r="M41" s="17"/>
      <c r="N41" s="17"/>
      <c r="O41" s="18" t="str">
        <f aca="false">IF(OR(D41&lt;&gt;"Y",N41=""),"",IF(N41&gt;=3,1,IF(N41&gt;=1,0.5,0)))</f>
        <v/>
      </c>
    </row>
    <row r="42" customFormat="false" ht="15" hidden="false" customHeight="true" outlineLevel="0" collapsed="false">
      <c r="A42" s="15" t="s">
        <v>143</v>
      </c>
      <c r="B42" s="16" t="s">
        <v>144</v>
      </c>
      <c r="C42" s="16" t="s">
        <v>145</v>
      </c>
      <c r="D42" s="17"/>
      <c r="E42" s="17"/>
      <c r="F42" s="18" t="str">
        <f aca="false">IF(D42="","",IF(D42="N","N/A - excluded",IF(N42="","Maturity missing",IF(N42&gt;=3,"Implemented",IF(N42&gt;=1,"Partial","Not started")))))</f>
        <v/>
      </c>
      <c r="G42" s="17"/>
      <c r="H42" s="17"/>
      <c r="I42" s="17"/>
      <c r="J42" s="17"/>
      <c r="K42" s="17"/>
      <c r="L42" s="17"/>
      <c r="M42" s="17"/>
      <c r="N42" s="17"/>
      <c r="O42" s="18" t="str">
        <f aca="false">IF(OR(D42&lt;&gt;"Y",N42=""),"",IF(N42&gt;=3,1,IF(N42&gt;=1,0.5,0)))</f>
        <v/>
      </c>
    </row>
    <row r="43" customFormat="false" ht="15" hidden="false" customHeight="true" outlineLevel="0" collapsed="false">
      <c r="A43" s="15" t="s">
        <v>146</v>
      </c>
      <c r="B43" s="16" t="s">
        <v>147</v>
      </c>
      <c r="C43" s="16" t="s">
        <v>145</v>
      </c>
      <c r="D43" s="17"/>
      <c r="E43" s="17"/>
      <c r="F43" s="18" t="str">
        <f aca="false">IF(D43="","",IF(D43="N","N/A - excluded",IF(N43="","Maturity missing",IF(N43&gt;=3,"Implemented",IF(N43&gt;=1,"Partial","Not started")))))</f>
        <v/>
      </c>
      <c r="G43" s="17"/>
      <c r="H43" s="17"/>
      <c r="I43" s="17"/>
      <c r="J43" s="17"/>
      <c r="K43" s="17"/>
      <c r="L43" s="17"/>
      <c r="M43" s="17"/>
      <c r="N43" s="17"/>
      <c r="O43" s="18" t="str">
        <f aca="false">IF(OR(D43&lt;&gt;"Y",N43=""),"",IF(N43&gt;=3,1,IF(N43&gt;=1,0.5,0)))</f>
        <v/>
      </c>
    </row>
    <row r="44" customFormat="false" ht="23.25" hidden="false" customHeight="true" outlineLevel="0" collapsed="false">
      <c r="A44" s="15" t="s">
        <v>148</v>
      </c>
      <c r="B44" s="16" t="s">
        <v>149</v>
      </c>
      <c r="C44" s="16" t="s">
        <v>145</v>
      </c>
      <c r="D44" s="17"/>
      <c r="E44" s="17"/>
      <c r="F44" s="18" t="str">
        <f aca="false">IF(D44="","",IF(D44="N","N/A - excluded",IF(N44="","Maturity missing",IF(N44&gt;=3,"Implemented",IF(N44&gt;=1,"Partial","Not started")))))</f>
        <v/>
      </c>
      <c r="G44" s="17"/>
      <c r="H44" s="17"/>
      <c r="I44" s="17"/>
      <c r="J44" s="17"/>
      <c r="K44" s="17"/>
      <c r="L44" s="17"/>
      <c r="M44" s="17"/>
      <c r="N44" s="17"/>
      <c r="O44" s="18" t="str">
        <f aca="false">IF(OR(D44&lt;&gt;"Y",N44=""),"",IF(N44&gt;=3,1,IF(N44&gt;=1,0.5,0)))</f>
        <v/>
      </c>
    </row>
    <row r="45" customFormat="false" ht="15" hidden="false" customHeight="true" outlineLevel="0" collapsed="false">
      <c r="A45" s="15" t="s">
        <v>150</v>
      </c>
      <c r="B45" s="16" t="s">
        <v>151</v>
      </c>
      <c r="C45" s="16" t="s">
        <v>145</v>
      </c>
      <c r="D45" s="17"/>
      <c r="E45" s="17"/>
      <c r="F45" s="18" t="str">
        <f aca="false">IF(D45="","",IF(D45="N","N/A - excluded",IF(N45="","Maturity missing",IF(N45&gt;=3,"Implemented",IF(N45&gt;=1,"Partial","Not started")))))</f>
        <v/>
      </c>
      <c r="G45" s="17"/>
      <c r="H45" s="17"/>
      <c r="I45" s="17"/>
      <c r="J45" s="17"/>
      <c r="K45" s="17"/>
      <c r="L45" s="17"/>
      <c r="M45" s="17"/>
      <c r="N45" s="17"/>
      <c r="O45" s="18" t="str">
        <f aca="false">IF(OR(D45&lt;&gt;"Y",N45=""),"",IF(N45&gt;=3,1,IF(N45&gt;=1,0.5,0)))</f>
        <v/>
      </c>
    </row>
    <row r="46" customFormat="false" ht="23.25" hidden="false" customHeight="true" outlineLevel="0" collapsed="false">
      <c r="A46" s="15" t="s">
        <v>152</v>
      </c>
      <c r="B46" s="16" t="s">
        <v>153</v>
      </c>
      <c r="C46" s="16" t="s">
        <v>145</v>
      </c>
      <c r="D46" s="17"/>
      <c r="E46" s="17"/>
      <c r="F46" s="18" t="str">
        <f aca="false">IF(D46="","",IF(D46="N","N/A - excluded",IF(N46="","Maturity missing",IF(N46&gt;=3,"Implemented",IF(N46&gt;=1,"Partial","Not started")))))</f>
        <v/>
      </c>
      <c r="G46" s="17"/>
      <c r="H46" s="17"/>
      <c r="I46" s="17"/>
      <c r="J46" s="17"/>
      <c r="K46" s="17"/>
      <c r="L46" s="17"/>
      <c r="M46" s="17"/>
      <c r="N46" s="17"/>
      <c r="O46" s="18" t="str">
        <f aca="false">IF(OR(D46&lt;&gt;"Y",N46=""),"",IF(N46&gt;=3,1,IF(N46&gt;=1,0.5,0)))</f>
        <v/>
      </c>
    </row>
    <row r="47" customFormat="false" ht="23.25" hidden="false" customHeight="true" outlineLevel="0" collapsed="false">
      <c r="A47" s="15" t="s">
        <v>154</v>
      </c>
      <c r="B47" s="16" t="s">
        <v>155</v>
      </c>
      <c r="C47" s="16" t="s">
        <v>145</v>
      </c>
      <c r="D47" s="17"/>
      <c r="E47" s="17"/>
      <c r="F47" s="18" t="str">
        <f aca="false">IF(D47="","",IF(D47="N","N/A - excluded",IF(N47="","Maturity missing",IF(N47&gt;=3,"Implemented",IF(N47&gt;=1,"Partial","Not started")))))</f>
        <v/>
      </c>
      <c r="G47" s="17"/>
      <c r="H47" s="17"/>
      <c r="I47" s="17"/>
      <c r="J47" s="17"/>
      <c r="K47" s="17"/>
      <c r="L47" s="17"/>
      <c r="M47" s="17"/>
      <c r="N47" s="17"/>
      <c r="O47" s="18" t="str">
        <f aca="false">IF(OR(D47&lt;&gt;"Y",N47=""),"",IF(N47&gt;=3,1,IF(N47&gt;=1,0.5,0)))</f>
        <v/>
      </c>
    </row>
    <row r="48" customFormat="false" ht="15" hidden="false" customHeight="true" outlineLevel="0" collapsed="false">
      <c r="A48" s="15" t="s">
        <v>156</v>
      </c>
      <c r="B48" s="16" t="s">
        <v>157</v>
      </c>
      <c r="C48" s="16" t="s">
        <v>145</v>
      </c>
      <c r="D48" s="17"/>
      <c r="E48" s="17"/>
      <c r="F48" s="18" t="str">
        <f aca="false">IF(D48="","",IF(D48="N","N/A - excluded",IF(N48="","Maturity missing",IF(N48&gt;=3,"Implemented",IF(N48&gt;=1,"Partial","Not started")))))</f>
        <v/>
      </c>
      <c r="G48" s="17"/>
      <c r="H48" s="17"/>
      <c r="I48" s="17"/>
      <c r="J48" s="17"/>
      <c r="K48" s="17"/>
      <c r="L48" s="17"/>
      <c r="M48" s="17"/>
      <c r="N48" s="17"/>
      <c r="O48" s="18" t="str">
        <f aca="false">IF(OR(D48&lt;&gt;"Y",N48=""),"",IF(N48&gt;=3,1,IF(N48&gt;=1,0.5,0)))</f>
        <v/>
      </c>
    </row>
    <row r="49" customFormat="false" ht="15" hidden="false" customHeight="true" outlineLevel="0" collapsed="false">
      <c r="A49" s="15" t="s">
        <v>158</v>
      </c>
      <c r="B49" s="16" t="s">
        <v>159</v>
      </c>
      <c r="C49" s="16" t="s">
        <v>145</v>
      </c>
      <c r="D49" s="17"/>
      <c r="E49" s="17"/>
      <c r="F49" s="18" t="str">
        <f aca="false">IF(D49="","",IF(D49="N","N/A - excluded",IF(N49="","Maturity missing",IF(N49&gt;=3,"Implemented",IF(N49&gt;=1,"Partial","Not started")))))</f>
        <v/>
      </c>
      <c r="G49" s="17"/>
      <c r="H49" s="17"/>
      <c r="I49" s="17"/>
      <c r="J49" s="17"/>
      <c r="K49" s="17"/>
      <c r="L49" s="17"/>
      <c r="M49" s="17"/>
      <c r="N49" s="17"/>
      <c r="O49" s="18" t="str">
        <f aca="false">IF(OR(D49&lt;&gt;"Y",N49=""),"",IF(N49&gt;=3,1,IF(N49&gt;=1,0.5,0)))</f>
        <v/>
      </c>
    </row>
    <row r="50" customFormat="false" ht="15" hidden="false" customHeight="true" outlineLevel="0" collapsed="false">
      <c r="A50" s="15" t="s">
        <v>160</v>
      </c>
      <c r="B50" s="16" t="s">
        <v>161</v>
      </c>
      <c r="C50" s="16" t="s">
        <v>162</v>
      </c>
      <c r="D50" s="17"/>
      <c r="E50" s="17"/>
      <c r="F50" s="18" t="str">
        <f aca="false">IF(D50="","",IF(D50="N","N/A - excluded",IF(N50="","Maturity missing",IF(N50&gt;=3,"Implemented",IF(N50&gt;=1,"Partial","Not started")))))</f>
        <v/>
      </c>
      <c r="G50" s="17"/>
      <c r="H50" s="17"/>
      <c r="I50" s="17"/>
      <c r="J50" s="17"/>
      <c r="K50" s="17"/>
      <c r="L50" s="17"/>
      <c r="M50" s="17"/>
      <c r="N50" s="17"/>
      <c r="O50" s="18" t="str">
        <f aca="false">IF(OR(D50&lt;&gt;"Y",N50=""),"",IF(N50&gt;=3,1,IF(N50&gt;=1,0.5,0)))</f>
        <v/>
      </c>
    </row>
    <row r="51" customFormat="false" ht="15" hidden="false" customHeight="true" outlineLevel="0" collapsed="false">
      <c r="A51" s="15" t="s">
        <v>163</v>
      </c>
      <c r="B51" s="16" t="s">
        <v>164</v>
      </c>
      <c r="C51" s="16" t="s">
        <v>162</v>
      </c>
      <c r="D51" s="17"/>
      <c r="E51" s="17"/>
      <c r="F51" s="18" t="str">
        <f aca="false">IF(D51="","",IF(D51="N","N/A - excluded",IF(N51="","Maturity missing",IF(N51&gt;=3,"Implemented",IF(N51&gt;=1,"Partial","Not started")))))</f>
        <v/>
      </c>
      <c r="G51" s="17"/>
      <c r="H51" s="17"/>
      <c r="I51" s="17"/>
      <c r="J51" s="17"/>
      <c r="K51" s="17"/>
      <c r="L51" s="17"/>
      <c r="M51" s="17"/>
      <c r="N51" s="17"/>
      <c r="O51" s="18" t="str">
        <f aca="false">IF(OR(D51&lt;&gt;"Y",N51=""),"",IF(N51&gt;=3,1,IF(N51&gt;=1,0.5,0)))</f>
        <v/>
      </c>
    </row>
    <row r="52" customFormat="false" ht="15" hidden="false" customHeight="true" outlineLevel="0" collapsed="false">
      <c r="A52" s="15" t="s">
        <v>165</v>
      </c>
      <c r="B52" s="16" t="s">
        <v>166</v>
      </c>
      <c r="C52" s="16" t="s">
        <v>162</v>
      </c>
      <c r="D52" s="17"/>
      <c r="E52" s="17"/>
      <c r="F52" s="18" t="str">
        <f aca="false">IF(D52="","",IF(D52="N","N/A - excluded",IF(N52="","Maturity missing",IF(N52&gt;=3,"Implemented",IF(N52&gt;=1,"Partial","Not started")))))</f>
        <v/>
      </c>
      <c r="G52" s="17"/>
      <c r="H52" s="17"/>
      <c r="I52" s="17"/>
      <c r="J52" s="17"/>
      <c r="K52" s="17"/>
      <c r="L52" s="17"/>
      <c r="M52" s="17"/>
      <c r="N52" s="17"/>
      <c r="O52" s="18" t="str">
        <f aca="false">IF(OR(D52&lt;&gt;"Y",N52=""),"",IF(N52&gt;=3,1,IF(N52&gt;=1,0.5,0)))</f>
        <v/>
      </c>
    </row>
    <row r="53" customFormat="false" ht="15" hidden="false" customHeight="true" outlineLevel="0" collapsed="false">
      <c r="A53" s="15" t="s">
        <v>167</v>
      </c>
      <c r="B53" s="16" t="s">
        <v>168</v>
      </c>
      <c r="C53" s="16" t="s">
        <v>162</v>
      </c>
      <c r="D53" s="17"/>
      <c r="E53" s="17"/>
      <c r="F53" s="18" t="str">
        <f aca="false">IF(D53="","",IF(D53="N","N/A - excluded",IF(N53="","Maturity missing",IF(N53&gt;=3,"Implemented",IF(N53&gt;=1,"Partial","Not started")))))</f>
        <v/>
      </c>
      <c r="G53" s="17"/>
      <c r="H53" s="17"/>
      <c r="I53" s="17"/>
      <c r="J53" s="17"/>
      <c r="K53" s="17"/>
      <c r="L53" s="17"/>
      <c r="M53" s="17"/>
      <c r="N53" s="17"/>
      <c r="O53" s="18" t="str">
        <f aca="false">IF(OR(D53&lt;&gt;"Y",N53=""),"",IF(N53&gt;=3,1,IF(N53&gt;=1,0.5,0)))</f>
        <v/>
      </c>
    </row>
    <row r="54" customFormat="false" ht="23.25" hidden="false" customHeight="true" outlineLevel="0" collapsed="false">
      <c r="A54" s="15" t="s">
        <v>169</v>
      </c>
      <c r="B54" s="16" t="s">
        <v>170</v>
      </c>
      <c r="C54" s="16" t="s">
        <v>162</v>
      </c>
      <c r="D54" s="17"/>
      <c r="E54" s="17"/>
      <c r="F54" s="18" t="str">
        <f aca="false">IF(D54="","",IF(D54="N","N/A - excluded",IF(N54="","Maturity missing",IF(N54&gt;=3,"Implemented",IF(N54&gt;=1,"Partial","Not started")))))</f>
        <v/>
      </c>
      <c r="G54" s="17"/>
      <c r="H54" s="17"/>
      <c r="I54" s="17"/>
      <c r="J54" s="17"/>
      <c r="K54" s="17"/>
      <c r="L54" s="17"/>
      <c r="M54" s="17"/>
      <c r="N54" s="17"/>
      <c r="O54" s="18" t="str">
        <f aca="false">IF(OR(D54&lt;&gt;"Y",N54=""),"",IF(N54&gt;=3,1,IF(N54&gt;=1,0.5,0)))</f>
        <v/>
      </c>
    </row>
    <row r="55" customFormat="false" ht="15" hidden="false" customHeight="true" outlineLevel="0" collapsed="false">
      <c r="A55" s="15" t="s">
        <v>171</v>
      </c>
      <c r="B55" s="16" t="s">
        <v>172</v>
      </c>
      <c r="C55" s="16" t="s">
        <v>162</v>
      </c>
      <c r="D55" s="17"/>
      <c r="E55" s="17"/>
      <c r="F55" s="18" t="str">
        <f aca="false">IF(D55="","",IF(D55="N","N/A - excluded",IF(N55="","Maturity missing",IF(N55&gt;=3,"Implemented",IF(N55&gt;=1,"Partial","Not started")))))</f>
        <v/>
      </c>
      <c r="G55" s="17"/>
      <c r="H55" s="17"/>
      <c r="I55" s="17"/>
      <c r="J55" s="17"/>
      <c r="K55" s="17"/>
      <c r="L55" s="17"/>
      <c r="M55" s="17"/>
      <c r="N55" s="17"/>
      <c r="O55" s="18" t="str">
        <f aca="false">IF(OR(D55&lt;&gt;"Y",N55=""),"",IF(N55&gt;=3,1,IF(N55&gt;=1,0.5,0)))</f>
        <v/>
      </c>
    </row>
    <row r="56" customFormat="false" ht="15" hidden="false" customHeight="true" outlineLevel="0" collapsed="false">
      <c r="A56" s="15" t="s">
        <v>173</v>
      </c>
      <c r="B56" s="16" t="s">
        <v>174</v>
      </c>
      <c r="C56" s="16" t="s">
        <v>162</v>
      </c>
      <c r="D56" s="17"/>
      <c r="E56" s="17"/>
      <c r="F56" s="18" t="str">
        <f aca="false">IF(D56="","",IF(D56="N","N/A - excluded",IF(N56="","Maturity missing",IF(N56&gt;=3,"Implemented",IF(N56&gt;=1,"Partial","Not started")))))</f>
        <v/>
      </c>
      <c r="G56" s="17"/>
      <c r="H56" s="17"/>
      <c r="I56" s="17"/>
      <c r="J56" s="17"/>
      <c r="K56" s="17"/>
      <c r="L56" s="17"/>
      <c r="M56" s="17"/>
      <c r="N56" s="17"/>
      <c r="O56" s="18" t="str">
        <f aca="false">IF(OR(D56&lt;&gt;"Y",N56=""),"",IF(N56&gt;=3,1,IF(N56&gt;=1,0.5,0)))</f>
        <v/>
      </c>
    </row>
    <row r="57" customFormat="false" ht="15" hidden="false" customHeight="true" outlineLevel="0" collapsed="false">
      <c r="A57" s="15" t="s">
        <v>175</v>
      </c>
      <c r="B57" s="16" t="s">
        <v>176</v>
      </c>
      <c r="C57" s="16" t="s">
        <v>162</v>
      </c>
      <c r="D57" s="17"/>
      <c r="E57" s="17"/>
      <c r="F57" s="18" t="str">
        <f aca="false">IF(D57="","",IF(D57="N","N/A - excluded",IF(N57="","Maturity missing",IF(N57&gt;=3,"Implemented",IF(N57&gt;=1,"Partial","Not started")))))</f>
        <v/>
      </c>
      <c r="G57" s="17"/>
      <c r="H57" s="17"/>
      <c r="I57" s="17"/>
      <c r="J57" s="17"/>
      <c r="K57" s="17"/>
      <c r="L57" s="17"/>
      <c r="M57" s="17"/>
      <c r="N57" s="17"/>
      <c r="O57" s="18" t="str">
        <f aca="false">IF(OR(D57&lt;&gt;"Y",N57=""),"",IF(N57&gt;=3,1,IF(N57&gt;=1,0.5,0)))</f>
        <v/>
      </c>
    </row>
    <row r="58" customFormat="false" ht="15" hidden="false" customHeight="true" outlineLevel="0" collapsed="false">
      <c r="A58" s="15" t="s">
        <v>177</v>
      </c>
      <c r="B58" s="16" t="s">
        <v>178</v>
      </c>
      <c r="C58" s="16" t="s">
        <v>162</v>
      </c>
      <c r="D58" s="17"/>
      <c r="E58" s="17"/>
      <c r="F58" s="18" t="str">
        <f aca="false">IF(D58="","",IF(D58="N","N/A - excluded",IF(N58="","Maturity missing",IF(N58&gt;=3,"Implemented",IF(N58&gt;=1,"Partial","Not started")))))</f>
        <v/>
      </c>
      <c r="G58" s="17"/>
      <c r="H58" s="17"/>
      <c r="I58" s="17"/>
      <c r="J58" s="17"/>
      <c r="K58" s="17"/>
      <c r="L58" s="17"/>
      <c r="M58" s="17"/>
      <c r="N58" s="17"/>
      <c r="O58" s="18" t="str">
        <f aca="false">IF(OR(D58&lt;&gt;"Y",N58=""),"",IF(N58&gt;=3,1,IF(N58&gt;=1,0.5,0)))</f>
        <v/>
      </c>
    </row>
    <row r="59" customFormat="false" ht="15" hidden="false" customHeight="true" outlineLevel="0" collapsed="false">
      <c r="A59" s="15" t="s">
        <v>179</v>
      </c>
      <c r="B59" s="16" t="s">
        <v>180</v>
      </c>
      <c r="C59" s="16" t="s">
        <v>162</v>
      </c>
      <c r="D59" s="17"/>
      <c r="E59" s="17"/>
      <c r="F59" s="18" t="str">
        <f aca="false">IF(D59="","",IF(D59="N","N/A - excluded",IF(N59="","Maturity missing",IF(N59&gt;=3,"Implemented",IF(N59&gt;=1,"Partial","Not started")))))</f>
        <v/>
      </c>
      <c r="G59" s="17"/>
      <c r="H59" s="17"/>
      <c r="I59" s="17"/>
      <c r="J59" s="17"/>
      <c r="K59" s="17"/>
      <c r="L59" s="17"/>
      <c r="M59" s="17"/>
      <c r="N59" s="17"/>
      <c r="O59" s="18" t="str">
        <f aca="false">IF(OR(D59&lt;&gt;"Y",N59=""),"",IF(N59&gt;=3,1,IF(N59&gt;=1,0.5,0)))</f>
        <v/>
      </c>
    </row>
    <row r="60" customFormat="false" ht="15" hidden="false" customHeight="true" outlineLevel="0" collapsed="false">
      <c r="A60" s="15" t="s">
        <v>181</v>
      </c>
      <c r="B60" s="16" t="s">
        <v>182</v>
      </c>
      <c r="C60" s="16" t="s">
        <v>162</v>
      </c>
      <c r="D60" s="17"/>
      <c r="E60" s="17"/>
      <c r="F60" s="18" t="str">
        <f aca="false">IF(D60="","",IF(D60="N","N/A - excluded",IF(N60="","Maturity missing",IF(N60&gt;=3,"Implemented",IF(N60&gt;=1,"Partial","Not started")))))</f>
        <v/>
      </c>
      <c r="G60" s="17"/>
      <c r="H60" s="17"/>
      <c r="I60" s="17"/>
      <c r="J60" s="17"/>
      <c r="K60" s="17"/>
      <c r="L60" s="17"/>
      <c r="M60" s="17"/>
      <c r="N60" s="17"/>
      <c r="O60" s="18" t="str">
        <f aca="false">IF(OR(D60&lt;&gt;"Y",N60=""),"",IF(N60&gt;=3,1,IF(N60&gt;=1,0.5,0)))</f>
        <v/>
      </c>
    </row>
    <row r="61" customFormat="false" ht="15" hidden="false" customHeight="true" outlineLevel="0" collapsed="false">
      <c r="A61" s="15" t="s">
        <v>183</v>
      </c>
      <c r="B61" s="16" t="s">
        <v>184</v>
      </c>
      <c r="C61" s="16" t="s">
        <v>162</v>
      </c>
      <c r="D61" s="17"/>
      <c r="E61" s="17"/>
      <c r="F61" s="18" t="str">
        <f aca="false">IF(D61="","",IF(D61="N","N/A - excluded",IF(N61="","Maturity missing",IF(N61&gt;=3,"Implemented",IF(N61&gt;=1,"Partial","Not started")))))</f>
        <v/>
      </c>
      <c r="G61" s="17"/>
      <c r="H61" s="17"/>
      <c r="I61" s="17"/>
      <c r="J61" s="17"/>
      <c r="K61" s="17"/>
      <c r="L61" s="17"/>
      <c r="M61" s="17"/>
      <c r="N61" s="17"/>
      <c r="O61" s="18" t="str">
        <f aca="false">IF(OR(D61&lt;&gt;"Y",N61=""),"",IF(N61&gt;=3,1,IF(N61&gt;=1,0.5,0)))</f>
        <v/>
      </c>
    </row>
    <row r="62" customFormat="false" ht="15" hidden="false" customHeight="true" outlineLevel="0" collapsed="false">
      <c r="A62" s="15" t="s">
        <v>185</v>
      </c>
      <c r="B62" s="16" t="s">
        <v>186</v>
      </c>
      <c r="C62" s="16" t="s">
        <v>162</v>
      </c>
      <c r="D62" s="17"/>
      <c r="E62" s="17"/>
      <c r="F62" s="18" t="str">
        <f aca="false">IF(D62="","",IF(D62="N","N/A - excluded",IF(N62="","Maturity missing",IF(N62&gt;=3,"Implemented",IF(N62&gt;=1,"Partial","Not started")))))</f>
        <v/>
      </c>
      <c r="G62" s="17"/>
      <c r="H62" s="17"/>
      <c r="I62" s="17"/>
      <c r="J62" s="17"/>
      <c r="K62" s="17"/>
      <c r="L62" s="17"/>
      <c r="M62" s="17"/>
      <c r="N62" s="17"/>
      <c r="O62" s="18" t="str">
        <f aca="false">IF(OR(D62&lt;&gt;"Y",N62=""),"",IF(N62&gt;=3,1,IF(N62&gt;=1,0.5,0)))</f>
        <v/>
      </c>
    </row>
    <row r="63" customFormat="false" ht="15" hidden="false" customHeight="true" outlineLevel="0" collapsed="false">
      <c r="A63" s="15" t="s">
        <v>187</v>
      </c>
      <c r="B63" s="16" t="s">
        <v>188</v>
      </c>
      <c r="C63" s="16" t="s">
        <v>162</v>
      </c>
      <c r="D63" s="17"/>
      <c r="E63" s="17"/>
      <c r="F63" s="18" t="str">
        <f aca="false">IF(D63="","",IF(D63="N","N/A - excluded",IF(N63="","Maturity missing",IF(N63&gt;=3,"Implemented",IF(N63&gt;=1,"Partial","Not started")))))</f>
        <v/>
      </c>
      <c r="G63" s="17"/>
      <c r="H63" s="17"/>
      <c r="I63" s="17"/>
      <c r="J63" s="17"/>
      <c r="K63" s="17"/>
      <c r="L63" s="17"/>
      <c r="M63" s="17"/>
      <c r="N63" s="17"/>
      <c r="O63" s="18" t="str">
        <f aca="false">IF(OR(D63&lt;&gt;"Y",N63=""),"",IF(N63&gt;=3,1,IF(N63&gt;=1,0.5,0)))</f>
        <v/>
      </c>
    </row>
    <row r="64" customFormat="false" ht="15" hidden="false" customHeight="true" outlineLevel="0" collapsed="false">
      <c r="A64" s="15" t="s">
        <v>189</v>
      </c>
      <c r="B64" s="16" t="s">
        <v>190</v>
      </c>
      <c r="C64" s="16" t="s">
        <v>191</v>
      </c>
      <c r="D64" s="17"/>
      <c r="E64" s="17"/>
      <c r="F64" s="18" t="str">
        <f aca="false">IF(D64="","",IF(D64="N","N/A - excluded",IF(N64="","Maturity missing",IF(N64&gt;=3,"Implemented",IF(N64&gt;=1,"Partial","Not started")))))</f>
        <v/>
      </c>
      <c r="G64" s="17"/>
      <c r="H64" s="17"/>
      <c r="I64" s="17"/>
      <c r="J64" s="17"/>
      <c r="K64" s="17"/>
      <c r="L64" s="17"/>
      <c r="M64" s="17"/>
      <c r="N64" s="17"/>
      <c r="O64" s="18" t="str">
        <f aca="false">IF(OR(D64&lt;&gt;"Y",N64=""),"",IF(N64&gt;=3,1,IF(N64&gt;=1,0.5,0)))</f>
        <v/>
      </c>
    </row>
    <row r="65" customFormat="false" ht="15" hidden="false" customHeight="true" outlineLevel="0" collapsed="false">
      <c r="A65" s="15" t="s">
        <v>192</v>
      </c>
      <c r="B65" s="16" t="s">
        <v>193</v>
      </c>
      <c r="C65" s="16" t="s">
        <v>191</v>
      </c>
      <c r="D65" s="17"/>
      <c r="E65" s="17"/>
      <c r="F65" s="18" t="str">
        <f aca="false">IF(D65="","",IF(D65="N","N/A - excluded",IF(N65="","Maturity missing",IF(N65&gt;=3,"Implemented",IF(N65&gt;=1,"Partial","Not started")))))</f>
        <v/>
      </c>
      <c r="G65" s="17"/>
      <c r="H65" s="17"/>
      <c r="I65" s="17"/>
      <c r="J65" s="17"/>
      <c r="K65" s="17"/>
      <c r="L65" s="17"/>
      <c r="M65" s="17"/>
      <c r="N65" s="17"/>
      <c r="O65" s="18" t="str">
        <f aca="false">IF(OR(D65&lt;&gt;"Y",N65=""),"",IF(N65&gt;=3,1,IF(N65&gt;=1,0.5,0)))</f>
        <v/>
      </c>
    </row>
    <row r="66" customFormat="false" ht="15" hidden="false" customHeight="true" outlineLevel="0" collapsed="false">
      <c r="A66" s="15" t="s">
        <v>194</v>
      </c>
      <c r="B66" s="16" t="s">
        <v>195</v>
      </c>
      <c r="C66" s="16" t="s">
        <v>191</v>
      </c>
      <c r="D66" s="17"/>
      <c r="E66" s="17"/>
      <c r="F66" s="18" t="str">
        <f aca="false">IF(D66="","",IF(D66="N","N/A - excluded",IF(N66="","Maturity missing",IF(N66&gt;=3,"Implemented",IF(N66&gt;=1,"Partial","Not started")))))</f>
        <v/>
      </c>
      <c r="G66" s="17"/>
      <c r="H66" s="17"/>
      <c r="I66" s="17"/>
      <c r="J66" s="17"/>
      <c r="K66" s="17"/>
      <c r="L66" s="17"/>
      <c r="M66" s="17"/>
      <c r="N66" s="17"/>
      <c r="O66" s="18" t="str">
        <f aca="false">IF(OR(D66&lt;&gt;"Y",N66=""),"",IF(N66&gt;=3,1,IF(N66&gt;=1,0.5,0)))</f>
        <v/>
      </c>
    </row>
    <row r="67" customFormat="false" ht="15" hidden="false" customHeight="true" outlineLevel="0" collapsed="false">
      <c r="A67" s="15" t="s">
        <v>196</v>
      </c>
      <c r="B67" s="16" t="s">
        <v>197</v>
      </c>
      <c r="C67" s="16" t="s">
        <v>191</v>
      </c>
      <c r="D67" s="17"/>
      <c r="E67" s="17"/>
      <c r="F67" s="18" t="str">
        <f aca="false">IF(D67="","",IF(D67="N","N/A - excluded",IF(N67="","Maturity missing",IF(N67&gt;=3,"Implemented",IF(N67&gt;=1,"Partial","Not started")))))</f>
        <v/>
      </c>
      <c r="G67" s="17"/>
      <c r="H67" s="17"/>
      <c r="I67" s="17"/>
      <c r="J67" s="17"/>
      <c r="K67" s="17"/>
      <c r="L67" s="17"/>
      <c r="M67" s="17"/>
      <c r="N67" s="17"/>
      <c r="O67" s="18" t="str">
        <f aca="false">IF(OR(D67&lt;&gt;"Y",N67=""),"",IF(N67&gt;=3,1,IF(N67&gt;=1,0.5,0)))</f>
        <v/>
      </c>
    </row>
    <row r="68" customFormat="false" ht="15" hidden="false" customHeight="true" outlineLevel="0" collapsed="false">
      <c r="A68" s="15" t="s">
        <v>198</v>
      </c>
      <c r="B68" s="16" t="s">
        <v>199</v>
      </c>
      <c r="C68" s="16" t="s">
        <v>191</v>
      </c>
      <c r="D68" s="17"/>
      <c r="E68" s="17"/>
      <c r="F68" s="18" t="str">
        <f aca="false">IF(D68="","",IF(D68="N","N/A - excluded",IF(N68="","Maturity missing",IF(N68&gt;=3,"Implemented",IF(N68&gt;=1,"Partial","Not started")))))</f>
        <v/>
      </c>
      <c r="G68" s="17"/>
      <c r="H68" s="17"/>
      <c r="I68" s="17"/>
      <c r="J68" s="17"/>
      <c r="K68" s="17"/>
      <c r="L68" s="17"/>
      <c r="M68" s="17"/>
      <c r="N68" s="17"/>
      <c r="O68" s="18" t="str">
        <f aca="false">IF(OR(D68&lt;&gt;"Y",N68=""),"",IF(N68&gt;=3,1,IF(N68&gt;=1,0.5,0)))</f>
        <v/>
      </c>
    </row>
    <row r="69" customFormat="false" ht="15" hidden="false" customHeight="true" outlineLevel="0" collapsed="false">
      <c r="A69" s="15" t="s">
        <v>200</v>
      </c>
      <c r="B69" s="16" t="s">
        <v>201</v>
      </c>
      <c r="C69" s="16" t="s">
        <v>191</v>
      </c>
      <c r="D69" s="17"/>
      <c r="E69" s="17"/>
      <c r="F69" s="18" t="str">
        <f aca="false">IF(D69="","",IF(D69="N","N/A - excluded",IF(N69="","Maturity missing",IF(N69&gt;=3,"Implemented",IF(N69&gt;=1,"Partial","Not started")))))</f>
        <v/>
      </c>
      <c r="G69" s="17"/>
      <c r="H69" s="17"/>
      <c r="I69" s="17"/>
      <c r="J69" s="17"/>
      <c r="K69" s="17"/>
      <c r="L69" s="17"/>
      <c r="M69" s="17"/>
      <c r="N69" s="17"/>
      <c r="O69" s="18" t="str">
        <f aca="false">IF(OR(D69&lt;&gt;"Y",N69=""),"",IF(N69&gt;=3,1,IF(N69&gt;=1,0.5,0)))</f>
        <v/>
      </c>
    </row>
    <row r="70" customFormat="false" ht="15" hidden="false" customHeight="true" outlineLevel="0" collapsed="false">
      <c r="A70" s="15" t="s">
        <v>202</v>
      </c>
      <c r="B70" s="16" t="s">
        <v>203</v>
      </c>
      <c r="C70" s="16" t="s">
        <v>191</v>
      </c>
      <c r="D70" s="17"/>
      <c r="E70" s="17"/>
      <c r="F70" s="18" t="str">
        <f aca="false">IF(D70="","",IF(D70="N","N/A - excluded",IF(N70="","Maturity missing",IF(N70&gt;=3,"Implemented",IF(N70&gt;=1,"Partial","Not started")))))</f>
        <v/>
      </c>
      <c r="G70" s="17"/>
      <c r="H70" s="17"/>
      <c r="I70" s="17"/>
      <c r="J70" s="17"/>
      <c r="K70" s="17"/>
      <c r="L70" s="17"/>
      <c r="M70" s="17"/>
      <c r="N70" s="17"/>
      <c r="O70" s="18" t="str">
        <f aca="false">IF(OR(D70&lt;&gt;"Y",N70=""),"",IF(N70&gt;=3,1,IF(N70&gt;=1,0.5,0)))</f>
        <v/>
      </c>
    </row>
    <row r="71" customFormat="false" ht="15" hidden="false" customHeight="true" outlineLevel="0" collapsed="false">
      <c r="A71" s="15" t="s">
        <v>204</v>
      </c>
      <c r="B71" s="16" t="s">
        <v>205</v>
      </c>
      <c r="C71" s="16" t="s">
        <v>191</v>
      </c>
      <c r="D71" s="17"/>
      <c r="E71" s="17"/>
      <c r="F71" s="18" t="str">
        <f aca="false">IF(D71="","",IF(D71="N","N/A - excluded",IF(N71="","Maturity missing",IF(N71&gt;=3,"Implemented",IF(N71&gt;=1,"Partial","Not started")))))</f>
        <v/>
      </c>
      <c r="G71" s="17"/>
      <c r="H71" s="17"/>
      <c r="I71" s="17"/>
      <c r="J71" s="17"/>
      <c r="K71" s="17"/>
      <c r="L71" s="17"/>
      <c r="M71" s="17"/>
      <c r="N71" s="17"/>
      <c r="O71" s="18" t="str">
        <f aca="false">IF(OR(D71&lt;&gt;"Y",N71=""),"",IF(N71&gt;=3,1,IF(N71&gt;=1,0.5,0)))</f>
        <v/>
      </c>
    </row>
    <row r="72" customFormat="false" ht="15" hidden="false" customHeight="true" outlineLevel="0" collapsed="false">
      <c r="A72" s="15" t="s">
        <v>206</v>
      </c>
      <c r="B72" s="16" t="s">
        <v>207</v>
      </c>
      <c r="C72" s="16" t="s">
        <v>191</v>
      </c>
      <c r="D72" s="17"/>
      <c r="E72" s="17"/>
      <c r="F72" s="18" t="str">
        <f aca="false">IF(D72="","",IF(D72="N","N/A - excluded",IF(N72="","Maturity missing",IF(N72&gt;=3,"Implemented",IF(N72&gt;=1,"Partial","Not started")))))</f>
        <v/>
      </c>
      <c r="G72" s="17"/>
      <c r="H72" s="17"/>
      <c r="I72" s="17"/>
      <c r="J72" s="17"/>
      <c r="K72" s="17"/>
      <c r="L72" s="17"/>
      <c r="M72" s="17"/>
      <c r="N72" s="17"/>
      <c r="O72" s="18" t="str">
        <f aca="false">IF(OR(D72&lt;&gt;"Y",N72=""),"",IF(N72&gt;=3,1,IF(N72&gt;=1,0.5,0)))</f>
        <v/>
      </c>
    </row>
    <row r="73" customFormat="false" ht="15" hidden="false" customHeight="true" outlineLevel="0" collapsed="false">
      <c r="A73" s="15" t="s">
        <v>208</v>
      </c>
      <c r="B73" s="16" t="s">
        <v>209</v>
      </c>
      <c r="C73" s="16" t="s">
        <v>191</v>
      </c>
      <c r="D73" s="17"/>
      <c r="E73" s="17"/>
      <c r="F73" s="18" t="str">
        <f aca="false">IF(D73="","",IF(D73="N","N/A - excluded",IF(N73="","Maturity missing",IF(N73&gt;=3,"Implemented",IF(N73&gt;=1,"Partial","Not started")))))</f>
        <v/>
      </c>
      <c r="G73" s="17"/>
      <c r="H73" s="17"/>
      <c r="I73" s="17"/>
      <c r="J73" s="17"/>
      <c r="K73" s="17"/>
      <c r="L73" s="17"/>
      <c r="M73" s="17"/>
      <c r="N73" s="17"/>
      <c r="O73" s="18" t="str">
        <f aca="false">IF(OR(D73&lt;&gt;"Y",N73=""),"",IF(N73&gt;=3,1,IF(N73&gt;=1,0.5,0)))</f>
        <v/>
      </c>
    </row>
    <row r="74" customFormat="false" ht="15" hidden="false" customHeight="true" outlineLevel="0" collapsed="false">
      <c r="A74" s="15" t="s">
        <v>210</v>
      </c>
      <c r="B74" s="16" t="s">
        <v>211</v>
      </c>
      <c r="C74" s="16" t="s">
        <v>191</v>
      </c>
      <c r="D74" s="17"/>
      <c r="E74" s="17"/>
      <c r="F74" s="18" t="str">
        <f aca="false">IF(D74="","",IF(D74="N","N/A - excluded",IF(N74="","Maturity missing",IF(N74&gt;=3,"Implemented",IF(N74&gt;=1,"Partial","Not started")))))</f>
        <v/>
      </c>
      <c r="G74" s="17"/>
      <c r="H74" s="17"/>
      <c r="I74" s="17"/>
      <c r="J74" s="17"/>
      <c r="K74" s="17"/>
      <c r="L74" s="17"/>
      <c r="M74" s="17"/>
      <c r="N74" s="17"/>
      <c r="O74" s="18" t="str">
        <f aca="false">IF(OR(D74&lt;&gt;"Y",N74=""),"",IF(N74&gt;=3,1,IF(N74&gt;=1,0.5,0)))</f>
        <v/>
      </c>
    </row>
    <row r="75" customFormat="false" ht="15" hidden="false" customHeight="true" outlineLevel="0" collapsed="false">
      <c r="A75" s="15" t="s">
        <v>212</v>
      </c>
      <c r="B75" s="16" t="s">
        <v>213</v>
      </c>
      <c r="C75" s="16" t="s">
        <v>191</v>
      </c>
      <c r="D75" s="17"/>
      <c r="E75" s="17"/>
      <c r="F75" s="18" t="str">
        <f aca="false">IF(D75="","",IF(D75="N","N/A - excluded",IF(N75="","Maturity missing",IF(N75&gt;=3,"Implemented",IF(N75&gt;=1,"Partial","Not started")))))</f>
        <v/>
      </c>
      <c r="G75" s="17"/>
      <c r="H75" s="17"/>
      <c r="I75" s="17"/>
      <c r="J75" s="17"/>
      <c r="K75" s="17"/>
      <c r="L75" s="17"/>
      <c r="M75" s="17"/>
      <c r="N75" s="17"/>
      <c r="O75" s="18" t="str">
        <f aca="false">IF(OR(D75&lt;&gt;"Y",N75=""),"",IF(N75&gt;=3,1,IF(N75&gt;=1,0.5,0)))</f>
        <v/>
      </c>
    </row>
    <row r="76" customFormat="false" ht="15" hidden="false" customHeight="true" outlineLevel="0" collapsed="false">
      <c r="A76" s="15" t="s">
        <v>214</v>
      </c>
      <c r="B76" s="16" t="s">
        <v>215</v>
      </c>
      <c r="C76" s="16" t="s">
        <v>191</v>
      </c>
      <c r="D76" s="17"/>
      <c r="E76" s="17"/>
      <c r="F76" s="18" t="str">
        <f aca="false">IF(D76="","",IF(D76="N","N/A - excluded",IF(N76="","Maturity missing",IF(N76&gt;=3,"Implemented",IF(N76&gt;=1,"Partial","Not started")))))</f>
        <v/>
      </c>
      <c r="G76" s="17"/>
      <c r="H76" s="17"/>
      <c r="I76" s="17"/>
      <c r="J76" s="17"/>
      <c r="K76" s="17"/>
      <c r="L76" s="17"/>
      <c r="M76" s="17"/>
      <c r="N76" s="17"/>
      <c r="O76" s="18" t="str">
        <f aca="false">IF(OR(D76&lt;&gt;"Y",N76=""),"",IF(N76&gt;=3,1,IF(N76&gt;=1,0.5,0)))</f>
        <v/>
      </c>
    </row>
    <row r="77" customFormat="false" ht="23.25" hidden="false" customHeight="true" outlineLevel="0" collapsed="false">
      <c r="A77" s="15" t="s">
        <v>216</v>
      </c>
      <c r="B77" s="16" t="s">
        <v>217</v>
      </c>
      <c r="C77" s="16" t="s">
        <v>191</v>
      </c>
      <c r="D77" s="17"/>
      <c r="E77" s="17"/>
      <c r="F77" s="18" t="str">
        <f aca="false">IF(D77="","",IF(D77="N","N/A - excluded",IF(N77="","Maturity missing",IF(N77&gt;=3,"Implemented",IF(N77&gt;=1,"Partial","Not started")))))</f>
        <v/>
      </c>
      <c r="G77" s="17"/>
      <c r="H77" s="17"/>
      <c r="I77" s="17"/>
      <c r="J77" s="17"/>
      <c r="K77" s="17"/>
      <c r="L77" s="17"/>
      <c r="M77" s="17"/>
      <c r="N77" s="17"/>
      <c r="O77" s="18" t="str">
        <f aca="false">IF(OR(D77&lt;&gt;"Y",N77=""),"",IF(N77&gt;=3,1,IF(N77&gt;=1,0.5,0)))</f>
        <v/>
      </c>
    </row>
    <row r="78" customFormat="false" ht="15" hidden="false" customHeight="true" outlineLevel="0" collapsed="false">
      <c r="A78" s="15" t="s">
        <v>218</v>
      </c>
      <c r="B78" s="16" t="s">
        <v>219</v>
      </c>
      <c r="C78" s="16" t="s">
        <v>191</v>
      </c>
      <c r="D78" s="17"/>
      <c r="E78" s="17"/>
      <c r="F78" s="18" t="str">
        <f aca="false">IF(D78="","",IF(D78="N","N/A - excluded",IF(N78="","Maturity missing",IF(N78&gt;=3,"Implemented",IF(N78&gt;=1,"Partial","Not started")))))</f>
        <v/>
      </c>
      <c r="G78" s="17"/>
      <c r="H78" s="17"/>
      <c r="I78" s="17"/>
      <c r="J78" s="17"/>
      <c r="K78" s="17"/>
      <c r="L78" s="17"/>
      <c r="M78" s="17"/>
      <c r="N78" s="17"/>
      <c r="O78" s="18" t="str">
        <f aca="false">IF(OR(D78&lt;&gt;"Y",N78=""),"",IF(N78&gt;=3,1,IF(N78&gt;=1,0.5,0)))</f>
        <v/>
      </c>
    </row>
    <row r="79" customFormat="false" ht="15" hidden="false" customHeight="true" outlineLevel="0" collapsed="false">
      <c r="A79" s="15" t="s">
        <v>220</v>
      </c>
      <c r="B79" s="16" t="s">
        <v>221</v>
      </c>
      <c r="C79" s="16" t="s">
        <v>191</v>
      </c>
      <c r="D79" s="17"/>
      <c r="E79" s="17"/>
      <c r="F79" s="18" t="str">
        <f aca="false">IF(D79="","",IF(D79="N","N/A - excluded",IF(N79="","Maturity missing",IF(N79&gt;=3,"Implemented",IF(N79&gt;=1,"Partial","Not started")))))</f>
        <v/>
      </c>
      <c r="G79" s="17"/>
      <c r="H79" s="17"/>
      <c r="I79" s="17"/>
      <c r="J79" s="17"/>
      <c r="K79" s="17"/>
      <c r="L79" s="17"/>
      <c r="M79" s="17"/>
      <c r="N79" s="17"/>
      <c r="O79" s="18" t="str">
        <f aca="false">IF(OR(D79&lt;&gt;"Y",N79=""),"",IF(N79&gt;=3,1,IF(N79&gt;=1,0.5,0)))</f>
        <v/>
      </c>
    </row>
    <row r="80" customFormat="false" ht="15" hidden="false" customHeight="true" outlineLevel="0" collapsed="false">
      <c r="A80" s="15" t="s">
        <v>222</v>
      </c>
      <c r="B80" s="16" t="s">
        <v>223</v>
      </c>
      <c r="C80" s="16" t="s">
        <v>191</v>
      </c>
      <c r="D80" s="17"/>
      <c r="E80" s="17"/>
      <c r="F80" s="18" t="str">
        <f aca="false">IF(D80="","",IF(D80="N","N/A - excluded",IF(N80="","Maturity missing",IF(N80&gt;=3,"Implemented",IF(N80&gt;=1,"Partial","Not started")))))</f>
        <v/>
      </c>
      <c r="G80" s="17"/>
      <c r="H80" s="17"/>
      <c r="I80" s="17"/>
      <c r="J80" s="17"/>
      <c r="K80" s="17"/>
      <c r="L80" s="17"/>
      <c r="M80" s="17"/>
      <c r="N80" s="17"/>
      <c r="O80" s="18" t="str">
        <f aca="false">IF(OR(D80&lt;&gt;"Y",N80=""),"",IF(N80&gt;=3,1,IF(N80&gt;=1,0.5,0)))</f>
        <v/>
      </c>
    </row>
    <row r="81" customFormat="false" ht="15" hidden="false" customHeight="true" outlineLevel="0" collapsed="false">
      <c r="A81" s="15" t="s">
        <v>224</v>
      </c>
      <c r="B81" s="16" t="s">
        <v>225</v>
      </c>
      <c r="C81" s="16" t="s">
        <v>191</v>
      </c>
      <c r="D81" s="17"/>
      <c r="E81" s="17"/>
      <c r="F81" s="18" t="str">
        <f aca="false">IF(D81="","",IF(D81="N","N/A - excluded",IF(N81="","Maturity missing",IF(N81&gt;=3,"Implemented",IF(N81&gt;=1,"Partial","Not started")))))</f>
        <v/>
      </c>
      <c r="G81" s="17"/>
      <c r="H81" s="17"/>
      <c r="I81" s="17"/>
      <c r="J81" s="17"/>
      <c r="K81" s="17"/>
      <c r="L81" s="17"/>
      <c r="M81" s="17"/>
      <c r="N81" s="17"/>
      <c r="O81" s="18" t="str">
        <f aca="false">IF(OR(D81&lt;&gt;"Y",N81=""),"",IF(N81&gt;=3,1,IF(N81&gt;=1,0.5,0)))</f>
        <v/>
      </c>
    </row>
    <row r="82" customFormat="false" ht="23.25" hidden="false" customHeight="true" outlineLevel="0" collapsed="false">
      <c r="A82" s="15" t="s">
        <v>226</v>
      </c>
      <c r="B82" s="16" t="s">
        <v>227</v>
      </c>
      <c r="C82" s="16" t="s">
        <v>191</v>
      </c>
      <c r="D82" s="17"/>
      <c r="E82" s="17"/>
      <c r="F82" s="18" t="str">
        <f aca="false">IF(D82="","",IF(D82="N","N/A - excluded",IF(N82="","Maturity missing",IF(N82&gt;=3,"Implemented",IF(N82&gt;=1,"Partial","Not started")))))</f>
        <v/>
      </c>
      <c r="G82" s="17"/>
      <c r="H82" s="17"/>
      <c r="I82" s="17"/>
      <c r="J82" s="17"/>
      <c r="K82" s="17"/>
      <c r="L82" s="17"/>
      <c r="M82" s="17"/>
      <c r="N82" s="17"/>
      <c r="O82" s="18" t="str">
        <f aca="false">IF(OR(D82&lt;&gt;"Y",N82=""),"",IF(N82&gt;=3,1,IF(N82&gt;=1,0.5,0)))</f>
        <v/>
      </c>
    </row>
    <row r="83" customFormat="false" ht="15" hidden="false" customHeight="true" outlineLevel="0" collapsed="false">
      <c r="A83" s="15" t="s">
        <v>228</v>
      </c>
      <c r="B83" s="16" t="s">
        <v>229</v>
      </c>
      <c r="C83" s="16" t="s">
        <v>191</v>
      </c>
      <c r="D83" s="17"/>
      <c r="E83" s="17"/>
      <c r="F83" s="18" t="str">
        <f aca="false">IF(D83="","",IF(D83="N","N/A - excluded",IF(N83="","Maturity missing",IF(N83&gt;=3,"Implemented",IF(N83&gt;=1,"Partial","Not started")))))</f>
        <v/>
      </c>
      <c r="G83" s="17"/>
      <c r="H83" s="17"/>
      <c r="I83" s="17"/>
      <c r="J83" s="17"/>
      <c r="K83" s="17"/>
      <c r="L83" s="17"/>
      <c r="M83" s="17"/>
      <c r="N83" s="17"/>
      <c r="O83" s="18" t="str">
        <f aca="false">IF(OR(D83&lt;&gt;"Y",N83=""),"",IF(N83&gt;=3,1,IF(N83&gt;=1,0.5,0)))</f>
        <v/>
      </c>
    </row>
    <row r="84" customFormat="false" ht="15" hidden="false" customHeight="true" outlineLevel="0" collapsed="false">
      <c r="A84" s="15" t="s">
        <v>230</v>
      </c>
      <c r="B84" s="16" t="s">
        <v>231</v>
      </c>
      <c r="C84" s="16" t="s">
        <v>191</v>
      </c>
      <c r="D84" s="17"/>
      <c r="E84" s="17"/>
      <c r="F84" s="18" t="str">
        <f aca="false">IF(D84="","",IF(D84="N","N/A - excluded",IF(N84="","Maturity missing",IF(N84&gt;=3,"Implemented",IF(N84&gt;=1,"Partial","Not started")))))</f>
        <v/>
      </c>
      <c r="G84" s="17"/>
      <c r="H84" s="17"/>
      <c r="I84" s="17"/>
      <c r="J84" s="17"/>
      <c r="K84" s="17"/>
      <c r="L84" s="17"/>
      <c r="M84" s="17"/>
      <c r="N84" s="17"/>
      <c r="O84" s="18" t="str">
        <f aca="false">IF(OR(D84&lt;&gt;"Y",N84=""),"",IF(N84&gt;=3,1,IF(N84&gt;=1,0.5,0)))</f>
        <v/>
      </c>
    </row>
    <row r="85" customFormat="false" ht="15" hidden="false" customHeight="true" outlineLevel="0" collapsed="false">
      <c r="A85" s="15" t="s">
        <v>232</v>
      </c>
      <c r="B85" s="16" t="s">
        <v>233</v>
      </c>
      <c r="C85" s="16" t="s">
        <v>191</v>
      </c>
      <c r="D85" s="17"/>
      <c r="E85" s="17"/>
      <c r="F85" s="18" t="str">
        <f aca="false">IF(D85="","",IF(D85="N","N/A - excluded",IF(N85="","Maturity missing",IF(N85&gt;=3,"Implemented",IF(N85&gt;=1,"Partial","Not started")))))</f>
        <v/>
      </c>
      <c r="G85" s="17"/>
      <c r="H85" s="17"/>
      <c r="I85" s="17"/>
      <c r="J85" s="17"/>
      <c r="K85" s="17"/>
      <c r="L85" s="17"/>
      <c r="M85" s="17"/>
      <c r="N85" s="17"/>
      <c r="O85" s="18" t="str">
        <f aca="false">IF(OR(D85&lt;&gt;"Y",N85=""),"",IF(N85&gt;=3,1,IF(N85&gt;=1,0.5,0)))</f>
        <v/>
      </c>
    </row>
    <row r="86" customFormat="false" ht="15" hidden="false" customHeight="true" outlineLevel="0" collapsed="false">
      <c r="A86" s="15" t="s">
        <v>234</v>
      </c>
      <c r="B86" s="16" t="s">
        <v>235</v>
      </c>
      <c r="C86" s="16" t="s">
        <v>191</v>
      </c>
      <c r="D86" s="17"/>
      <c r="E86" s="17"/>
      <c r="F86" s="18" t="str">
        <f aca="false">IF(D86="","",IF(D86="N","N/A - excluded",IF(N86="","Maturity missing",IF(N86&gt;=3,"Implemented",IF(N86&gt;=1,"Partial","Not started")))))</f>
        <v/>
      </c>
      <c r="G86" s="17"/>
      <c r="H86" s="17"/>
      <c r="I86" s="17"/>
      <c r="J86" s="17"/>
      <c r="K86" s="17"/>
      <c r="L86" s="17"/>
      <c r="M86" s="17"/>
      <c r="N86" s="17"/>
      <c r="O86" s="18" t="str">
        <f aca="false">IF(OR(D86&lt;&gt;"Y",N86=""),"",IF(N86&gt;=3,1,IF(N86&gt;=1,0.5,0)))</f>
        <v/>
      </c>
    </row>
    <row r="87" customFormat="false" ht="15" hidden="false" customHeight="true" outlineLevel="0" collapsed="false">
      <c r="A87" s="15" t="s">
        <v>236</v>
      </c>
      <c r="B87" s="16" t="s">
        <v>237</v>
      </c>
      <c r="C87" s="16" t="s">
        <v>191</v>
      </c>
      <c r="D87" s="17"/>
      <c r="E87" s="17"/>
      <c r="F87" s="18" t="str">
        <f aca="false">IF(D87="","",IF(D87="N","N/A - excluded",IF(N87="","Maturity missing",IF(N87&gt;=3,"Implemented",IF(N87&gt;=1,"Partial","Not started")))))</f>
        <v/>
      </c>
      <c r="G87" s="17"/>
      <c r="H87" s="17"/>
      <c r="I87" s="17"/>
      <c r="J87" s="17"/>
      <c r="K87" s="17"/>
      <c r="L87" s="17"/>
      <c r="M87" s="17"/>
      <c r="N87" s="17"/>
      <c r="O87" s="18" t="str">
        <f aca="false">IF(OR(D87&lt;&gt;"Y",N87=""),"",IF(N87&gt;=3,1,IF(N87&gt;=1,0.5,0)))</f>
        <v/>
      </c>
    </row>
    <row r="88" customFormat="false" ht="15" hidden="false" customHeight="true" outlineLevel="0" collapsed="false">
      <c r="A88" s="15" t="s">
        <v>238</v>
      </c>
      <c r="B88" s="16" t="s">
        <v>239</v>
      </c>
      <c r="C88" s="16" t="s">
        <v>191</v>
      </c>
      <c r="D88" s="17"/>
      <c r="E88" s="17"/>
      <c r="F88" s="18" t="str">
        <f aca="false">IF(D88="","",IF(D88="N","N/A - excluded",IF(N88="","Maturity missing",IF(N88&gt;=3,"Implemented",IF(N88&gt;=1,"Partial","Not started")))))</f>
        <v/>
      </c>
      <c r="G88" s="17"/>
      <c r="H88" s="17"/>
      <c r="I88" s="17"/>
      <c r="J88" s="17"/>
      <c r="K88" s="17"/>
      <c r="L88" s="17"/>
      <c r="M88" s="17"/>
      <c r="N88" s="17"/>
      <c r="O88" s="18" t="str">
        <f aca="false">IF(OR(D88&lt;&gt;"Y",N88=""),"",IF(N88&gt;=3,1,IF(N88&gt;=1,0.5,0)))</f>
        <v/>
      </c>
    </row>
    <row r="89" customFormat="false" ht="15" hidden="false" customHeight="true" outlineLevel="0" collapsed="false">
      <c r="A89" s="15" t="s">
        <v>240</v>
      </c>
      <c r="B89" s="16" t="s">
        <v>241</v>
      </c>
      <c r="C89" s="16" t="s">
        <v>191</v>
      </c>
      <c r="D89" s="17"/>
      <c r="E89" s="17"/>
      <c r="F89" s="18" t="str">
        <f aca="false">IF(D89="","",IF(D89="N","N/A - excluded",IF(N89="","Maturity missing",IF(N89&gt;=3,"Implemented",IF(N89&gt;=1,"Partial","Not started")))))</f>
        <v/>
      </c>
      <c r="G89" s="17"/>
      <c r="H89" s="17"/>
      <c r="I89" s="17"/>
      <c r="J89" s="17"/>
      <c r="K89" s="17"/>
      <c r="L89" s="17"/>
      <c r="M89" s="17"/>
      <c r="N89" s="17"/>
      <c r="O89" s="18" t="str">
        <f aca="false">IF(OR(D89&lt;&gt;"Y",N89=""),"",IF(N89&gt;=3,1,IF(N89&gt;=1,0.5,0)))</f>
        <v/>
      </c>
    </row>
    <row r="90" customFormat="false" ht="23.25" hidden="false" customHeight="true" outlineLevel="0" collapsed="false">
      <c r="A90" s="15" t="s">
        <v>242</v>
      </c>
      <c r="B90" s="16" t="s">
        <v>243</v>
      </c>
      <c r="C90" s="16" t="s">
        <v>191</v>
      </c>
      <c r="D90" s="17"/>
      <c r="E90" s="17"/>
      <c r="F90" s="18" t="str">
        <f aca="false">IF(D90="","",IF(D90="N","N/A - excluded",IF(N90="","Maturity missing",IF(N90&gt;=3,"Implemented",IF(N90&gt;=1,"Partial","Not started")))))</f>
        <v/>
      </c>
      <c r="G90" s="17"/>
      <c r="H90" s="17"/>
      <c r="I90" s="17"/>
      <c r="J90" s="17"/>
      <c r="K90" s="17"/>
      <c r="L90" s="17"/>
      <c r="M90" s="17"/>
      <c r="N90" s="17"/>
      <c r="O90" s="18" t="str">
        <f aca="false">IF(OR(D90&lt;&gt;"Y",N90=""),"",IF(N90&gt;=3,1,IF(N90&gt;=1,0.5,0)))</f>
        <v/>
      </c>
    </row>
    <row r="91" customFormat="false" ht="15" hidden="false" customHeight="true" outlineLevel="0" collapsed="false">
      <c r="A91" s="15" t="s">
        <v>244</v>
      </c>
      <c r="B91" s="16" t="s">
        <v>245</v>
      </c>
      <c r="C91" s="16" t="s">
        <v>191</v>
      </c>
      <c r="D91" s="17"/>
      <c r="E91" s="17"/>
      <c r="F91" s="18" t="str">
        <f aca="false">IF(D91="","",IF(D91="N","N/A - excluded",IF(N91="","Maturity missing",IF(N91&gt;=3,"Implemented",IF(N91&gt;=1,"Partial","Not started")))))</f>
        <v/>
      </c>
      <c r="G91" s="17"/>
      <c r="H91" s="17"/>
      <c r="I91" s="17"/>
      <c r="J91" s="17"/>
      <c r="K91" s="17"/>
      <c r="L91" s="17"/>
      <c r="M91" s="17"/>
      <c r="N91" s="17"/>
      <c r="O91" s="18" t="str">
        <f aca="false">IF(OR(D91&lt;&gt;"Y",N91=""),"",IF(N91&gt;=3,1,IF(N91&gt;=1,0.5,0)))</f>
        <v/>
      </c>
    </row>
    <row r="92" customFormat="false" ht="23.25" hidden="false" customHeight="true" outlineLevel="0" collapsed="false">
      <c r="A92" s="15" t="s">
        <v>246</v>
      </c>
      <c r="B92" s="16" t="s">
        <v>247</v>
      </c>
      <c r="C92" s="16" t="s">
        <v>191</v>
      </c>
      <c r="D92" s="17"/>
      <c r="E92" s="17"/>
      <c r="F92" s="18" t="str">
        <f aca="false">IF(D92="","",IF(D92="N","N/A - excluded",IF(N92="","Maturity missing",IF(N92&gt;=3,"Implemented",IF(N92&gt;=1,"Partial","Not started")))))</f>
        <v/>
      </c>
      <c r="G92" s="17"/>
      <c r="H92" s="17"/>
      <c r="I92" s="17"/>
      <c r="J92" s="17"/>
      <c r="K92" s="17"/>
      <c r="L92" s="17"/>
      <c r="M92" s="17"/>
      <c r="N92" s="17"/>
      <c r="O92" s="18" t="str">
        <f aca="false">IF(OR(D92&lt;&gt;"Y",N92=""),"",IF(N92&gt;=3,1,IF(N92&gt;=1,0.5,0)))</f>
        <v/>
      </c>
    </row>
    <row r="93" customFormat="false" ht="15" hidden="false" customHeight="true" outlineLevel="0" collapsed="false">
      <c r="A93" s="15" t="s">
        <v>248</v>
      </c>
      <c r="B93" s="16" t="s">
        <v>249</v>
      </c>
      <c r="C93" s="16" t="s">
        <v>191</v>
      </c>
      <c r="D93" s="17"/>
      <c r="E93" s="17"/>
      <c r="F93" s="18" t="str">
        <f aca="false">IF(D93="","",IF(D93="N","N/A - excluded",IF(N93="","Maturity missing",IF(N93&gt;=3,"Implemented",IF(N93&gt;=1,"Partial","Not started")))))</f>
        <v/>
      </c>
      <c r="G93" s="17"/>
      <c r="H93" s="17"/>
      <c r="I93" s="17"/>
      <c r="J93" s="17"/>
      <c r="K93" s="17"/>
      <c r="L93" s="17"/>
      <c r="M93" s="17"/>
      <c r="N93" s="17"/>
      <c r="O93" s="18" t="str">
        <f aca="false">IF(OR(D93&lt;&gt;"Y",N93=""),"",IF(N93&gt;=3,1,IF(N93&gt;=1,0.5,0)))</f>
        <v/>
      </c>
    </row>
    <row r="94" customFormat="false" ht="23.25" hidden="false" customHeight="true" outlineLevel="0" collapsed="false">
      <c r="A94" s="15" t="s">
        <v>250</v>
      </c>
      <c r="B94" s="16" t="s">
        <v>251</v>
      </c>
      <c r="C94" s="16" t="s">
        <v>191</v>
      </c>
      <c r="D94" s="17"/>
      <c r="E94" s="17"/>
      <c r="F94" s="18" t="str">
        <f aca="false">IF(D94="","",IF(D94="N","N/A - excluded",IF(N94="","Maturity missing",IF(N94&gt;=3,"Implemented",IF(N94&gt;=1,"Partial","Not started")))))</f>
        <v/>
      </c>
      <c r="G94" s="17"/>
      <c r="H94" s="17"/>
      <c r="I94" s="17"/>
      <c r="J94" s="17"/>
      <c r="K94" s="17"/>
      <c r="L94" s="17"/>
      <c r="M94" s="17"/>
      <c r="N94" s="17"/>
      <c r="O94" s="18" t="str">
        <f aca="false">IF(OR(D94&lt;&gt;"Y",N94=""),"",IF(N94&gt;=3,1,IF(N94&gt;=1,0.5,0)))</f>
        <v/>
      </c>
    </row>
    <row r="95" customFormat="false" ht="15" hidden="false" customHeight="true" outlineLevel="0" collapsed="false">
      <c r="A95" s="15" t="s">
        <v>252</v>
      </c>
      <c r="B95" s="16" t="s">
        <v>253</v>
      </c>
      <c r="C95" s="16" t="s">
        <v>191</v>
      </c>
      <c r="D95" s="17"/>
      <c r="E95" s="17"/>
      <c r="F95" s="18" t="str">
        <f aca="false">IF(D95="","",IF(D95="N","N/A - excluded",IF(N95="","Maturity missing",IF(N95&gt;=3,"Implemented",IF(N95&gt;=1,"Partial","Not started")))))</f>
        <v/>
      </c>
      <c r="G95" s="17"/>
      <c r="H95" s="17"/>
      <c r="I95" s="17"/>
      <c r="J95" s="17"/>
      <c r="K95" s="17"/>
      <c r="L95" s="17"/>
      <c r="M95" s="17"/>
      <c r="N95" s="17"/>
      <c r="O95" s="18" t="str">
        <f aca="false">IF(OR(D95&lt;&gt;"Y",N95=""),"",IF(N95&gt;=3,1,IF(N95&gt;=1,0.5,0)))</f>
        <v/>
      </c>
    </row>
    <row r="96" customFormat="false" ht="15" hidden="false" customHeight="true" outlineLevel="0" collapsed="false">
      <c r="A96" s="15" t="s">
        <v>254</v>
      </c>
      <c r="B96" s="16" t="s">
        <v>255</v>
      </c>
      <c r="C96" s="16" t="s">
        <v>191</v>
      </c>
      <c r="D96" s="17"/>
      <c r="E96" s="17"/>
      <c r="F96" s="18" t="str">
        <f aca="false">IF(D96="","",IF(D96="N","N/A - excluded",IF(N96="","Maturity missing",IF(N96&gt;=3,"Implemented",IF(N96&gt;=1,"Partial","Not started")))))</f>
        <v/>
      </c>
      <c r="G96" s="17"/>
      <c r="H96" s="17"/>
      <c r="I96" s="17"/>
      <c r="J96" s="17"/>
      <c r="K96" s="17"/>
      <c r="L96" s="17"/>
      <c r="M96" s="17"/>
      <c r="N96" s="17"/>
      <c r="O96" s="18" t="str">
        <f aca="false">IF(OR(D96&lt;&gt;"Y",N96=""),"",IF(N96&gt;=3,1,IF(N96&gt;=1,0.5,0)))</f>
        <v/>
      </c>
    </row>
    <row r="97" customFormat="false" ht="23.25" hidden="false" customHeight="true" outlineLevel="0" collapsed="false">
      <c r="A97" s="15" t="s">
        <v>256</v>
      </c>
      <c r="B97" s="16" t="s">
        <v>257</v>
      </c>
      <c r="C97" s="16" t="s">
        <v>191</v>
      </c>
      <c r="D97" s="17"/>
      <c r="E97" s="17"/>
      <c r="F97" s="18" t="str">
        <f aca="false">IF(D97="","",IF(D97="N","N/A - excluded",IF(N97="","Maturity missing",IF(N97&gt;=3,"Implemented",IF(N97&gt;=1,"Partial","Not started")))))</f>
        <v/>
      </c>
      <c r="G97" s="17"/>
      <c r="H97" s="17"/>
      <c r="I97" s="17"/>
      <c r="J97" s="17"/>
      <c r="K97" s="17"/>
      <c r="L97" s="17"/>
      <c r="M97" s="17"/>
      <c r="N97" s="17"/>
      <c r="O97" s="18" t="str">
        <f aca="false">IF(OR(D97&lt;&gt;"Y",N97=""),"",IF(N97&gt;=3,1,IF(N97&gt;=1,0.5,0)))</f>
        <v/>
      </c>
    </row>
  </sheetData>
  <autoFilter ref="A4:O97"/>
  <conditionalFormatting sqref="F5:F97">
    <cfRule type="cellIs" priority="2" operator="equal" aboveAverage="0" equalAverage="0" bottom="0" percent="0" rank="0" text="" dxfId="6">
      <formula>"Implemented"</formula>
    </cfRule>
    <cfRule type="cellIs" priority="3" operator="equal" aboveAverage="0" equalAverage="0" bottom="0" percent="0" rank="0" text="" dxfId="7">
      <formula>"Partial"</formula>
    </cfRule>
    <cfRule type="cellIs" priority="4" operator="equal" aboveAverage="0" equalAverage="0" bottom="0" percent="0" rank="0" text="" dxfId="8">
      <formula>"Not started"</formula>
    </cfRule>
    <cfRule type="cellIs" priority="5" operator="equal" aboveAverage="0" equalAverage="0" bottom="0" percent="0" rank="0" text="" dxfId="8">
      <formula>"Maturity missing"</formula>
    </cfRule>
  </conditionalFormatting>
  <dataValidations count="3">
    <dataValidation allowBlank="true" error="Pick a value from the dropdown." errorStyle="stop" errorTitle="Use a listed value" operator="between" showDropDown="false" showErrorMessage="true" showInputMessage="false" sqref="D5:D97" type="list">
      <formula1>"Y,N"</formula1>
      <formula2>0</formula2>
    </dataValidation>
    <dataValidation allowBlank="true" error="Enter a whole number from 0 to 4." errorStyle="stop" errorTitle="Out of range" operator="between" showDropDown="false" showErrorMessage="true" showInputMessage="false" sqref="N5:N97" type="whole">
      <formula1>0</formula1>
      <formula2>4</formula2>
    </dataValidation>
    <dataValidation allowBlank="true" error="Pick a value from the dropdown." errorStyle="stop" errorTitle="Use a listed value" operator="between" showDropDown="false" showErrorMessage="true" showInputMessage="false" sqref="M5:M97" type="list">
      <formula1>06_Lists!$B$2:$B$9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8" min="7" style="1" width="12"/>
  </cols>
  <sheetData>
    <row r="1" customFormat="false" ht="18" hidden="false" customHeight="true" outlineLevel="0" collapsed="false">
      <c r="A1" s="12" t="s">
        <v>258</v>
      </c>
    </row>
    <row r="2" customFormat="false" ht="15" hidden="false" customHeight="true" outlineLevel="0" collapsed="false">
      <c r="A2" s="13" t="s">
        <v>259</v>
      </c>
    </row>
    <row r="4" customFormat="false" ht="33.75" hidden="false" customHeight="true" outlineLevel="0" collapsed="false">
      <c r="A4" s="14" t="s">
        <v>55</v>
      </c>
      <c r="B4" s="14" t="s">
        <v>260</v>
      </c>
      <c r="C4" s="14" t="s">
        <v>261</v>
      </c>
      <c r="D4" s="14" t="s">
        <v>262</v>
      </c>
      <c r="E4" s="14" t="s">
        <v>263</v>
      </c>
      <c r="F4" s="14" t="s">
        <v>264</v>
      </c>
      <c r="G4" s="14" t="s">
        <v>265</v>
      </c>
      <c r="H4" s="14" t="s">
        <v>266</v>
      </c>
    </row>
    <row r="5" customFormat="false" ht="15" hidden="false" customHeight="true" outlineLevel="0" collapsed="false">
      <c r="A5" s="15" t="s">
        <v>70</v>
      </c>
      <c r="B5" s="18" t="n">
        <f aca="false">COUNTIF(01_SoA!$C$5:$C$97,A5)</f>
        <v>37</v>
      </c>
      <c r="C5" s="18" t="n">
        <f aca="false">COUNTIFS(01_SoA!$C$5:$C$97,A5,01_SoA!$D$5:$D$97,"Y")</f>
        <v>0</v>
      </c>
      <c r="D5" s="18" t="n">
        <f aca="false">COUNTIFS(01_SoA!$C$5:$C$97,A5,01_SoA!$D$5:$D$97,"N")</f>
        <v>0</v>
      </c>
      <c r="E5" s="18" t="n">
        <f aca="false">COUNTIFS(01_SoA!$C$5:$C$97,A5,01_SoA!$F$5:$F$97,"Implemented")</f>
        <v>0</v>
      </c>
      <c r="F5" s="18" t="n">
        <f aca="false">COUNTIFS(01_SoA!$C$5:$C$97,A5,01_SoA!$F$5:$F$97,"Partial")</f>
        <v>0</v>
      </c>
      <c r="G5" s="18" t="n">
        <f aca="false">COUNTIFS(01_SoA!$C$5:$C$97,A5,01_SoA!$F$5:$F$97,"Not started")</f>
        <v>0</v>
      </c>
      <c r="H5" s="18" t="n">
        <f aca="false">COUNTIFS(01_SoA!$C$5:$C$97,A5,01_SoA!$D$5:$D$97,"")</f>
        <v>37</v>
      </c>
    </row>
    <row r="6" customFormat="false" ht="15" hidden="false" customHeight="true" outlineLevel="0" collapsed="false">
      <c r="A6" s="15" t="s">
        <v>145</v>
      </c>
      <c r="B6" s="18" t="n">
        <f aca="false">COUNTIF(01_SoA!$C$5:$C$97,A6)</f>
        <v>8</v>
      </c>
      <c r="C6" s="18" t="n">
        <f aca="false">COUNTIFS(01_SoA!$C$5:$C$97,A6,01_SoA!$D$5:$D$97,"Y")</f>
        <v>0</v>
      </c>
      <c r="D6" s="18" t="n">
        <f aca="false">COUNTIFS(01_SoA!$C$5:$C$97,A6,01_SoA!$D$5:$D$97,"N")</f>
        <v>0</v>
      </c>
      <c r="E6" s="18" t="n">
        <f aca="false">COUNTIFS(01_SoA!$C$5:$C$97,A6,01_SoA!$F$5:$F$97,"Implemented")</f>
        <v>0</v>
      </c>
      <c r="F6" s="18" t="n">
        <f aca="false">COUNTIFS(01_SoA!$C$5:$C$97,A6,01_SoA!$F$5:$F$97,"Partial")</f>
        <v>0</v>
      </c>
      <c r="G6" s="18" t="n">
        <f aca="false">COUNTIFS(01_SoA!$C$5:$C$97,A6,01_SoA!$F$5:$F$97,"Not started")</f>
        <v>0</v>
      </c>
      <c r="H6" s="18" t="n">
        <f aca="false">COUNTIFS(01_SoA!$C$5:$C$97,A6,01_SoA!$D$5:$D$97,"")</f>
        <v>8</v>
      </c>
    </row>
    <row r="7" customFormat="false" ht="15" hidden="false" customHeight="true" outlineLevel="0" collapsed="false">
      <c r="A7" s="15" t="s">
        <v>162</v>
      </c>
      <c r="B7" s="18" t="n">
        <f aca="false">COUNTIF(01_SoA!$C$5:$C$97,A7)</f>
        <v>14</v>
      </c>
      <c r="C7" s="18" t="n">
        <f aca="false">COUNTIFS(01_SoA!$C$5:$C$97,A7,01_SoA!$D$5:$D$97,"Y")</f>
        <v>0</v>
      </c>
      <c r="D7" s="18" t="n">
        <f aca="false">COUNTIFS(01_SoA!$C$5:$C$97,A7,01_SoA!$D$5:$D$97,"N")</f>
        <v>0</v>
      </c>
      <c r="E7" s="18" t="n">
        <f aca="false">COUNTIFS(01_SoA!$C$5:$C$97,A7,01_SoA!$F$5:$F$97,"Implemented")</f>
        <v>0</v>
      </c>
      <c r="F7" s="18" t="n">
        <f aca="false">COUNTIFS(01_SoA!$C$5:$C$97,A7,01_SoA!$F$5:$F$97,"Partial")</f>
        <v>0</v>
      </c>
      <c r="G7" s="18" t="n">
        <f aca="false">COUNTIFS(01_SoA!$C$5:$C$97,A7,01_SoA!$F$5:$F$97,"Not started")</f>
        <v>0</v>
      </c>
      <c r="H7" s="18" t="n">
        <f aca="false">COUNTIFS(01_SoA!$C$5:$C$97,A7,01_SoA!$D$5:$D$97,"")</f>
        <v>14</v>
      </c>
    </row>
    <row r="8" customFormat="false" ht="15" hidden="false" customHeight="true" outlineLevel="0" collapsed="false">
      <c r="A8" s="15" t="s">
        <v>191</v>
      </c>
      <c r="B8" s="18" t="n">
        <f aca="false">COUNTIF(01_SoA!$C$5:$C$97,A8)</f>
        <v>34</v>
      </c>
      <c r="C8" s="18" t="n">
        <f aca="false">COUNTIFS(01_SoA!$C$5:$C$97,A8,01_SoA!$D$5:$D$97,"Y")</f>
        <v>0</v>
      </c>
      <c r="D8" s="18" t="n">
        <f aca="false">COUNTIFS(01_SoA!$C$5:$C$97,A8,01_SoA!$D$5:$D$97,"N")</f>
        <v>0</v>
      </c>
      <c r="E8" s="18" t="n">
        <f aca="false">COUNTIFS(01_SoA!$C$5:$C$97,A8,01_SoA!$F$5:$F$97,"Implemented")</f>
        <v>0</v>
      </c>
      <c r="F8" s="18" t="n">
        <f aca="false">COUNTIFS(01_SoA!$C$5:$C$97,A8,01_SoA!$F$5:$F$97,"Partial")</f>
        <v>0</v>
      </c>
      <c r="G8" s="18" t="n">
        <f aca="false">COUNTIFS(01_SoA!$C$5:$C$97,A8,01_SoA!$F$5:$F$97,"Not started")</f>
        <v>0</v>
      </c>
      <c r="H8" s="18" t="n">
        <f aca="false">COUNTIFS(01_SoA!$C$5:$C$97,A8,01_SoA!$D$5:$D$97,"")</f>
        <v>34</v>
      </c>
    </row>
    <row r="9" customFormat="false" ht="15" hidden="false" customHeight="true" outlineLevel="0" collapsed="false">
      <c r="A9" s="15" t="s">
        <v>267</v>
      </c>
      <c r="B9" s="19" t="n">
        <f aca="false">SUM(B5:B8)</f>
        <v>93</v>
      </c>
      <c r="C9" s="19" t="n">
        <f aca="false">SUM(C5:C8)</f>
        <v>0</v>
      </c>
      <c r="D9" s="19" t="n">
        <f aca="false">SUM(D5:D8)</f>
        <v>0</v>
      </c>
      <c r="E9" s="19" t="n">
        <f aca="false">SUM(E5:E8)</f>
        <v>0</v>
      </c>
      <c r="F9" s="19" t="n">
        <f aca="false">SUM(F5:F8)</f>
        <v>0</v>
      </c>
      <c r="G9" s="19" t="n">
        <f aca="false">SUM(G5:G8)</f>
        <v>0</v>
      </c>
      <c r="H9" s="19" t="n">
        <f aca="false">SUM(H5:H8)</f>
        <v>93</v>
      </c>
    </row>
    <row r="11" customFormat="false" ht="15" hidden="false" customHeight="true" outlineLevel="0" collapsed="false">
      <c r="A11" s="15" t="s">
        <v>268</v>
      </c>
      <c r="B11" s="18" t="n">
        <f aca="false">SUM(01_SoA!$O$5:$O$97)</f>
        <v>0</v>
      </c>
    </row>
    <row r="12" customFormat="false" ht="15" hidden="false" customHeight="true" outlineLevel="0" collapsed="false">
      <c r="A12" s="15" t="s">
        <v>269</v>
      </c>
      <c r="B12" s="18" t="n">
        <f aca="false">C9</f>
        <v>0</v>
      </c>
    </row>
    <row r="13" customFormat="false" ht="15" hidden="false" customHeight="true" outlineLevel="0" collapsed="false">
      <c r="A13" s="15" t="s">
        <v>270</v>
      </c>
      <c r="B13" s="20" t="str">
        <f aca="false">IF(C9=0,"",B11/B12)</f>
        <v/>
      </c>
    </row>
    <row r="14" customFormat="false" ht="15" hidden="false" customHeight="true" outlineLevel="0" collapsed="false">
      <c r="A14" s="15" t="s">
        <v>271</v>
      </c>
      <c r="B14" s="18" t="n">
        <f aca="false">COUNTIFS(01_SoA!$D$5:$D$97,"Y",01_SoA!$N$5:$N$97,"")</f>
        <v>0</v>
      </c>
    </row>
    <row r="15" customFormat="false" ht="15" hidden="false" customHeight="true" outlineLevel="0" collapsed="false">
      <c r="A15" s="15" t="s">
        <v>272</v>
      </c>
      <c r="B15" s="18" t="n">
        <f aca="false">COUNTIFS(01_SoA!$D$5:$D$97,"N",01_SoA!$E$5:$E$97,"")</f>
        <v>0</v>
      </c>
    </row>
    <row r="16" customFormat="false" ht="15" hidden="false" customHeight="true" outlineLevel="0" collapsed="false">
      <c r="A16" s="15" t="s">
        <v>273</v>
      </c>
      <c r="B16" s="18" t="n">
        <f aca="false">COUNTIFS(01_SoA!$D$5:$D$97,"Y",01_SoA!$E$5:$E$97,"")</f>
        <v>0</v>
      </c>
    </row>
    <row r="17" customFormat="false" ht="15" hidden="false" customHeight="true" outlineLevel="0" collapsed="false">
      <c r="A17" s="15" t="s">
        <v>274</v>
      </c>
      <c r="B17" s="18" t="n">
        <f aca="false">COUNTIFS(01_SoA!$D$5:$D$97,"Y",01_SoA!$M$5:$M$97,"")</f>
        <v>0</v>
      </c>
    </row>
    <row r="18" customFormat="false" ht="15" hidden="false" customHeight="true" outlineLevel="0" collapsed="false">
      <c r="A18" s="15" t="s">
        <v>275</v>
      </c>
      <c r="B18" s="18" t="n">
        <f aca="false">COUNTIFS(01_SoA!$D$5:$D$97,"Y",01_SoA!$H$5:$H$97,"")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36"/>
    <col collapsed="false" customWidth="true" hidden="false" outlineLevel="0" max="7" min="6" style="1" width="32"/>
    <col collapsed="false" customWidth="true" hidden="false" outlineLevel="0" max="8" min="8" style="1" width="22"/>
    <col collapsed="false" customWidth="true" hidden="false" outlineLevel="0" max="9" min="9" style="1" width="12"/>
    <col collapsed="false" customWidth="true" hidden="false" outlineLevel="0" max="10" min="10" style="1" width="13"/>
  </cols>
  <sheetData>
    <row r="1" customFormat="false" ht="18" hidden="false" customHeight="true" outlineLevel="0" collapsed="false">
      <c r="A1" s="12" t="s">
        <v>276</v>
      </c>
    </row>
    <row r="2" customFormat="false" ht="15" hidden="false" customHeight="true" outlineLevel="0" collapsed="false">
      <c r="A2" s="13" t="s">
        <v>277</v>
      </c>
    </row>
    <row r="4" customFormat="false" ht="33.75" hidden="false" customHeight="true" outlineLevel="0" collapsed="false">
      <c r="A4" s="14" t="s">
        <v>278</v>
      </c>
      <c r="B4" s="14" t="s">
        <v>279</v>
      </c>
      <c r="C4" s="14" t="s">
        <v>280</v>
      </c>
      <c r="D4" s="14" t="s">
        <v>281</v>
      </c>
      <c r="E4" s="14" t="s">
        <v>282</v>
      </c>
      <c r="F4" s="14" t="s">
        <v>283</v>
      </c>
      <c r="G4" s="14" t="s">
        <v>284</v>
      </c>
      <c r="H4" s="14" t="s">
        <v>60</v>
      </c>
      <c r="I4" s="14" t="s">
        <v>285</v>
      </c>
      <c r="J4" s="14" t="s">
        <v>286</v>
      </c>
    </row>
    <row r="5" customFormat="false" ht="34.5" hidden="false" customHeight="true" outlineLevel="0" collapsed="false">
      <c r="A5" s="15" t="s">
        <v>287</v>
      </c>
      <c r="B5" s="16" t="s">
        <v>288</v>
      </c>
      <c r="C5" s="16" t="s">
        <v>289</v>
      </c>
      <c r="D5" s="17"/>
      <c r="E5" s="17"/>
      <c r="F5" s="17"/>
      <c r="G5" s="17"/>
      <c r="H5" s="17"/>
      <c r="I5" s="17"/>
      <c r="J5" s="17"/>
    </row>
    <row r="6" customFormat="false" ht="23.25" hidden="false" customHeight="true" outlineLevel="0" collapsed="false">
      <c r="A6" s="15" t="s">
        <v>290</v>
      </c>
      <c r="B6" s="16" t="s">
        <v>291</v>
      </c>
      <c r="C6" s="16" t="s">
        <v>289</v>
      </c>
      <c r="D6" s="17"/>
      <c r="E6" s="17"/>
      <c r="F6" s="17"/>
      <c r="G6" s="17"/>
      <c r="H6" s="17"/>
      <c r="I6" s="17"/>
      <c r="J6" s="17"/>
    </row>
    <row r="7" customFormat="false" ht="23.25" hidden="false" customHeight="true" outlineLevel="0" collapsed="false">
      <c r="A7" s="15" t="s">
        <v>292</v>
      </c>
      <c r="B7" s="16" t="s">
        <v>293</v>
      </c>
      <c r="C7" s="16" t="s">
        <v>294</v>
      </c>
      <c r="D7" s="17"/>
      <c r="E7" s="17"/>
      <c r="F7" s="17"/>
      <c r="G7" s="17"/>
      <c r="H7" s="17"/>
      <c r="I7" s="17"/>
      <c r="J7" s="17"/>
    </row>
    <row r="8" customFormat="false" ht="23.25" hidden="false" customHeight="true" outlineLevel="0" collapsed="false">
      <c r="A8" s="15" t="s">
        <v>295</v>
      </c>
      <c r="B8" s="16" t="s">
        <v>296</v>
      </c>
      <c r="C8" s="16" t="s">
        <v>289</v>
      </c>
      <c r="D8" s="17"/>
      <c r="E8" s="17"/>
      <c r="F8" s="17"/>
      <c r="G8" s="17"/>
      <c r="H8" s="17"/>
      <c r="I8" s="17"/>
      <c r="J8" s="17"/>
    </row>
    <row r="9" customFormat="false" ht="15" hidden="false" customHeight="true" outlineLevel="0" collapsed="false">
      <c r="A9" s="15" t="s">
        <v>297</v>
      </c>
      <c r="B9" s="16" t="s">
        <v>298</v>
      </c>
      <c r="C9" s="16" t="s">
        <v>289</v>
      </c>
      <c r="D9" s="17"/>
      <c r="E9" s="17"/>
      <c r="F9" s="17"/>
      <c r="G9" s="17"/>
      <c r="H9" s="17"/>
      <c r="I9" s="17"/>
      <c r="J9" s="17"/>
    </row>
    <row r="10" customFormat="false" ht="34.5" hidden="false" customHeight="true" outlineLevel="0" collapsed="false">
      <c r="A10" s="15" t="s">
        <v>299</v>
      </c>
      <c r="B10" s="16" t="s">
        <v>300</v>
      </c>
      <c r="C10" s="16" t="s">
        <v>289</v>
      </c>
      <c r="D10" s="17"/>
      <c r="E10" s="17"/>
      <c r="F10" s="17"/>
      <c r="G10" s="17"/>
      <c r="H10" s="17"/>
      <c r="I10" s="17"/>
      <c r="J10" s="17"/>
    </row>
    <row r="11" customFormat="false" ht="23.25" hidden="false" customHeight="true" outlineLevel="0" collapsed="false">
      <c r="A11" s="15" t="s">
        <v>301</v>
      </c>
      <c r="B11" s="16" t="s">
        <v>302</v>
      </c>
      <c r="C11" s="16" t="s">
        <v>289</v>
      </c>
      <c r="D11" s="17"/>
      <c r="E11" s="17"/>
      <c r="F11" s="17"/>
      <c r="G11" s="17"/>
      <c r="H11" s="17"/>
      <c r="I11" s="17"/>
      <c r="J11" s="17"/>
    </row>
    <row r="12" customFormat="false" ht="23.25" hidden="false" customHeight="true" outlineLevel="0" collapsed="false">
      <c r="A12" s="15" t="s">
        <v>303</v>
      </c>
      <c r="B12" s="16" t="s">
        <v>304</v>
      </c>
      <c r="C12" s="16" t="s">
        <v>289</v>
      </c>
      <c r="D12" s="17"/>
      <c r="E12" s="17"/>
      <c r="F12" s="17"/>
      <c r="G12" s="17"/>
      <c r="H12" s="17"/>
      <c r="I12" s="17"/>
      <c r="J12" s="17"/>
    </row>
    <row r="13" customFormat="false" ht="23.25" hidden="false" customHeight="true" outlineLevel="0" collapsed="false">
      <c r="A13" s="15" t="s">
        <v>305</v>
      </c>
      <c r="B13" s="16" t="s">
        <v>306</v>
      </c>
      <c r="C13" s="16" t="s">
        <v>294</v>
      </c>
      <c r="D13" s="17"/>
      <c r="E13" s="17"/>
      <c r="F13" s="17"/>
      <c r="G13" s="17"/>
      <c r="H13" s="17"/>
      <c r="I13" s="17"/>
      <c r="J13" s="17"/>
    </row>
    <row r="14" customFormat="false" ht="34.5" hidden="false" customHeight="true" outlineLevel="0" collapsed="false">
      <c r="A14" s="15" t="s">
        <v>307</v>
      </c>
      <c r="B14" s="16" t="s">
        <v>308</v>
      </c>
      <c r="C14" s="16" t="s">
        <v>294</v>
      </c>
      <c r="D14" s="17"/>
      <c r="E14" s="17"/>
      <c r="F14" s="17"/>
      <c r="G14" s="17"/>
      <c r="H14" s="17"/>
      <c r="I14" s="17"/>
      <c r="J14" s="17"/>
    </row>
    <row r="15" customFormat="false" ht="23.25" hidden="false" customHeight="true" outlineLevel="0" collapsed="false">
      <c r="A15" s="15" t="s">
        <v>309</v>
      </c>
      <c r="B15" s="16" t="s">
        <v>310</v>
      </c>
      <c r="C15" s="16" t="s">
        <v>289</v>
      </c>
      <c r="D15" s="17"/>
      <c r="E15" s="17"/>
      <c r="F15" s="17"/>
      <c r="G15" s="17"/>
      <c r="H15" s="17"/>
      <c r="I15" s="17"/>
      <c r="J15" s="17"/>
    </row>
    <row r="16" customFormat="false" ht="15" hidden="false" customHeight="true" outlineLevel="0" collapsed="false">
      <c r="A16" s="15" t="s">
        <v>311</v>
      </c>
      <c r="B16" s="16" t="s">
        <v>312</v>
      </c>
      <c r="C16" s="16" t="s">
        <v>289</v>
      </c>
      <c r="D16" s="17"/>
      <c r="E16" s="17"/>
      <c r="F16" s="17"/>
      <c r="G16" s="17"/>
      <c r="H16" s="17"/>
      <c r="I16" s="17"/>
      <c r="J16" s="17"/>
    </row>
    <row r="17" customFormat="false" ht="15" hidden="false" customHeight="true" outlineLevel="0" collapsed="false">
      <c r="A17" s="15" t="s">
        <v>313</v>
      </c>
      <c r="B17" s="16" t="s">
        <v>314</v>
      </c>
      <c r="C17" s="16" t="s">
        <v>289</v>
      </c>
      <c r="D17" s="17"/>
      <c r="E17" s="17"/>
      <c r="F17" s="17"/>
      <c r="G17" s="17"/>
      <c r="H17" s="17"/>
      <c r="I17" s="17"/>
      <c r="J17" s="17"/>
    </row>
    <row r="18" customFormat="false" ht="15" hidden="false" customHeight="true" outlineLevel="0" collapsed="false">
      <c r="A18" s="15" t="s">
        <v>315</v>
      </c>
      <c r="B18" s="16" t="s">
        <v>316</v>
      </c>
      <c r="C18" s="16" t="s">
        <v>289</v>
      </c>
      <c r="D18" s="17"/>
      <c r="E18" s="17"/>
      <c r="F18" s="17"/>
      <c r="G18" s="17"/>
      <c r="H18" s="17"/>
      <c r="I18" s="17"/>
      <c r="J18" s="17"/>
    </row>
    <row r="19" customFormat="false" ht="23.25" hidden="false" customHeight="true" outlineLevel="0" collapsed="false">
      <c r="A19" s="15" t="s">
        <v>317</v>
      </c>
      <c r="B19" s="16" t="s">
        <v>318</v>
      </c>
      <c r="C19" s="16" t="s">
        <v>289</v>
      </c>
      <c r="D19" s="17"/>
      <c r="E19" s="17"/>
      <c r="F19" s="17"/>
      <c r="G19" s="17"/>
      <c r="H19" s="17"/>
      <c r="I19" s="17"/>
      <c r="J19" s="17"/>
    </row>
    <row r="20" customFormat="false" ht="15" hidden="false" customHeight="true" outlineLevel="0" collapsed="false">
      <c r="A20" s="15" t="s">
        <v>319</v>
      </c>
      <c r="B20" s="16" t="s">
        <v>320</v>
      </c>
      <c r="C20" s="16" t="s">
        <v>289</v>
      </c>
      <c r="D20" s="17"/>
      <c r="E20" s="17"/>
      <c r="F20" s="17"/>
      <c r="G20" s="17"/>
      <c r="H20" s="17"/>
      <c r="I20" s="17"/>
      <c r="J20" s="17"/>
    </row>
    <row r="21" customFormat="false" ht="15" hidden="false" customHeight="true" outlineLevel="0" collapsed="false">
      <c r="A21" s="15" t="s">
        <v>321</v>
      </c>
      <c r="B21" s="16" t="s">
        <v>322</v>
      </c>
      <c r="C21" s="16" t="s">
        <v>289</v>
      </c>
      <c r="D21" s="17"/>
      <c r="E21" s="17"/>
      <c r="F21" s="17"/>
      <c r="G21" s="17"/>
      <c r="H21" s="17"/>
      <c r="I21" s="17"/>
      <c r="J21" s="17"/>
    </row>
    <row r="22" customFormat="false" ht="23.25" hidden="false" customHeight="true" outlineLevel="0" collapsed="false">
      <c r="A22" s="15" t="s">
        <v>323</v>
      </c>
      <c r="B22" s="16" t="s">
        <v>324</v>
      </c>
      <c r="C22" s="16" t="s">
        <v>289</v>
      </c>
      <c r="D22" s="17"/>
      <c r="E22" s="17"/>
      <c r="F22" s="17"/>
      <c r="G22" s="17"/>
      <c r="H22" s="17"/>
      <c r="I22" s="17"/>
      <c r="J22" s="17"/>
    </row>
    <row r="23" customFormat="false" ht="23.25" hidden="false" customHeight="true" outlineLevel="0" collapsed="false">
      <c r="A23" s="15" t="s">
        <v>325</v>
      </c>
      <c r="B23" s="16" t="s">
        <v>326</v>
      </c>
      <c r="C23" s="16" t="s">
        <v>289</v>
      </c>
      <c r="D23" s="17"/>
      <c r="E23" s="17"/>
      <c r="F23" s="17"/>
      <c r="G23" s="17"/>
      <c r="H23" s="17"/>
      <c r="I23" s="17"/>
      <c r="J23" s="17"/>
    </row>
    <row r="24" customFormat="false" ht="15" hidden="false" customHeight="true" outlineLevel="0" collapsed="false">
      <c r="A24" s="15" t="s">
        <v>327</v>
      </c>
      <c r="B24" s="16" t="s">
        <v>328</v>
      </c>
      <c r="C24" s="16" t="s">
        <v>289</v>
      </c>
      <c r="D24" s="17"/>
      <c r="E24" s="17"/>
      <c r="F24" s="17"/>
      <c r="G24" s="17"/>
      <c r="H24" s="17"/>
      <c r="I24" s="17"/>
      <c r="J24" s="17"/>
    </row>
    <row r="25" customFormat="false" ht="23.25" hidden="false" customHeight="true" outlineLevel="0" collapsed="false">
      <c r="A25" s="15" t="s">
        <v>329</v>
      </c>
      <c r="B25" s="16" t="s">
        <v>330</v>
      </c>
      <c r="C25" s="16" t="s">
        <v>289</v>
      </c>
      <c r="D25" s="17"/>
      <c r="E25" s="17"/>
      <c r="F25" s="17"/>
      <c r="G25" s="17"/>
      <c r="H25" s="17"/>
      <c r="I25" s="17"/>
      <c r="J25" s="17"/>
    </row>
    <row r="26" customFormat="false" ht="15" hidden="false" customHeight="true" outlineLevel="0" collapsed="false">
      <c r="A26" s="15" t="s">
        <v>331</v>
      </c>
      <c r="B26" s="16" t="s">
        <v>332</v>
      </c>
      <c r="C26" s="16" t="s">
        <v>294</v>
      </c>
      <c r="D26" s="17"/>
      <c r="E26" s="17"/>
      <c r="F26" s="17"/>
      <c r="G26" s="17"/>
      <c r="H26" s="17"/>
      <c r="I26" s="17"/>
      <c r="J26" s="17"/>
    </row>
    <row r="27" customFormat="false" ht="23.25" hidden="false" customHeight="true" outlineLevel="0" collapsed="false">
      <c r="A27" s="15" t="s">
        <v>333</v>
      </c>
      <c r="B27" s="16" t="s">
        <v>334</v>
      </c>
      <c r="C27" s="16" t="s">
        <v>294</v>
      </c>
      <c r="D27" s="17"/>
      <c r="E27" s="17"/>
      <c r="F27" s="17"/>
      <c r="G27" s="17"/>
      <c r="H27" s="17"/>
      <c r="I27" s="17"/>
      <c r="J27" s="17"/>
    </row>
    <row r="28" customFormat="false" ht="15" hidden="false" customHeight="true" outlineLevel="0" collapsed="false">
      <c r="A28" s="15" t="s">
        <v>335</v>
      </c>
      <c r="B28" s="16" t="s">
        <v>336</v>
      </c>
      <c r="C28" s="16" t="s">
        <v>294</v>
      </c>
      <c r="D28" s="17"/>
      <c r="E28" s="17"/>
      <c r="F28" s="17"/>
      <c r="G28" s="17"/>
      <c r="H28" s="17"/>
      <c r="I28" s="17"/>
      <c r="J28" s="17"/>
    </row>
    <row r="29" customFormat="false" ht="23.25" hidden="false" customHeight="true" outlineLevel="0" collapsed="false">
      <c r="A29" s="15" t="s">
        <v>337</v>
      </c>
      <c r="B29" s="16" t="s">
        <v>338</v>
      </c>
      <c r="C29" s="16" t="s">
        <v>294</v>
      </c>
      <c r="D29" s="17"/>
      <c r="E29" s="17"/>
      <c r="F29" s="17"/>
      <c r="G29" s="17"/>
      <c r="H29" s="17"/>
      <c r="I29" s="17"/>
      <c r="J29" s="17"/>
    </row>
    <row r="30" customFormat="false" ht="23.25" hidden="false" customHeight="true" outlineLevel="0" collapsed="false">
      <c r="A30" s="15" t="s">
        <v>339</v>
      </c>
      <c r="B30" s="16" t="s">
        <v>340</v>
      </c>
      <c r="C30" s="16" t="s">
        <v>294</v>
      </c>
      <c r="D30" s="17"/>
      <c r="E30" s="17"/>
      <c r="F30" s="17"/>
      <c r="G30" s="17"/>
      <c r="H30" s="17"/>
      <c r="I30" s="17"/>
      <c r="J30" s="17"/>
    </row>
    <row r="31" customFormat="false" ht="15" hidden="false" customHeight="true" outlineLevel="0" collapsed="false">
      <c r="A31" s="15" t="s">
        <v>341</v>
      </c>
      <c r="B31" s="16" t="s">
        <v>342</v>
      </c>
      <c r="C31" s="16" t="s">
        <v>289</v>
      </c>
      <c r="D31" s="17"/>
      <c r="E31" s="17"/>
      <c r="F31" s="17"/>
      <c r="G31" s="17"/>
      <c r="H31" s="17"/>
      <c r="I31" s="17"/>
      <c r="J31" s="17"/>
    </row>
    <row r="32" customFormat="false" ht="23.25" hidden="false" customHeight="true" outlineLevel="0" collapsed="false">
      <c r="A32" s="15" t="s">
        <v>343</v>
      </c>
      <c r="B32" s="16" t="s">
        <v>344</v>
      </c>
      <c r="C32" s="16" t="s">
        <v>289</v>
      </c>
      <c r="D32" s="17"/>
      <c r="E32" s="17"/>
      <c r="F32" s="17"/>
      <c r="G32" s="17"/>
      <c r="H32" s="17"/>
      <c r="I32" s="17"/>
      <c r="J32" s="17"/>
    </row>
  </sheetData>
  <conditionalFormatting sqref="D5:D32">
    <cfRule type="expression" priority="2" aboveAverage="0" equalAverage="0" bottom="0" percent="0" rank="0" text="" dxfId="6">
      <formula>AND(D5&lt;&gt;"",D5=2)</formula>
    </cfRule>
    <cfRule type="expression" priority="3" aboveAverage="0" equalAverage="0" bottom="0" percent="0" rank="0" text="" dxfId="7">
      <formula>AND(D5&lt;&gt;"",D5=1)</formula>
    </cfRule>
    <cfRule type="expression" priority="4" aboveAverage="0" equalAverage="0" bottom="0" percent="0" rank="0" text="" dxfId="8">
      <formula>AND(D5&lt;&gt;"",D5=0)</formula>
    </cfRule>
  </conditionalFormatting>
  <conditionalFormatting sqref="C5:C32">
    <cfRule type="cellIs" priority="5" operator="equal" aboveAverage="0" equalAverage="0" bottom="0" percent="0" rank="0" text="" dxfId="9">
      <formula>"Y"</formula>
    </cfRule>
  </conditionalFormatting>
  <dataValidations count="1">
    <dataValidation allowBlank="true" error="Enter a whole number from 0 to 2." errorStyle="stop" errorTitle="Out of range" operator="between" showDropDown="false" showErrorMessage="true" showInputMessage="false" sqref="D5:D32" type="whole">
      <formula1>0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2"/>
    <col collapsed="false" customWidth="true" hidden="false" outlineLevel="0" max="3" min="3" style="1" width="70"/>
  </cols>
  <sheetData>
    <row r="1" customFormat="false" ht="18" hidden="false" customHeight="true" outlineLevel="0" collapsed="false">
      <c r="A1" s="12" t="s">
        <v>345</v>
      </c>
    </row>
    <row r="2" customFormat="false" ht="15" hidden="false" customHeight="true" outlineLevel="0" collapsed="false">
      <c r="A2" s="13" t="s">
        <v>346</v>
      </c>
    </row>
    <row r="4" customFormat="false" ht="33.75" hidden="false" customHeight="true" outlineLevel="0" collapsed="false">
      <c r="A4" s="14" t="s">
        <v>347</v>
      </c>
      <c r="B4" s="14" t="s">
        <v>348</v>
      </c>
      <c r="C4" s="14" t="s">
        <v>349</v>
      </c>
    </row>
    <row r="5" customFormat="false" ht="15" hidden="false" customHeight="true" outlineLevel="0" collapsed="false">
      <c r="A5" s="15" t="s">
        <v>350</v>
      </c>
      <c r="B5" s="18" t="n">
        <f aca="false">COUNT(03_Clauses!D5:D32)</f>
        <v>0</v>
      </c>
      <c r="C5" s="16" t="s">
        <v>351</v>
      </c>
    </row>
    <row r="6" customFormat="false" ht="15" hidden="false" customHeight="true" outlineLevel="0" collapsed="false">
      <c r="A6" s="15" t="s">
        <v>352</v>
      </c>
      <c r="B6" s="20" t="str">
        <f aca="false">IF(B5&lt;28,"Incomplete",SUM(03_Clauses!D5:D32)/(2*28))</f>
        <v>Incomplete</v>
      </c>
      <c r="C6" s="16" t="s">
        <v>353</v>
      </c>
    </row>
    <row r="7" customFormat="false" ht="15" hidden="false" customHeight="true" outlineLevel="0" collapsed="false">
      <c r="A7" s="15" t="s">
        <v>270</v>
      </c>
      <c r="B7" s="20" t="str">
        <f aca="false">IF(OR(02_Summary!H9&gt;0,02_Summary!B14&gt;0),"Incomplete",02_Summary!B13)</f>
        <v>Incomplete</v>
      </c>
      <c r="C7" s="16" t="s">
        <v>354</v>
      </c>
    </row>
    <row r="8" customFormat="false" ht="15" hidden="false" customHeight="true" outlineLevel="0" collapsed="false">
      <c r="A8" s="15" t="s">
        <v>355</v>
      </c>
      <c r="B8" s="21" t="n">
        <v>0.6</v>
      </c>
      <c r="C8" s="16" t="s">
        <v>356</v>
      </c>
    </row>
    <row r="9" customFormat="false" ht="15" hidden="false" customHeight="true" outlineLevel="0" collapsed="false">
      <c r="A9" s="15" t="s">
        <v>357</v>
      </c>
      <c r="B9" s="21" t="n">
        <v>0.4</v>
      </c>
      <c r="C9" s="16"/>
    </row>
    <row r="10" customFormat="false" ht="15" hidden="false" customHeight="true" outlineLevel="0" collapsed="false">
      <c r="A10" s="15" t="s">
        <v>358</v>
      </c>
      <c r="B10" s="18" t="str">
        <f aca="false">IF(ROUND(B8+B9,6)=1,"PASS","FAIL")</f>
        <v>PASS</v>
      </c>
      <c r="C10" s="16" t="s">
        <v>359</v>
      </c>
    </row>
    <row r="11" customFormat="false" ht="15" hidden="false" customHeight="true" outlineLevel="0" collapsed="false">
      <c r="A11" s="15" t="s">
        <v>360</v>
      </c>
      <c r="B11" s="20" t="str">
        <f aca="false">IF(OR(ISTEXT(B6),ISTEXT(B7)),"Incomplete",B8*B6+B9*B7)</f>
        <v>Incomplete</v>
      </c>
      <c r="C11" s="16"/>
    </row>
    <row r="12" customFormat="false" ht="15" hidden="false" customHeight="true" outlineLevel="0" collapsed="false">
      <c r="A12" s="15" t="s">
        <v>361</v>
      </c>
      <c r="B12" s="18" t="n">
        <f aca="false">COUNTIF(03_Clauses!C5:C32,"Y")</f>
        <v>8</v>
      </c>
      <c r="C12" s="16" t="s">
        <v>362</v>
      </c>
    </row>
    <row r="13" customFormat="false" ht="15" hidden="false" customHeight="true" outlineLevel="0" collapsed="false">
      <c r="A13" s="15" t="s">
        <v>363</v>
      </c>
      <c r="B13" s="18" t="n">
        <f aca="false">COUNTIFS(03_Clauses!C5:C32,"Y",03_Clauses!D5:D32,"&lt;2")</f>
        <v>0</v>
      </c>
      <c r="C13" s="16" t="s">
        <v>364</v>
      </c>
    </row>
    <row r="14" customFormat="false" ht="15" hidden="false" customHeight="true" outlineLevel="0" collapsed="false">
      <c r="A14" s="15" t="s">
        <v>365</v>
      </c>
      <c r="B14" s="21" t="n">
        <v>0.85</v>
      </c>
      <c r="C14" s="16"/>
    </row>
    <row r="15" customFormat="false" ht="15" hidden="false" customHeight="true" outlineLevel="0" collapsed="false">
      <c r="A15" s="15" t="s">
        <v>366</v>
      </c>
      <c r="B15" s="21" t="n">
        <v>0.6</v>
      </c>
      <c r="C15" s="16"/>
    </row>
    <row r="16" customFormat="false" ht="15" hidden="false" customHeight="true" outlineLevel="0" collapsed="false">
      <c r="A16" s="15" t="s">
        <v>367</v>
      </c>
      <c r="B16" s="22" t="str">
        <f aca="false">IF(ISTEXT(B11),"Incomplete",IF(AND(B11&gt;=B14,B13=0),"Ready for Stage 1",IF(B11&gt;=B15,"Ready within 90 days","Not ready")))</f>
        <v>Incomplete</v>
      </c>
      <c r="C16" s="16" t="s">
        <v>368</v>
      </c>
    </row>
    <row r="17" customFormat="false" ht="15" hidden="false" customHeight="true" outlineLevel="0" collapsed="false">
      <c r="A17" s="15" t="s">
        <v>369</v>
      </c>
      <c r="B17" s="18" t="str">
        <f aca="false">IF(ISTEXT(B11),"Incomplete",IF(B13&gt;0,"NO-GO",IF(B11&gt;=B14,"GO","NO-GO")))</f>
        <v>Incomplete</v>
      </c>
      <c r="C17" s="16" t="s">
        <v>370</v>
      </c>
    </row>
  </sheetData>
  <conditionalFormatting sqref="B17">
    <cfRule type="cellIs" priority="2" operator="equal" aboveAverage="0" equalAverage="0" bottom="0" percent="0" rank="0" text="" dxfId="6">
      <formula>"GO"</formula>
    </cfRule>
    <cfRule type="cellIs" priority="3" operator="equal" aboveAverage="0" equalAverage="0" bottom="0" percent="0" rank="0" text="" dxfId="8">
      <formula>"NO-GO"</formula>
    </cfRule>
  </conditionalFormatting>
  <conditionalFormatting sqref="B16">
    <cfRule type="cellIs" priority="4" operator="equal" aboveAverage="0" equalAverage="0" bottom="0" percent="0" rank="0" text="" dxfId="8">
      <formula>"Not ready"</formula>
    </cfRule>
    <cfRule type="cellIs" priority="5" operator="equal" aboveAverage="0" equalAverage="0" bottom="0" percent="0" rank="0" text="" dxfId="7">
      <formula>"Ready within 90 days"</formula>
    </cfRule>
    <cfRule type="cellIs" priority="6" operator="equal" aboveAverage="0" equalAverage="0" bottom="0" percent="0" rank="0" text="" dxfId="6">
      <formula>"Ready for Stage 1"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0"/>
    <col collapsed="false" customWidth="true" hidden="false" outlineLevel="0" max="3" min="3" style="1" width="12"/>
    <col collapsed="false" customWidth="true" hidden="false" outlineLevel="0" max="4" min="4" style="1" width="40"/>
  </cols>
  <sheetData>
    <row r="1" customFormat="false" ht="18" hidden="false" customHeight="true" outlineLevel="0" collapsed="false">
      <c r="A1" s="12" t="s">
        <v>371</v>
      </c>
    </row>
    <row r="2" customFormat="false" ht="15" hidden="false" customHeight="true" outlineLevel="0" collapsed="false">
      <c r="A2" s="13" t="s">
        <v>259</v>
      </c>
    </row>
    <row r="4" customFormat="false" ht="33.75" hidden="false" customHeight="true" outlineLevel="0" collapsed="false">
      <c r="A4" s="14" t="s">
        <v>372</v>
      </c>
      <c r="B4" s="14" t="s">
        <v>373</v>
      </c>
      <c r="C4" s="14" t="s">
        <v>374</v>
      </c>
      <c r="D4" s="14" t="s">
        <v>375</v>
      </c>
    </row>
    <row r="5" customFormat="false" ht="15" hidden="false" customHeight="true" outlineLevel="0" collapsed="false">
      <c r="A5" s="16" t="n">
        <v>1</v>
      </c>
      <c r="B5" s="16" t="s">
        <v>376</v>
      </c>
      <c r="C5" s="18" t="str">
        <f aca="false">IF(COUNTA(01_SoA!A5:A97)=93,"PASS","FAIL")</f>
        <v>PASS</v>
      </c>
      <c r="D5" s="16" t="s">
        <v>377</v>
      </c>
    </row>
    <row r="6" customFormat="false" ht="15" hidden="false" customHeight="true" outlineLevel="0" collapsed="false">
      <c r="A6" s="16" t="n">
        <v>2</v>
      </c>
      <c r="B6" s="16" t="s">
        <v>378</v>
      </c>
      <c r="C6" s="18" t="str">
        <f aca="false">IF(02_Summary!H9=0,"PASS","FAIL")</f>
        <v>FAIL</v>
      </c>
      <c r="D6" s="16" t="s">
        <v>377</v>
      </c>
    </row>
    <row r="7" customFormat="false" ht="15" hidden="false" customHeight="true" outlineLevel="0" collapsed="false">
      <c r="A7" s="16" t="n">
        <v>3</v>
      </c>
      <c r="B7" s="16" t="s">
        <v>379</v>
      </c>
      <c r="C7" s="18" t="str">
        <f aca="false">IF(02_Summary!B15=0,"PASS","FAIL")</f>
        <v>PASS</v>
      </c>
      <c r="D7" s="16" t="s">
        <v>377</v>
      </c>
    </row>
    <row r="8" customFormat="false" ht="15" hidden="false" customHeight="true" outlineLevel="0" collapsed="false">
      <c r="A8" s="16" t="n">
        <v>4</v>
      </c>
      <c r="B8" s="16" t="s">
        <v>380</v>
      </c>
      <c r="C8" s="18" t="str">
        <f aca="false">IF(02_Summary!B14+02_Summary!B16+02_Summary!B17+02_Summary!B18=0,"PASS","FAIL")</f>
        <v>PASS</v>
      </c>
      <c r="D8" s="16" t="s">
        <v>377</v>
      </c>
    </row>
    <row r="9" customFormat="false" ht="15" hidden="false" customHeight="true" outlineLevel="0" collapsed="false">
      <c r="A9" s="16" t="n">
        <v>5</v>
      </c>
      <c r="B9" s="16" t="s">
        <v>381</v>
      </c>
      <c r="C9" s="18" t="str">
        <f aca="false">IF(04_Readiness!B5=28,"PASS","FAIL")</f>
        <v>FAIL</v>
      </c>
      <c r="D9" s="16" t="s">
        <v>377</v>
      </c>
    </row>
    <row r="10" customFormat="false" ht="15" hidden="false" customHeight="true" outlineLevel="0" collapsed="false">
      <c r="A10" s="16" t="n">
        <v>6</v>
      </c>
      <c r="B10" s="16" t="s">
        <v>382</v>
      </c>
      <c r="C10" s="18" t="str">
        <f aca="false">04_Readiness!B10</f>
        <v>PASS</v>
      </c>
      <c r="D10" s="16" t="s">
        <v>377</v>
      </c>
    </row>
    <row r="11" customFormat="false" ht="15" hidden="false" customHeight="true" outlineLevel="0" collapsed="false">
      <c r="A11" s="16" t="n">
        <v>7</v>
      </c>
      <c r="B11" s="16" t="s">
        <v>383</v>
      </c>
      <c r="C11" s="17"/>
      <c r="D11" s="16" t="s">
        <v>384</v>
      </c>
    </row>
    <row r="12" customFormat="false" ht="15" hidden="false" customHeight="true" outlineLevel="0" collapsed="false">
      <c r="A12" s="16" t="n">
        <v>8</v>
      </c>
      <c r="B12" s="16" t="s">
        <v>385</v>
      </c>
      <c r="C12" s="17"/>
      <c r="D12" s="16" t="s">
        <v>384</v>
      </c>
    </row>
    <row r="13" customFormat="false" ht="15" hidden="false" customHeight="true" outlineLevel="0" collapsed="false">
      <c r="A13" s="16" t="n">
        <v>9</v>
      </c>
      <c r="B13" s="16" t="s">
        <v>386</v>
      </c>
      <c r="C13" s="17"/>
      <c r="D13" s="16" t="s">
        <v>384</v>
      </c>
    </row>
    <row r="14" customFormat="false" ht="15" hidden="false" customHeight="true" outlineLevel="0" collapsed="false">
      <c r="A14" s="16" t="n">
        <v>10</v>
      </c>
      <c r="B14" s="16" t="s">
        <v>387</v>
      </c>
      <c r="C14" s="17"/>
      <c r="D14" s="16" t="s">
        <v>384</v>
      </c>
    </row>
    <row r="15" customFormat="false" ht="15" hidden="false" customHeight="true" outlineLevel="0" collapsed="false">
      <c r="A15" s="16" t="n">
        <v>11</v>
      </c>
      <c r="B15" s="16" t="s">
        <v>388</v>
      </c>
      <c r="C15" s="17"/>
      <c r="D15" s="16" t="s">
        <v>384</v>
      </c>
    </row>
    <row r="16" customFormat="false" ht="15" hidden="false" customHeight="true" outlineLevel="0" collapsed="false">
      <c r="A16" s="16" t="n">
        <v>12</v>
      </c>
      <c r="B16" s="16" t="s">
        <v>389</v>
      </c>
      <c r="C16" s="17"/>
      <c r="D16" s="16" t="s">
        <v>384</v>
      </c>
    </row>
  </sheetData>
  <conditionalFormatting sqref="C5:C16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6">
      <formula>"Yes"</formula>
    </cfRule>
    <cfRule type="cellIs" priority="4" operator="equal" aboveAverage="0" equalAverage="0" bottom="0" percent="0" rank="0" text="" dxfId="8">
      <formula>"FAIL"</formula>
    </cfRule>
    <cfRule type="cellIs" priority="5" operator="equal" aboveAverage="0" equalAverage="0" bottom="0" percent="0" rank="0" text="" dxfId="8">
      <formula>"No"</formula>
    </cfRule>
  </conditionalFormatting>
  <dataValidations count="1">
    <dataValidation allowBlank="true" error="Pick a value from the dropdown." errorStyle="stop" errorTitle="Use a listed value" operator="between" showDropDown="false" showErrorMessage="true" showInputMessage="false" sqref="C11:C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4"/>
    <col collapsed="false" customWidth="true" hidden="false" outlineLevel="0" max="3" min="3" style="1" width="18"/>
  </cols>
  <sheetData>
    <row r="1" customFormat="false" ht="33.75" hidden="false" customHeight="true" outlineLevel="0" collapsed="false">
      <c r="A1" s="14" t="s">
        <v>261</v>
      </c>
      <c r="B1" s="14" t="s">
        <v>65</v>
      </c>
      <c r="C1" s="14" t="s">
        <v>55</v>
      </c>
    </row>
    <row r="2" customFormat="false" ht="15" hidden="false" customHeight="true" outlineLevel="0" collapsed="false">
      <c r="A2" s="16" t="s">
        <v>294</v>
      </c>
      <c r="B2" s="16" t="s">
        <v>390</v>
      </c>
      <c r="C2" s="16" t="s">
        <v>70</v>
      </c>
    </row>
    <row r="3" customFormat="false" ht="15" hidden="false" customHeight="true" outlineLevel="0" collapsed="false">
      <c r="A3" s="16" t="s">
        <v>289</v>
      </c>
      <c r="B3" s="16" t="s">
        <v>391</v>
      </c>
      <c r="C3" s="16" t="s">
        <v>145</v>
      </c>
    </row>
    <row r="4" customFormat="false" ht="15" hidden="false" customHeight="true" outlineLevel="0" collapsed="false">
      <c r="B4" s="16" t="s">
        <v>392</v>
      </c>
      <c r="C4" s="16" t="s">
        <v>162</v>
      </c>
    </row>
    <row r="5" customFormat="false" ht="15" hidden="false" customHeight="true" outlineLevel="0" collapsed="false">
      <c r="B5" s="16" t="s">
        <v>393</v>
      </c>
      <c r="C5" s="16" t="s">
        <v>191</v>
      </c>
    </row>
    <row r="6" customFormat="false" ht="15" hidden="false" customHeight="true" outlineLevel="0" collapsed="false">
      <c r="B6" s="16" t="s">
        <v>394</v>
      </c>
    </row>
    <row r="7" customFormat="false" ht="15" hidden="false" customHeight="true" outlineLevel="0" collapsed="false">
      <c r="B7" s="16" t="s">
        <v>395</v>
      </c>
    </row>
    <row r="8" customFormat="false" ht="15" hidden="false" customHeight="true" outlineLevel="0" collapsed="false">
      <c r="B8" s="16" t="s">
        <v>396</v>
      </c>
    </row>
    <row r="9" customFormat="false" ht="15" hidden="false" customHeight="true" outlineLevel="0" collapsed="false">
      <c r="B9" s="16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2026-09-16T17:06:58Z</dcterms:created>
  <dc:creator>Olugboye Shola</dc:creator>
  <dc:description/>
  <dc:language>en-US</dc:language>
  <cp:lastModifiedBy>Olugboye Shola</cp:lastModifiedBy>
  <dcterms:modified xsi:type="dcterms:W3CDTF">2026-10-13T14:22:24Z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