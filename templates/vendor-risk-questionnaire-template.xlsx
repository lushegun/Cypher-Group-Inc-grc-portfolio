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3"/>
    <sheet name="Scoring" sheetId="2" state="visible" r:id="rId4"/>
    <sheet name="Questionnaire" sheetId="3" state="visible" r:id="rId5"/>
  </sheets>
  <definedNames>
    <definedName function="false" hidden="true" localSheetId="2" name="_xlnm._FilterDatabase" vbProcedure="false">Questionnaire!$A$1:$Q$75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<sst xmlns="http://schemas.openxmlformats.org/spreadsheetml/2006/main" count="662" uniqueCount="389">
  <si>
    <t xml:space="preserve">Vendor Security Questionnaire — scoring template</t>
  </si>
  <si>
    <t xml:space="preserve">REUSABLE TEMPLATE. Replace the organisation details, choose the tier on the Scoring sheet, and record a verdict for every applicable question. Prepared by Olugboye Shola.</t>
  </si>
  <si>
    <t xml:space="preserve">How it scores</t>
  </si>
  <si>
    <t xml:space="preserve">Deduction = full weight for every Not Met + half the weight for every Partial. N/A questions leave the maximum. Score = 1 − deduction ÷ maximum.</t>
  </si>
  <si>
    <t xml:space="preserve">The veto</t>
  </si>
  <si>
    <t xml:space="preserve">Two or more weight-5 questions marked Not Met force a Fail, whatever the percentage.</t>
  </si>
  <si>
    <t xml:space="preserve">Tier subsets</t>
  </si>
  <si>
    <t xml:space="preserve">Tier 1 = all 74 questions · Tier 2 = the 24 weight-5 questions · Tier 3 = six fixed attestation questions.</t>
  </si>
  <si>
    <t xml:space="preserve">SHEETS</t>
  </si>
  <si>
    <t xml:space="preserve">Scoring</t>
  </si>
  <si>
    <t xml:space="preserve">Choose the tier in the yellow cell. Every result is a formula.</t>
  </si>
  <si>
    <t xml:space="preserve">Questionnaire</t>
  </si>
  <si>
    <t xml:space="preserve">The 74 questions. Fill Vendor Response, Evidence Provided and Reviewer Verdict. "Applies" is calculated from the tier.</t>
  </si>
  <si>
    <t xml:space="preserve">COLOUR LEGEND</t>
  </si>
  <si>
    <t xml:space="preserve">Yellow cell</t>
  </si>
  <si>
    <t xml:space="preserve">Input — type or choose here</t>
  </si>
  <si>
    <t xml:space="preserve">Grey cell</t>
  </si>
  <si>
    <t xml:space="preserve">Formula — do not overwrite</t>
  </si>
  <si>
    <t xml:space="preserve">Green</t>
  </si>
  <si>
    <t xml:space="preserve">Pass / compliant / low</t>
  </si>
  <si>
    <t xml:space="preserve">Amber</t>
  </si>
  <si>
    <t xml:space="preserve">Partial / condition / medium</t>
  </si>
  <si>
    <t xml:space="preserve">Red</t>
  </si>
  <si>
    <t xml:space="preserve">Fail / non-compliant / high or critical</t>
  </si>
  <si>
    <t xml:space="preserve">PUBLISHING</t>
  </si>
  <si>
    <t xml:space="preserve">GitHub</t>
  </si>
  <si>
    <t xml:space="preserve">Upload this .xlsx next to its .md file. GitHub cannot preview .xlsx, so the project README links to it as a download.</t>
  </si>
  <si>
    <t xml:space="preserve">Notion</t>
  </si>
  <si>
    <t xml:space="preserve">Import the matching CSV files from the data/ folder (Settings → Import → CSV) for sortable databases.</t>
  </si>
  <si>
    <t xml:space="preserve">[ORGANISATION] — Vendor assessment scoring</t>
  </si>
  <si>
    <t xml:space="preserve">Replace the bracketed fields. Grey cells are formulas.</t>
  </si>
  <si>
    <t xml:space="preserve">Item</t>
  </si>
  <si>
    <t xml:space="preserve">Value</t>
  </si>
  <si>
    <t xml:space="preserve">Vendor</t>
  </si>
  <si>
    <t xml:space="preserve">[VENDOR NAME — VEN-nnn]</t>
  </si>
  <si>
    <t xml:space="preserve">Tier (1, 2 or 3)</t>
  </si>
  <si>
    <t xml:space="preserve">Questions applied</t>
  </si>
  <si>
    <t xml:space="preserve">Questions answered</t>
  </si>
  <si>
    <t xml:space="preserve">Met</t>
  </si>
  <si>
    <t xml:space="preserve">Partial</t>
  </si>
  <si>
    <t xml:space="preserve">Not Met</t>
  </si>
  <si>
    <t xml:space="preserve">N/A</t>
  </si>
  <si>
    <t xml:space="preserve">Maximum (applied weight, net of N/A)</t>
  </si>
  <si>
    <t xml:space="preserve">Weighted deduction</t>
  </si>
  <si>
    <t xml:space="preserve">Weighted score</t>
  </si>
  <si>
    <t xml:space="preserve">Weight-5 questions Not Met</t>
  </si>
  <si>
    <t xml:space="preserve">Scoring band</t>
  </si>
  <si>
    <t xml:space="preserve">Question ID</t>
  </si>
  <si>
    <t xml:space="preserve">Domain</t>
  </si>
  <si>
    <t xml:space="preserve">Question</t>
  </si>
  <si>
    <t xml:space="preserve">Response Type</t>
  </si>
  <si>
    <t xml:space="preserve">Evidence Required</t>
  </si>
  <si>
    <t xml:space="preserve">Risk Weight (1-5)</t>
  </si>
  <si>
    <t xml:space="preserve">ISO/IEC 27001:2022 Annex A</t>
  </si>
  <si>
    <t xml:space="preserve">NIST CSF 2.0</t>
  </si>
  <si>
    <t xml:space="preserve">Tier 1</t>
  </si>
  <si>
    <t xml:space="preserve">Tier 2 (Lite)</t>
  </si>
  <si>
    <t xml:space="preserve">Tier 3 (Attestation)</t>
  </si>
  <si>
    <t xml:space="preserve">Applies (1/0)</t>
  </si>
  <si>
    <t xml:space="preserve">Vendor Response</t>
  </si>
  <si>
    <t xml:space="preserve">Evidence Provided (Y/N)</t>
  </si>
  <si>
    <t xml:space="preserve">Reviewer Verdict (Met/Partial/Not Met/N/A)</t>
  </si>
  <si>
    <t xml:space="preserve">Finding ID</t>
  </si>
  <si>
    <t xml:space="preserve">Reviewer Comment</t>
  </si>
  <si>
    <t xml:space="preserve">VQ-01</t>
  </si>
  <si>
    <t xml:space="preserve">1. Governance and Security Programme</t>
  </si>
  <si>
    <t xml:space="preserve">Do you maintain a documented information security programme formally approved by executive management?</t>
  </si>
  <si>
    <t xml:space="preserve">Yes/No + document</t>
  </si>
  <si>
    <t xml:space="preserve">Approved security policy set with an approval record</t>
  </si>
  <si>
    <t xml:space="preserve">A.5.1, A.5.4</t>
  </si>
  <si>
    <t xml:space="preserve">GV.PO</t>
  </si>
  <si>
    <t xml:space="preserve">Y</t>
  </si>
  <si>
    <t xml:space="preserve">VQ-02</t>
  </si>
  <si>
    <t xml:space="preserve">Is a named individual accountable for information security (CISO or equivalent)? State the role title.</t>
  </si>
  <si>
    <t xml:space="preserve">Yes/No + free text</t>
  </si>
  <si>
    <t xml:space="preserve">Organisation chart or role description</t>
  </si>
  <si>
    <t xml:space="preserve">A.5.2</t>
  </si>
  <si>
    <t xml:space="preserve">GV.RR</t>
  </si>
  <si>
    <t xml:space="preserve">VQ-03</t>
  </si>
  <si>
    <t xml:space="preserve">How many staff are dedicated to information security on a full-time basis?</t>
  </si>
  <si>
    <t xml:space="preserve">Numeric</t>
  </si>
  <si>
    <t xml:space="preserve">Written headcount statement</t>
  </si>
  <si>
    <t xml:space="preserve">VQ-04</t>
  </si>
  <si>
    <t xml:space="preserve">Are security policies reviewed at least annually? State the date of the last review.</t>
  </si>
  <si>
    <t xml:space="preserve">Yes/No + date</t>
  </si>
  <si>
    <t xml:space="preserve">Dated review or approval record</t>
  </si>
  <si>
    <t xml:space="preserve">A.5.1, A.5.36</t>
  </si>
  <si>
    <t xml:space="preserve">VQ-05</t>
  </si>
  <si>
    <t xml:space="preserve">Do you report security performance metrics to executive management at least quarterly?</t>
  </si>
  <si>
    <t xml:space="preserve">Yes/No</t>
  </si>
  <si>
    <t xml:space="preserve">Redacted sample management report</t>
  </si>
  <si>
    <t xml:space="preserve">A.5.35</t>
  </si>
  <si>
    <t xml:space="preserve">GV.OV</t>
  </si>
  <si>
    <t xml:space="preserve">VQ-06</t>
  </si>
  <si>
    <t xml:space="preserve">2. Risk Management</t>
  </si>
  <si>
    <t xml:space="preserve">Do you operate a documented information security risk assessment methodology?</t>
  </si>
  <si>
    <t xml:space="preserve">Methodology document naming the scoring method</t>
  </si>
  <si>
    <t xml:space="preserve">A.5.1</t>
  </si>
  <si>
    <t xml:space="preserve">ID.RA</t>
  </si>
  <si>
    <t xml:space="preserve">VQ-07</t>
  </si>
  <si>
    <t xml:space="preserve">When was your last enterprise information security risk assessment completed?</t>
  </si>
  <si>
    <t xml:space="preserve">Date</t>
  </si>
  <si>
    <t xml:space="preserve">Assessment summary or management report</t>
  </si>
  <si>
    <t xml:space="preserve">VQ-08</t>
  </si>
  <si>
    <t xml:space="preserve">Is there a documented risk acceptance process with a defined approval authority?</t>
  </si>
  <si>
    <t xml:space="preserve">Sample risk acceptance record</t>
  </si>
  <si>
    <t xml:space="preserve">A.5.4</t>
  </si>
  <si>
    <t xml:space="preserve">GV.RM</t>
  </si>
  <si>
    <t xml:space="preserve">VQ-09</t>
  </si>
  <si>
    <t xml:space="preserve">Does your risk register include risks arising from your own suppliers?</t>
  </si>
  <si>
    <t xml:space="preserve">Redacted register extract</t>
  </si>
  <si>
    <t xml:space="preserve">A.5.21</t>
  </si>
  <si>
    <t xml:space="preserve">GV.SC</t>
  </si>
  <si>
    <t xml:space="preserve">VQ-10</t>
  </si>
  <si>
    <t xml:space="preserve">3. Policies, Compliance and Certifications</t>
  </si>
  <si>
    <t xml:space="preserve">Do you hold a current ISO/IEC 27001 certificate issued by an accredited certification body?</t>
  </si>
  <si>
    <t xml:space="preserve">Yes/No/NA + upload</t>
  </si>
  <si>
    <t xml:space="preserve">Certificate showing certification body and accreditation mark</t>
  </si>
  <si>
    <t xml:space="preserve">A.5.1, A.5.31</t>
  </si>
  <si>
    <t xml:space="preserve">GV.OC</t>
  </si>
  <si>
    <t xml:space="preserve">VQ-11</t>
  </si>
  <si>
    <t xml:space="preserve">State the exact scope of that certificate, transcribed as written on the certificate itself.</t>
  </si>
  <si>
    <t xml:space="preserve">Free text</t>
  </si>
  <si>
    <t xml:space="preserve">Certificate scope statement</t>
  </si>
  <si>
    <t xml:space="preserve">VQ-12</t>
  </si>
  <si>
    <t xml:space="preserve">Do you provide a SOC 2 Type II report, and what period does it cover?</t>
  </si>
  <si>
    <t xml:space="preserve">Yes/No + date range + upload</t>
  </si>
  <si>
    <t xml:space="preserve">Complete report including Section 4 test results</t>
  </si>
  <si>
    <t xml:space="preserve">VQ-13</t>
  </si>
  <si>
    <t xml:space="preserve">Does that report use the CARVE-OUT or the INCLUSIVE method for sub-service organisations? Name every carved-out sub-service organisation.</t>
  </si>
  <si>
    <t xml:space="preserve">Multiple choice + free text</t>
  </si>
  <si>
    <t xml:space="preserve">Report Section 3 system description</t>
  </si>
  <si>
    <t xml:space="preserve">A.5.21, A.5.23</t>
  </si>
  <si>
    <t xml:space="preserve">VQ-14</t>
  </si>
  <si>
    <t xml:space="preserve">List every exception, qualification or deviation in your most recent report, and its remediation status.</t>
  </si>
  <si>
    <t xml:space="preserve">Report Section 4 plus written remediation plan</t>
  </si>
  <si>
    <t xml:space="preserve">A.5.36</t>
  </si>
  <si>
    <t xml:space="preserve">VQ-15</t>
  </si>
  <si>
    <t xml:space="preserve">4. Identity and Access Management</t>
  </si>
  <si>
    <t xml:space="preserve">Is multi-factor authentication enforced for all personnel with access to customer data?</t>
  </si>
  <si>
    <t xml:space="preserve">Policy plus configuration evidence</t>
  </si>
  <si>
    <t xml:space="preserve">A.8.5, A.5.17</t>
  </si>
  <si>
    <t xml:space="preserve">PR.AA</t>
  </si>
  <si>
    <t xml:space="preserve">VQ-16</t>
  </si>
  <si>
    <t xml:space="preserve">Is phishing-resistant MFA enforced for privileged and administrative accounts?</t>
  </si>
  <si>
    <t xml:space="preserve">Configuration evidence</t>
  </si>
  <si>
    <t xml:space="preserve">A.8.2, A.8.5</t>
  </si>
  <si>
    <t xml:space="preserve">VQ-17</t>
  </si>
  <si>
    <t xml:space="preserve">Is access granted on a documented least-privilege, role-based model?</t>
  </si>
  <si>
    <t xml:space="preserve">Role-based access control model</t>
  </si>
  <si>
    <t xml:space="preserve">A.5.15, A.5.18</t>
  </si>
  <si>
    <t xml:space="preserve">VQ-18</t>
  </si>
  <si>
    <t xml:space="preserve">How frequently are user access rights reviewed? State the date of the last completed review.</t>
  </si>
  <si>
    <t xml:space="preserve">Multiple choice + date</t>
  </si>
  <si>
    <t xml:space="preserve">Signed and dated access review record</t>
  </si>
  <si>
    <t xml:space="preserve">A.5.18</t>
  </si>
  <si>
    <t xml:space="preserve">VQ-19</t>
  </si>
  <si>
    <t xml:space="preserve">What is your service-level commitment for revoking access on employee termination?</t>
  </si>
  <si>
    <t xml:space="preserve">Numeric (hours)</t>
  </si>
  <si>
    <t xml:space="preserve">Procedure plus a sample completed revocation record</t>
  </si>
  <si>
    <t xml:space="preserve">A.5.18, A.6.5</t>
  </si>
  <si>
    <t xml:space="preserve">VQ-20</t>
  </si>
  <si>
    <t xml:space="preserve">Do you support SSO (SAML or OIDC) and automated provisioning and deprovisioning (SCIM) for customer administrators?</t>
  </si>
  <si>
    <t xml:space="preserve">Product documentation</t>
  </si>
  <si>
    <t xml:space="preserve">A.5.16</t>
  </si>
  <si>
    <t xml:space="preserve">VQ-21</t>
  </si>
  <si>
    <t xml:space="preserve">5. Data Protection and Encryption</t>
  </si>
  <si>
    <t xml:space="preserve">Is customer data encrypted at rest? State the algorithm and key length.</t>
  </si>
  <si>
    <t xml:space="preserve">Encryption standard</t>
  </si>
  <si>
    <t xml:space="preserve">A.8.24</t>
  </si>
  <si>
    <t xml:space="preserve">PR.DS</t>
  </si>
  <si>
    <t xml:space="preserve">VQ-22</t>
  </si>
  <si>
    <t xml:space="preserve">Is customer data encrypted in transit? State the minimum TLS version enforced.</t>
  </si>
  <si>
    <t xml:space="preserve">TLS configuration evidence</t>
  </si>
  <si>
    <t xml:space="preserve">VQ-23</t>
  </si>
  <si>
    <t xml:space="preserve">How are encryption keys generated, stored and rotated? Is a customer-managed key option available?</t>
  </si>
  <si>
    <t xml:space="preserve">Key management procedure</t>
  </si>
  <si>
    <t xml:space="preserve">VQ-24</t>
  </si>
  <si>
    <t xml:space="preserve">Is customer data logically or physically segregated between tenants? Describe the mechanism.</t>
  </si>
  <si>
    <t xml:space="preserve">Architecture or multi-tenancy description</t>
  </si>
  <si>
    <t xml:space="preserve">A.8.22, A.8.31</t>
  </si>
  <si>
    <t xml:space="preserve">VQ-25</t>
  </si>
  <si>
    <t xml:space="preserve">Do you operate documented data retention and secure deletion schedules?</t>
  </si>
  <si>
    <t xml:space="preserve">Retention schedule</t>
  </si>
  <si>
    <t xml:space="preserve">A.8.10</t>
  </si>
  <si>
    <t xml:space="preserve">VQ-26</t>
  </si>
  <si>
    <t xml:space="preserve">Do you deploy data loss prevention or egress monitoring on systems holding customer data?</t>
  </si>
  <si>
    <t xml:space="preserve">DLP configuration summary</t>
  </si>
  <si>
    <t xml:space="preserve">A.8.12</t>
  </si>
  <si>
    <t xml:space="preserve">VQ-27</t>
  </si>
  <si>
    <t xml:space="preserve">6. Data Privacy and GDPR</t>
  </si>
  <si>
    <t xml:space="preserve">Will you execute our Data Processing Agreement, or provide one satisfying GDPR Article 28(3)?</t>
  </si>
  <si>
    <t xml:space="preserve">Executed DPA</t>
  </si>
  <si>
    <t xml:space="preserve">A.5.34, A.5.20</t>
  </si>
  <si>
    <t xml:space="preserve">VQ-28</t>
  </si>
  <si>
    <t xml:space="preserve">In which countries will our data be stored, processed and accessed from, including support access?</t>
  </si>
  <si>
    <t xml:space="preserve">Data residency statement</t>
  </si>
  <si>
    <t xml:space="preserve">A.5.34</t>
  </si>
  <si>
    <t xml:space="preserve">VQ-29</t>
  </si>
  <si>
    <t xml:space="preserve">Where data leaves the EEA, which GDPR Article 46 transfer mechanism applies?</t>
  </si>
  <si>
    <t xml:space="preserve">Standard Contractual Clauses or adequacy reference, plus transfer impact assessment</t>
  </si>
  <si>
    <t xml:space="preserve">VQ-30</t>
  </si>
  <si>
    <t xml:space="preserve">Have you appointed a Data Protection Officer or equivalent? Give the contact route.</t>
  </si>
  <si>
    <t xml:space="preserve">Appointment record</t>
  </si>
  <si>
    <t xml:space="preserve">VQ-31</t>
  </si>
  <si>
    <t xml:space="preserve">Can you support data subject access, rectification and erasure requests, and within what period?</t>
  </si>
  <si>
    <t xml:space="preserve">Yes/No + numeric (days)</t>
  </si>
  <si>
    <t xml:space="preserve">Data subject request procedure</t>
  </si>
  <si>
    <t xml:space="preserve">VQ-32</t>
  </si>
  <si>
    <t xml:space="preserve">Do you maintain records of processing activities under GDPR Article 30?</t>
  </si>
  <si>
    <t xml:space="preserve">Records of processing extract</t>
  </si>
  <si>
    <t xml:space="preserve">VQ-33</t>
  </si>
  <si>
    <t xml:space="preserve">7. Sub-processors and Fourth Parties</t>
  </si>
  <si>
    <t xml:space="preserve">Provide your complete current sub-processor list, with the service each performs and its location.</t>
  </si>
  <si>
    <t xml:space="preserve">Free text + upload</t>
  </si>
  <si>
    <t xml:space="preserve">Published or contractual sub-processor register</t>
  </si>
  <si>
    <t xml:space="preserve">A.5.19, A.5.21</t>
  </si>
  <si>
    <t xml:space="preserve">VQ-34</t>
  </si>
  <si>
    <t xml:space="preserve">How much prior notice is given of a new or changed sub-processor, and do we have a right to object?</t>
  </si>
  <si>
    <t xml:space="preserve">Numeric (days) + Yes/No</t>
  </si>
  <si>
    <t xml:space="preserve">Contract clause</t>
  </si>
  <si>
    <t xml:space="preserve">A.5.22</t>
  </si>
  <si>
    <t xml:space="preserve">VQ-35</t>
  </si>
  <si>
    <t xml:space="preserve">Do you security-assess your own sub-processors before engagement? To what standard?</t>
  </si>
  <si>
    <t xml:space="preserve">Supplier assessment procedure</t>
  </si>
  <si>
    <t xml:space="preserve">VQ-36</t>
  </si>
  <si>
    <t xml:space="preserve">Do you flow down equivalent security and privacy obligations to your sub-processors?</t>
  </si>
  <si>
    <t xml:space="preserve">Template sub-processor agreement</t>
  </si>
  <si>
    <t xml:space="preserve">A.5.20</t>
  </si>
  <si>
    <t xml:space="preserve">VQ-37</t>
  </si>
  <si>
    <t xml:space="preserve">8. Secure Development and Change Management</t>
  </si>
  <si>
    <t xml:space="preserve">Do you follow a documented secure development lifecycle?</t>
  </si>
  <si>
    <t xml:space="preserve">SDLC procedure</t>
  </si>
  <si>
    <t xml:space="preserve">A.8.25</t>
  </si>
  <si>
    <t xml:space="preserve">PR.PS</t>
  </si>
  <si>
    <t xml:space="preserve">VQ-38</t>
  </si>
  <si>
    <t xml:space="preserve">Is peer code review mandatory before any merge to a production branch?</t>
  </si>
  <si>
    <t xml:space="preserve">Branch protection configuration evidence</t>
  </si>
  <si>
    <t xml:space="preserve">A.8.28, A.8.32</t>
  </si>
  <si>
    <t xml:space="preserve">VQ-39</t>
  </si>
  <si>
    <t xml:space="preserve">Are development, test and production environments separated? Is production data ever used in lower environments?</t>
  </si>
  <si>
    <t xml:space="preserve">Environment separation policy</t>
  </si>
  <si>
    <t xml:space="preserve">A.8.31</t>
  </si>
  <si>
    <t xml:space="preserve">VQ-40</t>
  </si>
  <si>
    <t xml:space="preserve">Do you perform static and dynamic application security testing within the pipeline?</t>
  </si>
  <si>
    <t xml:space="preserve">Scan configuration and redacted sample output</t>
  </si>
  <si>
    <t xml:space="preserve">A.8.29</t>
  </si>
  <si>
    <t xml:space="preserve">VQ-41</t>
  </si>
  <si>
    <t xml:space="preserve">Do you maintain a software bill of materials and monitor third-party components for known vulnerabilities?</t>
  </si>
  <si>
    <t xml:space="preserve">SBOM sample or software composition analysis report</t>
  </si>
  <si>
    <t xml:space="preserve">A.8.8</t>
  </si>
  <si>
    <t xml:space="preserve">VQ-42</t>
  </si>
  <si>
    <t xml:space="preserve">9. Vulnerability and Patch Management</t>
  </si>
  <si>
    <t xml:space="preserve">Do you perform authenticated vulnerability scanning, and at what frequency?</t>
  </si>
  <si>
    <t xml:space="preserve">Yes/No + multiple choice</t>
  </si>
  <si>
    <t xml:space="preserve">Scan schedule and redacted sample report</t>
  </si>
  <si>
    <t xml:space="preserve">VQ-43</t>
  </si>
  <si>
    <t xml:space="preserve">State your remediation service levels by severity for Critical, High, Medium and Low findings.</t>
  </si>
  <si>
    <t xml:space="preserve">Vulnerability management policy</t>
  </si>
  <si>
    <t xml:space="preserve">VQ-44</t>
  </si>
  <si>
    <t xml:space="preserve">Is an independent penetration test performed at least annually? Will you share the executive summary?</t>
  </si>
  <si>
    <t xml:space="preserve">Executive summary of the most recent test</t>
  </si>
  <si>
    <t xml:space="preserve">VQ-45</t>
  </si>
  <si>
    <t xml:space="preserve">Do you operate a coordinated vulnerability disclosure or bug bounty programme?</t>
  </si>
  <si>
    <t xml:space="preserve">Published disclosure policy</t>
  </si>
  <si>
    <t xml:space="preserve">A.5.7</t>
  </si>
  <si>
    <t xml:space="preserve">VQ-46</t>
  </si>
  <si>
    <t xml:space="preserve">10. Logging, Monitoring and Detection</t>
  </si>
  <si>
    <t xml:space="preserve">Are security-relevant events logged centrally? For how many months are logs retained?</t>
  </si>
  <si>
    <t xml:space="preserve">Yes/No + numeric (months)</t>
  </si>
  <si>
    <t xml:space="preserve">Logging standard</t>
  </si>
  <si>
    <t xml:space="preserve">A.8.15</t>
  </si>
  <si>
    <t xml:space="preserve">DE.CM</t>
  </si>
  <si>
    <t xml:space="preserve">VQ-47</t>
  </si>
  <si>
    <t xml:space="preserve">Is there 24x7 monitoring and alerting on security events? In-house or outsourced?</t>
  </si>
  <si>
    <t xml:space="preserve">Monitoring or SOC description</t>
  </si>
  <si>
    <t xml:space="preserve">A.8.16</t>
  </si>
  <si>
    <t xml:space="preserve">VQ-48</t>
  </si>
  <si>
    <t xml:space="preserve">Can you provide customer-accessible audit logs of administrative activity within our tenant?</t>
  </si>
  <si>
    <t xml:space="preserve">VQ-49</t>
  </si>
  <si>
    <t xml:space="preserve">Do you alert on anomalous access to customer data, such as bulk export or mass download?</t>
  </si>
  <si>
    <t xml:space="preserve">Alerting rule description</t>
  </si>
  <si>
    <t xml:space="preserve">A.8.16, A.8.12</t>
  </si>
  <si>
    <t xml:space="preserve">VQ-50</t>
  </si>
  <si>
    <t xml:space="preserve">11. Incident Response and Breach Notification</t>
  </si>
  <si>
    <t xml:space="preserve">Do you maintain a documented incident response plan? When was it last exercised?</t>
  </si>
  <si>
    <t xml:space="preserve">Incident response plan plus dated exercise record</t>
  </si>
  <si>
    <t xml:space="preserve">A.5.24, A.5.26</t>
  </si>
  <si>
    <t xml:space="preserve">RS.MA</t>
  </si>
  <si>
    <t xml:space="preserve">VQ-51</t>
  </si>
  <si>
    <t xml:space="preserve">Within how many hours will you notify us of a security incident affecting our data?</t>
  </si>
  <si>
    <t xml:space="preserve">Contractual notification clause</t>
  </si>
  <si>
    <t xml:space="preserve">A.5.26, A.6.8</t>
  </si>
  <si>
    <t xml:space="preserve">RS.CO</t>
  </si>
  <si>
    <t xml:space="preserve">VQ-52</t>
  </si>
  <si>
    <t xml:space="preserve">Who is the named security incident contact, and what is the out-of-hours escalation route?</t>
  </si>
  <si>
    <t xml:space="preserve">Contact record with 24x7 route</t>
  </si>
  <si>
    <t xml:space="preserve">A.5.5</t>
  </si>
  <si>
    <t xml:space="preserve">VQ-53</t>
  </si>
  <si>
    <t xml:space="preserve">Have you experienced a reportable security breach in the last 24 months? Describe it and the remediation.</t>
  </si>
  <si>
    <t xml:space="preserve">Breach summary and remediation evidence</t>
  </si>
  <si>
    <t xml:space="preserve">A.5.27</t>
  </si>
  <si>
    <t xml:space="preserve">RS.AN</t>
  </si>
  <si>
    <t xml:space="preserve">VQ-54</t>
  </si>
  <si>
    <t xml:space="preserve">Do you support customer forensic requests and preserve evidence to a defined standard?</t>
  </si>
  <si>
    <t xml:space="preserve">Evidence handling and chain-of-custody procedure</t>
  </si>
  <si>
    <t xml:space="preserve">A.5.28</t>
  </si>
  <si>
    <t xml:space="preserve">VQ-55</t>
  </si>
  <si>
    <t xml:space="preserve">12. Business Continuity, Backup and Resilience</t>
  </si>
  <si>
    <t xml:space="preserve">State your contractual availability commitment and your achieved availability over the last 12 months.</t>
  </si>
  <si>
    <t xml:space="preserve">Service level agreement plus uptime report</t>
  </si>
  <si>
    <t xml:space="preserve">A.5.30</t>
  </si>
  <si>
    <t xml:space="preserve">PR.IR</t>
  </si>
  <si>
    <t xml:space="preserve">VQ-56</t>
  </si>
  <si>
    <t xml:space="preserve">State the documented Recovery Time Objective and Recovery Point Objective for the service we consume.</t>
  </si>
  <si>
    <t xml:space="preserve">Business continuity or disaster recovery plan</t>
  </si>
  <si>
    <t xml:space="preserve">A.5.29, A.5.30</t>
  </si>
  <si>
    <t xml:space="preserve">RC.RP</t>
  </si>
  <si>
    <t xml:space="preserve">VQ-57</t>
  </si>
  <si>
    <t xml:space="preserve">When was the disaster recovery plan last tested, and what was the documented result?</t>
  </si>
  <si>
    <t xml:space="preserve">Date + free text</t>
  </si>
  <si>
    <t xml:space="preserve">Disaster recovery test report</t>
  </si>
  <si>
    <t xml:space="preserve">VQ-58</t>
  </si>
  <si>
    <t xml:space="preserve">Are backups encrypted, and are restores tested at a defined frequency?</t>
  </si>
  <si>
    <t xml:space="preserve">Backup policy and a dated restore test record</t>
  </si>
  <si>
    <t xml:space="preserve">A.8.13</t>
  </si>
  <si>
    <t xml:space="preserve">VQ-59</t>
  </si>
  <si>
    <t xml:space="preserve">Can we export our complete dataset in a documented, machine-readable format on demand?</t>
  </si>
  <si>
    <t xml:space="preserve">Export documentation</t>
  </si>
  <si>
    <t xml:space="preserve">A.5.29</t>
  </si>
  <si>
    <t xml:space="preserve">VQ-60</t>
  </si>
  <si>
    <t xml:space="preserve">13. Personnel Security and Awareness</t>
  </si>
  <si>
    <t xml:space="preserve">Are background checks performed on personnel with access to customer data, where lawful?</t>
  </si>
  <si>
    <t xml:space="preserve">Screening policy</t>
  </si>
  <si>
    <t xml:space="preserve">A.6.1</t>
  </si>
  <si>
    <t xml:space="preserve">PR.AT</t>
  </si>
  <si>
    <t xml:space="preserve">VQ-61</t>
  </si>
  <si>
    <t xml:space="preserve">Do all personnel and contractors sign confidentiality agreements?</t>
  </si>
  <si>
    <t xml:space="preserve">Template confidentiality clause</t>
  </si>
  <si>
    <t xml:space="preserve">A.6.6</t>
  </si>
  <si>
    <t xml:space="preserve">VQ-62</t>
  </si>
  <si>
    <t xml:space="preserve">Is security awareness training mandatory at induction and at least annually? State current completion rate.</t>
  </si>
  <si>
    <t xml:space="preserve">Yes/No + numeric (%)</t>
  </si>
  <si>
    <t xml:space="preserve">Training completion report</t>
  </si>
  <si>
    <t xml:space="preserve">A.6.3</t>
  </si>
  <si>
    <t xml:space="preserve">VQ-63</t>
  </si>
  <si>
    <t xml:space="preserve">Do you run phishing simulations? State the click rate recorded in the most recent exercise.</t>
  </si>
  <si>
    <t xml:space="preserve">Simulation results</t>
  </si>
  <si>
    <t xml:space="preserve">VQ-64</t>
  </si>
  <si>
    <t xml:space="preserve">14. Physical and Environmental Security</t>
  </si>
  <si>
    <t xml:space="preserve">Where is customer data physically hosted, and is it in your own facilities or a sub-service provider's?</t>
  </si>
  <si>
    <t xml:space="preserve">Facility description or provider attestation</t>
  </si>
  <si>
    <t xml:space="preserve">A.7.1</t>
  </si>
  <si>
    <t xml:space="preserve">VQ-65</t>
  </si>
  <si>
    <t xml:space="preserve">Is physical access to hosting facilities controlled, logged and periodically reviewed?</t>
  </si>
  <si>
    <t xml:space="preserve">Facility attestation or sub-service provider report</t>
  </si>
  <si>
    <t xml:space="preserve">A.7.2, A.7.4</t>
  </si>
  <si>
    <t xml:space="preserve">VQ-66</t>
  </si>
  <si>
    <t xml:space="preserve">Are storage media securely destroyed at end of life to a recognised standard?</t>
  </si>
  <si>
    <t xml:space="preserve">Sample certificate of destruction</t>
  </si>
  <si>
    <t xml:space="preserve">A.7.10, A.7.14</t>
  </si>
  <si>
    <t xml:space="preserve">VQ-67</t>
  </si>
  <si>
    <t xml:space="preserve">15. AI and Automated Processing</t>
  </si>
  <si>
    <t xml:space="preserve">Does the service process our data using AI or machine learning, including for features we have not explicitly enabled?</t>
  </si>
  <si>
    <t xml:space="preserve">Product and data-flow documentation</t>
  </si>
  <si>
    <t xml:space="preserve">A.5.34, A.8.25</t>
  </si>
  <si>
    <t xml:space="preserve">VQ-68</t>
  </si>
  <si>
    <t xml:space="preserve">Is our data used to train, fine-tune or evaluate any model, whether yours or a third party's?</t>
  </si>
  <si>
    <t xml:space="preserve">Contractual prohibition or signed written confirmation</t>
  </si>
  <si>
    <t xml:space="preserve">A.5.20, A.5.34</t>
  </si>
  <si>
    <t xml:space="preserve">VQ-69</t>
  </si>
  <si>
    <t xml:space="preserve">Is our data exposed to human review by your staff or contractors for quality, safety or model improvement?</t>
  </si>
  <si>
    <t xml:space="preserve">Human review policy and the access controls around it</t>
  </si>
  <si>
    <t xml:space="preserve">VQ-70</t>
  </si>
  <si>
    <t xml:space="preserve">Name every AI sub-processor or model provider in the data path, and the retention period at each.</t>
  </si>
  <si>
    <t xml:space="preserve">Sub-processor register entry covering AI providers</t>
  </si>
  <si>
    <t xml:space="preserve">VQ-71</t>
  </si>
  <si>
    <t xml:space="preserve">16. Contract, Exit and Termination</t>
  </si>
  <si>
    <t xml:space="preserve">Will you accept a contractual right of audit, or an annual assurance review in place of one?</t>
  </si>
  <si>
    <t xml:space="preserve">A.5.20, A.5.22</t>
  </si>
  <si>
    <t xml:space="preserve">VQ-72</t>
  </si>
  <si>
    <t xml:space="preserve">Do you carry cyber liability insurance? State the limit of indemnity.</t>
  </si>
  <si>
    <t xml:space="preserve">Certificate of insurance</t>
  </si>
  <si>
    <t xml:space="preserve">VQ-73</t>
  </si>
  <si>
    <t xml:space="preserve">On termination, within how many days is our data deleted, and will you certify the deletion in writing?</t>
  </si>
  <si>
    <t xml:space="preserve">Template certificate of deletion</t>
  </si>
  <si>
    <t xml:space="preserve">A.8.10, A.5.20</t>
  </si>
  <si>
    <t xml:space="preserve">VQ-74</t>
  </si>
  <si>
    <t xml:space="preserve">Do you provide transition assistance on exit, and is the scope contractually defined?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</si>
</sst>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15C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3315C"/>
      <name val="Arial"/>
      <family val="0"/>
      <charset val="1"/>
    </font>
    <font>
      <b val="true"/>
      <sz val="15"/>
      <color rgb="FF1331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7E6E6"/>
      </patternFill>
    </fill>
    <fill>
      <patternFill patternType="solid">
        <fgColor rgb="FF13315C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331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315C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8" customFormat="false" ht="15" hidden="false" customHeight="true" outlineLevel="0" collapsed="false">
      <c r="A8" s="6" t="s">
        <v>8</v>
      </c>
      <c r="B8" s="5"/>
    </row>
    <row r="9" customFormat="false" ht="15" hidden="false" customHeight="true" outlineLevel="0" collapsed="false">
      <c r="A9" s="4" t="s">
        <v>9</v>
      </c>
      <c r="B9" s="5" t="s">
        <v>10</v>
      </c>
    </row>
    <row r="10" customFormat="false" ht="15" hidden="false" customHeight="true" outlineLevel="0" collapsed="false">
      <c r="A10" s="4" t="s">
        <v>11</v>
      </c>
      <c r="B10" s="5" t="s">
        <v>12</v>
      </c>
    </row>
    <row r="12" customFormat="false" ht="15" hidden="false" customHeight="true" outlineLevel="0" collapsed="false">
      <c r="A12" s="6" t="s">
        <v>13</v>
      </c>
      <c r="B12" s="5"/>
    </row>
    <row r="13" customFormat="false" ht="15" hidden="false" customHeight="true" outlineLevel="0" collapsed="false">
      <c r="A13" s="7" t="s">
        <v>14</v>
      </c>
      <c r="B13" s="5" t="s">
        <v>15</v>
      </c>
    </row>
    <row r="14" customFormat="false" ht="15" hidden="false" customHeight="true" outlineLevel="0" collapsed="false">
      <c r="A14" s="8" t="s">
        <v>16</v>
      </c>
      <c r="B14" s="5" t="s">
        <v>17</v>
      </c>
    </row>
    <row r="15" customFormat="false" ht="15" hidden="false" customHeight="true" outlineLevel="0" collapsed="false">
      <c r="A15" s="9" t="s">
        <v>18</v>
      </c>
      <c r="B15" s="5" t="s">
        <v>19</v>
      </c>
    </row>
    <row r="16" customFormat="false" ht="15" hidden="false" customHeight="true" outlineLevel="0" collapsed="false">
      <c r="A16" s="10" t="s">
        <v>20</v>
      </c>
      <c r="B16" s="5" t="s">
        <v>21</v>
      </c>
    </row>
    <row r="17" customFormat="false" ht="15" hidden="false" customHeight="true" outlineLevel="0" collapsed="false">
      <c r="A17" s="11" t="s">
        <v>22</v>
      </c>
      <c r="B17" s="5" t="s">
        <v>23</v>
      </c>
    </row>
    <row r="19" customFormat="false" ht="15" hidden="false" customHeight="true" outlineLevel="0" collapsed="false">
      <c r="A19" s="6" t="s">
        <v>24</v>
      </c>
      <c r="B19" s="5"/>
    </row>
    <row r="20" customFormat="false" ht="15" hidden="false" customHeight="true" outlineLevel="0" collapsed="false">
      <c r="A20" s="4" t="s">
        <v>25</v>
      </c>
      <c r="B20" s="5" t="s">
        <v>26</v>
      </c>
    </row>
    <row r="21" customFormat="false" ht="15" hidden="false" customHeight="true" outlineLevel="0" collapsed="false">
      <c r="A21" s="4" t="s">
        <v>27</v>
      </c>
      <c r="B21" s="5" t="s">
        <v>28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4"/>
  </cols>
  <sheetData>
    <row r="1" customFormat="false" ht="18" hidden="false" customHeight="true" outlineLevel="0" collapsed="false">
      <c r="A1" s="12" t="s">
        <v>29</v>
      </c>
    </row>
    <row r="2" customFormat="false" ht="15" hidden="false" customHeight="true" outlineLevel="0" collapsed="false">
      <c r="A2" s="13" t="s">
        <v>30</v>
      </c>
    </row>
    <row r="3" customFormat="false" ht="33.75" hidden="false" customHeight="true" outlineLevel="0" collapsed="false">
      <c r="A3" s="14" t="s">
        <v>31</v>
      </c>
      <c r="B3" s="14" t="s">
        <v>32</v>
      </c>
    </row>
    <row r="4" customFormat="false" ht="15" hidden="false" customHeight="true" outlineLevel="0" collapsed="false">
      <c r="A4" s="15" t="s">
        <v>33</v>
      </c>
      <c r="B4" s="16" t="s">
        <v>34</v>
      </c>
    </row>
    <row r="5" customFormat="false" ht="15" hidden="false" customHeight="true" outlineLevel="0" collapsed="false">
      <c r="A5" s="15" t="s">
        <v>35</v>
      </c>
      <c r="B5" s="16" t="n">
        <v>1</v>
      </c>
    </row>
    <row r="6" customFormat="false" ht="15" hidden="false" customHeight="true" outlineLevel="0" collapsed="false">
      <c r="A6" s="15" t="s">
        <v>36</v>
      </c>
      <c r="B6" s="17" t="n">
        <f aca="false">SUM(Questionnaire!$L$2:$L$75)</f>
        <v>74</v>
      </c>
    </row>
    <row r="7" customFormat="false" ht="15" hidden="false" customHeight="true" outlineLevel="0" collapsed="false">
      <c r="A7" s="15" t="s">
        <v>37</v>
      </c>
      <c r="B7" s="17" t="n">
        <f aca="false">SUMPRODUCT(Questionnaire!$L$2:$L$75*(Questionnaire!$O$2:$O$75&lt;&gt;""))</f>
        <v>0</v>
      </c>
    </row>
    <row r="8" customFormat="false" ht="15" hidden="false" customHeight="true" outlineLevel="0" collapsed="false">
      <c r="A8" s="15" t="s">
        <v>38</v>
      </c>
      <c r="B8" s="17" t="n">
        <f aca="false">SUMPRODUCT(Questionnaire!$L$2:$L$75*(Questionnaire!$O$2:$O$75="Met"))</f>
        <v>0</v>
      </c>
    </row>
    <row r="9" customFormat="false" ht="15" hidden="false" customHeight="true" outlineLevel="0" collapsed="false">
      <c r="A9" s="15" t="s">
        <v>39</v>
      </c>
      <c r="B9" s="17" t="n">
        <f aca="false">SUMPRODUCT(Questionnaire!$L$2:$L$75*(Questionnaire!$O$2:$O$75="Partial"))</f>
        <v>0</v>
      </c>
    </row>
    <row r="10" customFormat="false" ht="15" hidden="false" customHeight="true" outlineLevel="0" collapsed="false">
      <c r="A10" s="15" t="s">
        <v>40</v>
      </c>
      <c r="B10" s="17" t="n">
        <f aca="false">SUMPRODUCT(Questionnaire!$L$2:$L$75*(Questionnaire!$O$2:$O$75="Not Met"))</f>
        <v>0</v>
      </c>
    </row>
    <row r="11" customFormat="false" ht="15" hidden="false" customHeight="true" outlineLevel="0" collapsed="false">
      <c r="A11" s="15" t="s">
        <v>41</v>
      </c>
      <c r="B11" s="17" t="n">
        <f aca="false">SUMPRODUCT(Questionnaire!$L$2:$L$75*(Questionnaire!$O$2:$O$75="N/A"))</f>
        <v>0</v>
      </c>
    </row>
    <row r="12" customFormat="false" ht="15" hidden="false" customHeight="true" outlineLevel="0" collapsed="false">
      <c r="A12" s="15" t="s">
        <v>42</v>
      </c>
      <c r="B12" s="17" t="n">
        <f aca="false">SUMPRODUCT(Questionnaire!$L$2:$L$75*Questionnaire!$F$2:$F$75*(Questionnaire!$O$2:$O$75&lt;&gt;"N/A"))</f>
        <v>288</v>
      </c>
    </row>
    <row r="13" customFormat="false" ht="15" hidden="false" customHeight="true" outlineLevel="0" collapsed="false">
      <c r="A13" s="15" t="s">
        <v>43</v>
      </c>
      <c r="B13" s="18" t="n">
        <f aca="false">SUMPRODUCT(Questionnaire!$L$2:$L$75*Questionnaire!$F$2:$F$75*(Questionnaire!$O$2:$O$75="Not Met"))+0.5*SUMPRODUCT(Questionnaire!$L$2:$L$75*Questionnaire!$F$2:$F$75*(Questionnaire!$O$2:$O$75="Partial"))</f>
        <v>0</v>
      </c>
    </row>
    <row r="14" customFormat="false" ht="15" hidden="false" customHeight="true" outlineLevel="0" collapsed="false">
      <c r="A14" s="15" t="s">
        <v>44</v>
      </c>
      <c r="B14" s="19" t="str">
        <f aca="false">IF(OR(B12=0,B7=0),"",1-B13/B12)</f>
        <v/>
      </c>
    </row>
    <row r="15" customFormat="false" ht="15" hidden="false" customHeight="true" outlineLevel="0" collapsed="false">
      <c r="A15" s="15" t="s">
        <v>45</v>
      </c>
      <c r="B15" s="17" t="n">
        <f aca="false">SUMPRODUCT(Questionnaire!$L$2:$L$75*(Questionnaire!$F$2:$F$75=5)*(Questionnaire!$O$2:$O$75="Not Met"))</f>
        <v>0</v>
      </c>
    </row>
    <row r="16" customFormat="false" ht="15" hidden="false" customHeight="true" outlineLevel="0" collapsed="false">
      <c r="A16" s="15" t="s">
        <v>46</v>
      </c>
      <c r="B16" s="20" t="str">
        <f aca="false">IF(B7&lt;B6,"Incomplete — "&amp;(B6-B7)&amp;" questions unanswered",IF(OR(B14&lt;0.75,B15&gt;=2),"Fail",IF(OR(B14&lt;0.9,B15=1),"Pass with conditions",IF(B5=3,"Pass — may be accepted with justification","Pass"))))</f>
        <v>Incomplete — 74 questions unanswered</v>
      </c>
    </row>
  </sheetData>
  <conditionalFormatting sqref="B16">
    <cfRule type="expression" priority="2" aboveAverage="0" equalAverage="0" bottom="0" percent="0" rank="0" text="" dxfId="0">
      <formula>LEFT(B16,4)="Fail"</formula>
    </cfRule>
    <cfRule type="expression" priority="3" aboveAverage="0" equalAverage="0" bottom="0" percent="0" rank="0" text="" dxfId="1">
      <formula>LEFT(B16,4)="Pass"</formula>
    </cfRule>
    <cfRule type="expression" priority="4" aboveAverage="0" equalAverage="0" bottom="0" percent="0" rank="0" text="" dxfId="2">
      <formula>ISNUMBER(SEARCH("conditions",B16))</formula>
    </cfRule>
  </conditionalFormatting>
  <dataValidations count="1">
    <dataValidation allowBlank="true" error="Pick a value from the dropdown." errorStyle="stop" errorTitle="Use a listed value" operator="between" showDropDown="false" showErrorMessage="true" showInputMessage="false" sqref="B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55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10"/>
    <col collapsed="false" customWidth="true" hidden="false" outlineLevel="0" max="17" min="17" style="1" width="30"/>
  </cols>
  <sheetData>
    <row r="1" customFormat="false" ht="33.75" hidden="false" customHeight="true" outlineLevel="0" collapsed="false">
      <c r="A1" s="14" t="s">
        <v>47</v>
      </c>
      <c r="B1" s="14" t="s">
        <v>48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14" t="s">
        <v>59</v>
      </c>
      <c r="N1" s="14" t="s">
        <v>60</v>
      </c>
      <c r="O1" s="14" t="s">
        <v>61</v>
      </c>
      <c r="P1" s="14" t="s">
        <v>62</v>
      </c>
      <c r="Q1" s="14" t="s">
        <v>63</v>
      </c>
    </row>
    <row r="2" customFormat="false" ht="23.25" hidden="false" customHeight="true" outlineLevel="0" collapsed="false">
      <c r="A2" s="21" t="s">
        <v>64</v>
      </c>
      <c r="B2" s="21" t="s">
        <v>65</v>
      </c>
      <c r="C2" s="21" t="s">
        <v>66</v>
      </c>
      <c r="D2" s="21" t="s">
        <v>67</v>
      </c>
      <c r="E2" s="21" t="s">
        <v>68</v>
      </c>
      <c r="F2" s="21" t="n">
        <v>4</v>
      </c>
      <c r="G2" s="21" t="s">
        <v>69</v>
      </c>
      <c r="H2" s="21" t="s">
        <v>70</v>
      </c>
      <c r="I2" s="21" t="s">
        <v>71</v>
      </c>
      <c r="J2" s="22" t="str">
        <f aca="false">IF(F2=5,"Y","")</f>
        <v/>
      </c>
      <c r="K2" s="21"/>
      <c r="L2" s="22" t="n">
        <f aca="false">IF(Scoring!$B$5=1,1,IF(Scoring!$B$5=2,IF(J2="Y",1,0),IF(K2="Y",1,0)))</f>
        <v>1</v>
      </c>
      <c r="M2" s="23"/>
      <c r="N2" s="23"/>
      <c r="O2" s="23"/>
      <c r="P2" s="23"/>
      <c r="Q2" s="23"/>
    </row>
    <row r="3" customFormat="false" ht="23.25" hidden="false" customHeight="true" outlineLevel="0" collapsed="false">
      <c r="A3" s="21" t="s">
        <v>72</v>
      </c>
      <c r="B3" s="21" t="s">
        <v>65</v>
      </c>
      <c r="C3" s="21" t="s">
        <v>73</v>
      </c>
      <c r="D3" s="21" t="s">
        <v>74</v>
      </c>
      <c r="E3" s="21" t="s">
        <v>75</v>
      </c>
      <c r="F3" s="21" t="n">
        <v>3</v>
      </c>
      <c r="G3" s="21" t="s">
        <v>76</v>
      </c>
      <c r="H3" s="21" t="s">
        <v>77</v>
      </c>
      <c r="I3" s="21" t="s">
        <v>71</v>
      </c>
      <c r="J3" s="22" t="str">
        <f aca="false">IF(F3=5,"Y","")</f>
        <v/>
      </c>
      <c r="K3" s="21"/>
      <c r="L3" s="22" t="n">
        <f aca="false">IF(Scoring!$B$5=1,1,IF(Scoring!$B$5=2,IF(J3="Y",1,0),IF(K3="Y",1,0)))</f>
        <v>1</v>
      </c>
      <c r="M3" s="23"/>
      <c r="N3" s="23"/>
      <c r="O3" s="23"/>
      <c r="P3" s="23"/>
      <c r="Q3" s="23"/>
    </row>
    <row r="4" customFormat="false" ht="23.25" hidden="false" customHeight="true" outlineLevel="0" collapsed="false">
      <c r="A4" s="21" t="s">
        <v>78</v>
      </c>
      <c r="B4" s="21" t="s">
        <v>65</v>
      </c>
      <c r="C4" s="21" t="s">
        <v>79</v>
      </c>
      <c r="D4" s="21" t="s">
        <v>80</v>
      </c>
      <c r="E4" s="21" t="s">
        <v>81</v>
      </c>
      <c r="F4" s="21" t="n">
        <v>2</v>
      </c>
      <c r="G4" s="21" t="s">
        <v>76</v>
      </c>
      <c r="H4" s="21" t="s">
        <v>77</v>
      </c>
      <c r="I4" s="21" t="s">
        <v>71</v>
      </c>
      <c r="J4" s="22" t="str">
        <f aca="false">IF(F4=5,"Y","")</f>
        <v/>
      </c>
      <c r="K4" s="21"/>
      <c r="L4" s="22" t="n">
        <f aca="false">IF(Scoring!$B$5=1,1,IF(Scoring!$B$5=2,IF(J4="Y",1,0),IF(K4="Y",1,0)))</f>
        <v>1</v>
      </c>
      <c r="M4" s="23"/>
      <c r="N4" s="23"/>
      <c r="O4" s="23"/>
      <c r="P4" s="23"/>
      <c r="Q4" s="23"/>
    </row>
    <row r="5" customFormat="false" ht="23.25" hidden="false" customHeight="true" outlineLevel="0" collapsed="false">
      <c r="A5" s="21" t="s">
        <v>82</v>
      </c>
      <c r="B5" s="21" t="s">
        <v>65</v>
      </c>
      <c r="C5" s="21" t="s">
        <v>83</v>
      </c>
      <c r="D5" s="21" t="s">
        <v>84</v>
      </c>
      <c r="E5" s="21" t="s">
        <v>85</v>
      </c>
      <c r="F5" s="21" t="n">
        <v>3</v>
      </c>
      <c r="G5" s="21" t="s">
        <v>86</v>
      </c>
      <c r="H5" s="21" t="s">
        <v>70</v>
      </c>
      <c r="I5" s="21" t="s">
        <v>71</v>
      </c>
      <c r="J5" s="22" t="str">
        <f aca="false">IF(F5=5,"Y","")</f>
        <v/>
      </c>
      <c r="K5" s="21"/>
      <c r="L5" s="22" t="n">
        <f aca="false">IF(Scoring!$B$5=1,1,IF(Scoring!$B$5=2,IF(J5="Y",1,0),IF(K5="Y",1,0)))</f>
        <v>1</v>
      </c>
      <c r="M5" s="23"/>
      <c r="N5" s="23"/>
      <c r="O5" s="23"/>
      <c r="P5" s="23"/>
      <c r="Q5" s="23"/>
    </row>
    <row r="6" customFormat="false" ht="23.25" hidden="false" customHeight="true" outlineLevel="0" collapsed="false">
      <c r="A6" s="21" t="s">
        <v>87</v>
      </c>
      <c r="B6" s="21" t="s">
        <v>65</v>
      </c>
      <c r="C6" s="21" t="s">
        <v>88</v>
      </c>
      <c r="D6" s="21" t="s">
        <v>89</v>
      </c>
      <c r="E6" s="21" t="s">
        <v>90</v>
      </c>
      <c r="F6" s="21" t="n">
        <v>2</v>
      </c>
      <c r="G6" s="21" t="s">
        <v>91</v>
      </c>
      <c r="H6" s="21" t="s">
        <v>92</v>
      </c>
      <c r="I6" s="21" t="s">
        <v>71</v>
      </c>
      <c r="J6" s="22" t="str">
        <f aca="false">IF(F6=5,"Y","")</f>
        <v/>
      </c>
      <c r="K6" s="21"/>
      <c r="L6" s="22" t="n">
        <f aca="false">IF(Scoring!$B$5=1,1,IF(Scoring!$B$5=2,IF(J6="Y",1,0),IF(K6="Y",1,0)))</f>
        <v>1</v>
      </c>
      <c r="M6" s="23"/>
      <c r="N6" s="23"/>
      <c r="O6" s="23"/>
      <c r="P6" s="23"/>
      <c r="Q6" s="23"/>
    </row>
    <row r="7" customFormat="false" ht="23.25" hidden="false" customHeight="true" outlineLevel="0" collapsed="false">
      <c r="A7" s="21" t="s">
        <v>93</v>
      </c>
      <c r="B7" s="21" t="s">
        <v>94</v>
      </c>
      <c r="C7" s="21" t="s">
        <v>95</v>
      </c>
      <c r="D7" s="21" t="s">
        <v>67</v>
      </c>
      <c r="E7" s="21" t="s">
        <v>96</v>
      </c>
      <c r="F7" s="21" t="n">
        <v>4</v>
      </c>
      <c r="G7" s="21" t="s">
        <v>97</v>
      </c>
      <c r="H7" s="21" t="s">
        <v>98</v>
      </c>
      <c r="I7" s="21" t="s">
        <v>71</v>
      </c>
      <c r="J7" s="22" t="str">
        <f aca="false">IF(F7=5,"Y","")</f>
        <v/>
      </c>
      <c r="K7" s="21"/>
      <c r="L7" s="22" t="n">
        <f aca="false">IF(Scoring!$B$5=1,1,IF(Scoring!$B$5=2,IF(J7="Y",1,0),IF(K7="Y",1,0)))</f>
        <v>1</v>
      </c>
      <c r="M7" s="23"/>
      <c r="N7" s="23"/>
      <c r="O7" s="23"/>
      <c r="P7" s="23"/>
      <c r="Q7" s="23"/>
    </row>
    <row r="8" customFormat="false" ht="23.25" hidden="false" customHeight="true" outlineLevel="0" collapsed="false">
      <c r="A8" s="21" t="s">
        <v>99</v>
      </c>
      <c r="B8" s="21" t="s">
        <v>94</v>
      </c>
      <c r="C8" s="21" t="s">
        <v>100</v>
      </c>
      <c r="D8" s="21" t="s">
        <v>101</v>
      </c>
      <c r="E8" s="21" t="s">
        <v>102</v>
      </c>
      <c r="F8" s="21" t="n">
        <v>3</v>
      </c>
      <c r="G8" s="21" t="s">
        <v>97</v>
      </c>
      <c r="H8" s="21" t="s">
        <v>98</v>
      </c>
      <c r="I8" s="21" t="s">
        <v>71</v>
      </c>
      <c r="J8" s="22" t="str">
        <f aca="false">IF(F8=5,"Y","")</f>
        <v/>
      </c>
      <c r="K8" s="21"/>
      <c r="L8" s="22" t="n">
        <f aca="false">IF(Scoring!$B$5=1,1,IF(Scoring!$B$5=2,IF(J8="Y",1,0),IF(K8="Y",1,0)))</f>
        <v>1</v>
      </c>
      <c r="M8" s="23"/>
      <c r="N8" s="23"/>
      <c r="O8" s="23"/>
      <c r="P8" s="23"/>
      <c r="Q8" s="23"/>
    </row>
    <row r="9" customFormat="false" ht="23.25" hidden="false" customHeight="true" outlineLevel="0" collapsed="false">
      <c r="A9" s="21" t="s">
        <v>103</v>
      </c>
      <c r="B9" s="21" t="s">
        <v>94</v>
      </c>
      <c r="C9" s="21" t="s">
        <v>104</v>
      </c>
      <c r="D9" s="21" t="s">
        <v>89</v>
      </c>
      <c r="E9" s="21" t="s">
        <v>105</v>
      </c>
      <c r="F9" s="21" t="n">
        <v>3</v>
      </c>
      <c r="G9" s="21" t="s">
        <v>106</v>
      </c>
      <c r="H9" s="21" t="s">
        <v>107</v>
      </c>
      <c r="I9" s="21" t="s">
        <v>71</v>
      </c>
      <c r="J9" s="22" t="str">
        <f aca="false">IF(F9=5,"Y","")</f>
        <v/>
      </c>
      <c r="K9" s="21"/>
      <c r="L9" s="22" t="n">
        <f aca="false">IF(Scoring!$B$5=1,1,IF(Scoring!$B$5=2,IF(J9="Y",1,0),IF(K9="Y",1,0)))</f>
        <v>1</v>
      </c>
      <c r="M9" s="23"/>
      <c r="N9" s="23"/>
      <c r="O9" s="23"/>
      <c r="P9" s="23"/>
      <c r="Q9" s="23"/>
    </row>
    <row r="10" customFormat="false" ht="23.25" hidden="false" customHeight="true" outlineLevel="0" collapsed="false">
      <c r="A10" s="21" t="s">
        <v>108</v>
      </c>
      <c r="B10" s="21" t="s">
        <v>94</v>
      </c>
      <c r="C10" s="21" t="s">
        <v>109</v>
      </c>
      <c r="D10" s="21" t="s">
        <v>89</v>
      </c>
      <c r="E10" s="21" t="s">
        <v>110</v>
      </c>
      <c r="F10" s="21" t="n">
        <v>3</v>
      </c>
      <c r="G10" s="21" t="s">
        <v>111</v>
      </c>
      <c r="H10" s="21" t="s">
        <v>112</v>
      </c>
      <c r="I10" s="21" t="s">
        <v>71</v>
      </c>
      <c r="J10" s="22" t="str">
        <f aca="false">IF(F10=5,"Y","")</f>
        <v/>
      </c>
      <c r="K10" s="21"/>
      <c r="L10" s="22" t="n">
        <f aca="false">IF(Scoring!$B$5=1,1,IF(Scoring!$B$5=2,IF(J10="Y",1,0),IF(K10="Y",1,0)))</f>
        <v>1</v>
      </c>
      <c r="M10" s="23"/>
      <c r="N10" s="23"/>
      <c r="O10" s="23"/>
      <c r="P10" s="23"/>
      <c r="Q10" s="23"/>
    </row>
    <row r="11" customFormat="false" ht="23.25" hidden="false" customHeight="true" outlineLevel="0" collapsed="false">
      <c r="A11" s="21" t="s">
        <v>113</v>
      </c>
      <c r="B11" s="21" t="s">
        <v>114</v>
      </c>
      <c r="C11" s="21" t="s">
        <v>115</v>
      </c>
      <c r="D11" s="21" t="s">
        <v>116</v>
      </c>
      <c r="E11" s="21" t="s">
        <v>117</v>
      </c>
      <c r="F11" s="21" t="n">
        <v>5</v>
      </c>
      <c r="G11" s="21" t="s">
        <v>118</v>
      </c>
      <c r="H11" s="21" t="s">
        <v>119</v>
      </c>
      <c r="I11" s="21" t="s">
        <v>71</v>
      </c>
      <c r="J11" s="22" t="str">
        <f aca="false">IF(F11=5,"Y","")</f>
        <v>Y</v>
      </c>
      <c r="K11" s="21"/>
      <c r="L11" s="22" t="n">
        <f aca="false">IF(Scoring!$B$5=1,1,IF(Scoring!$B$5=2,IF(J11="Y",1,0),IF(K11="Y",1,0)))</f>
        <v>1</v>
      </c>
      <c r="M11" s="23"/>
      <c r="N11" s="23"/>
      <c r="O11" s="23"/>
      <c r="P11" s="23"/>
      <c r="Q11" s="23"/>
    </row>
    <row r="12" customFormat="false" ht="23.25" hidden="false" customHeight="true" outlineLevel="0" collapsed="false">
      <c r="A12" s="21" t="s">
        <v>120</v>
      </c>
      <c r="B12" s="21" t="s">
        <v>114</v>
      </c>
      <c r="C12" s="21" t="s">
        <v>121</v>
      </c>
      <c r="D12" s="21" t="s">
        <v>122</v>
      </c>
      <c r="E12" s="21" t="s">
        <v>123</v>
      </c>
      <c r="F12" s="21" t="n">
        <v>5</v>
      </c>
      <c r="G12" s="21" t="s">
        <v>118</v>
      </c>
      <c r="H12" s="21" t="s">
        <v>119</v>
      </c>
      <c r="I12" s="21" t="s">
        <v>71</v>
      </c>
      <c r="J12" s="22" t="str">
        <f aca="false">IF(F12=5,"Y","")</f>
        <v>Y</v>
      </c>
      <c r="K12" s="21"/>
      <c r="L12" s="22" t="n">
        <f aca="false">IF(Scoring!$B$5=1,1,IF(Scoring!$B$5=2,IF(J12="Y",1,0),IF(K12="Y",1,0)))</f>
        <v>1</v>
      </c>
      <c r="M12" s="23"/>
      <c r="N12" s="23"/>
      <c r="O12" s="23"/>
      <c r="P12" s="23"/>
      <c r="Q12" s="23"/>
    </row>
    <row r="13" customFormat="false" ht="23.25" hidden="false" customHeight="true" outlineLevel="0" collapsed="false">
      <c r="A13" s="21" t="s">
        <v>124</v>
      </c>
      <c r="B13" s="21" t="s">
        <v>114</v>
      </c>
      <c r="C13" s="21" t="s">
        <v>125</v>
      </c>
      <c r="D13" s="21" t="s">
        <v>126</v>
      </c>
      <c r="E13" s="21" t="s">
        <v>127</v>
      </c>
      <c r="F13" s="21" t="n">
        <v>5</v>
      </c>
      <c r="G13" s="21" t="s">
        <v>118</v>
      </c>
      <c r="H13" s="21" t="s">
        <v>119</v>
      </c>
      <c r="I13" s="21" t="s">
        <v>71</v>
      </c>
      <c r="J13" s="22" t="str">
        <f aca="false">IF(F13=5,"Y","")</f>
        <v>Y</v>
      </c>
      <c r="K13" s="21" t="s">
        <v>71</v>
      </c>
      <c r="L13" s="22" t="n">
        <f aca="false">IF(Scoring!$B$5=1,1,IF(Scoring!$B$5=2,IF(J13="Y",1,0),IF(K13="Y",1,0)))</f>
        <v>1</v>
      </c>
      <c r="M13" s="23"/>
      <c r="N13" s="23"/>
      <c r="O13" s="23"/>
      <c r="P13" s="23"/>
      <c r="Q13" s="23"/>
    </row>
    <row r="14" customFormat="false" ht="34.5" hidden="false" customHeight="true" outlineLevel="0" collapsed="false">
      <c r="A14" s="21" t="s">
        <v>128</v>
      </c>
      <c r="B14" s="21" t="s">
        <v>114</v>
      </c>
      <c r="C14" s="21" t="s">
        <v>129</v>
      </c>
      <c r="D14" s="21" t="s">
        <v>130</v>
      </c>
      <c r="E14" s="21" t="s">
        <v>131</v>
      </c>
      <c r="F14" s="21" t="n">
        <v>5</v>
      </c>
      <c r="G14" s="21" t="s">
        <v>132</v>
      </c>
      <c r="H14" s="21" t="s">
        <v>112</v>
      </c>
      <c r="I14" s="21" t="s">
        <v>71</v>
      </c>
      <c r="J14" s="22" t="str">
        <f aca="false">IF(F14=5,"Y","")</f>
        <v>Y</v>
      </c>
      <c r="K14" s="21"/>
      <c r="L14" s="22" t="n">
        <f aca="false">IF(Scoring!$B$5=1,1,IF(Scoring!$B$5=2,IF(J14="Y",1,0),IF(K14="Y",1,0)))</f>
        <v>1</v>
      </c>
      <c r="M14" s="23"/>
      <c r="N14" s="23"/>
      <c r="O14" s="23"/>
      <c r="P14" s="23"/>
      <c r="Q14" s="23"/>
    </row>
    <row r="15" customFormat="false" ht="23.25" hidden="false" customHeight="true" outlineLevel="0" collapsed="false">
      <c r="A15" s="21" t="s">
        <v>133</v>
      </c>
      <c r="B15" s="21" t="s">
        <v>114</v>
      </c>
      <c r="C15" s="21" t="s">
        <v>134</v>
      </c>
      <c r="D15" s="21" t="s">
        <v>122</v>
      </c>
      <c r="E15" s="21" t="s">
        <v>135</v>
      </c>
      <c r="F15" s="21" t="n">
        <v>5</v>
      </c>
      <c r="G15" s="21" t="s">
        <v>136</v>
      </c>
      <c r="H15" s="21" t="s">
        <v>92</v>
      </c>
      <c r="I15" s="21" t="s">
        <v>71</v>
      </c>
      <c r="J15" s="22" t="str">
        <f aca="false">IF(F15=5,"Y","")</f>
        <v>Y</v>
      </c>
      <c r="K15" s="21"/>
      <c r="L15" s="22" t="n">
        <f aca="false">IF(Scoring!$B$5=1,1,IF(Scoring!$B$5=2,IF(J15="Y",1,0),IF(K15="Y",1,0)))</f>
        <v>1</v>
      </c>
      <c r="M15" s="23"/>
      <c r="N15" s="23"/>
      <c r="O15" s="23"/>
      <c r="P15" s="23"/>
      <c r="Q15" s="23"/>
    </row>
    <row r="16" customFormat="false" ht="23.25" hidden="false" customHeight="true" outlineLevel="0" collapsed="false">
      <c r="A16" s="21" t="s">
        <v>137</v>
      </c>
      <c r="B16" s="21" t="s">
        <v>138</v>
      </c>
      <c r="C16" s="21" t="s">
        <v>139</v>
      </c>
      <c r="D16" s="21" t="s">
        <v>89</v>
      </c>
      <c r="E16" s="21" t="s">
        <v>140</v>
      </c>
      <c r="F16" s="21" t="n">
        <v>5</v>
      </c>
      <c r="G16" s="21" t="s">
        <v>141</v>
      </c>
      <c r="H16" s="21" t="s">
        <v>142</v>
      </c>
      <c r="I16" s="21" t="s">
        <v>71</v>
      </c>
      <c r="J16" s="22" t="str">
        <f aca="false">IF(F16=5,"Y","")</f>
        <v>Y</v>
      </c>
      <c r="K16" s="21"/>
      <c r="L16" s="22" t="n">
        <f aca="false">IF(Scoring!$B$5=1,1,IF(Scoring!$B$5=2,IF(J16="Y",1,0),IF(K16="Y",1,0)))</f>
        <v>1</v>
      </c>
      <c r="M16" s="23"/>
      <c r="N16" s="23"/>
      <c r="O16" s="23"/>
      <c r="P16" s="23"/>
      <c r="Q16" s="23"/>
    </row>
    <row r="17" customFormat="false" ht="23.25" hidden="false" customHeight="true" outlineLevel="0" collapsed="false">
      <c r="A17" s="21" t="s">
        <v>143</v>
      </c>
      <c r="B17" s="21" t="s">
        <v>138</v>
      </c>
      <c r="C17" s="21" t="s">
        <v>144</v>
      </c>
      <c r="D17" s="21" t="s">
        <v>89</v>
      </c>
      <c r="E17" s="21" t="s">
        <v>145</v>
      </c>
      <c r="F17" s="21" t="n">
        <v>4</v>
      </c>
      <c r="G17" s="21" t="s">
        <v>146</v>
      </c>
      <c r="H17" s="21" t="s">
        <v>142</v>
      </c>
      <c r="I17" s="21" t="s">
        <v>71</v>
      </c>
      <c r="J17" s="22" t="str">
        <f aca="false">IF(F17=5,"Y","")</f>
        <v/>
      </c>
      <c r="K17" s="21"/>
      <c r="L17" s="22" t="n">
        <f aca="false">IF(Scoring!$B$5=1,1,IF(Scoring!$B$5=2,IF(J17="Y",1,0),IF(K17="Y",1,0)))</f>
        <v>1</v>
      </c>
      <c r="M17" s="23"/>
      <c r="N17" s="23"/>
      <c r="O17" s="23"/>
      <c r="P17" s="23"/>
      <c r="Q17" s="23"/>
    </row>
    <row r="18" customFormat="false" ht="23.25" hidden="false" customHeight="true" outlineLevel="0" collapsed="false">
      <c r="A18" s="21" t="s">
        <v>147</v>
      </c>
      <c r="B18" s="21" t="s">
        <v>138</v>
      </c>
      <c r="C18" s="21" t="s">
        <v>148</v>
      </c>
      <c r="D18" s="21" t="s">
        <v>67</v>
      </c>
      <c r="E18" s="21" t="s">
        <v>149</v>
      </c>
      <c r="F18" s="21" t="n">
        <v>4</v>
      </c>
      <c r="G18" s="21" t="s">
        <v>150</v>
      </c>
      <c r="H18" s="21" t="s">
        <v>142</v>
      </c>
      <c r="I18" s="21" t="s">
        <v>71</v>
      </c>
      <c r="J18" s="22" t="str">
        <f aca="false">IF(F18=5,"Y","")</f>
        <v/>
      </c>
      <c r="K18" s="21"/>
      <c r="L18" s="22" t="n">
        <f aca="false">IF(Scoring!$B$5=1,1,IF(Scoring!$B$5=2,IF(J18="Y",1,0),IF(K18="Y",1,0)))</f>
        <v>1</v>
      </c>
      <c r="M18" s="23"/>
      <c r="N18" s="23"/>
      <c r="O18" s="23"/>
      <c r="P18" s="23"/>
      <c r="Q18" s="23"/>
    </row>
    <row r="19" customFormat="false" ht="23.25" hidden="false" customHeight="true" outlineLevel="0" collapsed="false">
      <c r="A19" s="21" t="s">
        <v>151</v>
      </c>
      <c r="B19" s="21" t="s">
        <v>138</v>
      </c>
      <c r="C19" s="21" t="s">
        <v>152</v>
      </c>
      <c r="D19" s="21" t="s">
        <v>153</v>
      </c>
      <c r="E19" s="21" t="s">
        <v>154</v>
      </c>
      <c r="F19" s="21" t="n">
        <v>4</v>
      </c>
      <c r="G19" s="21" t="s">
        <v>155</v>
      </c>
      <c r="H19" s="21" t="s">
        <v>142</v>
      </c>
      <c r="I19" s="21" t="s">
        <v>71</v>
      </c>
      <c r="J19" s="22" t="str">
        <f aca="false">IF(F19=5,"Y","")</f>
        <v/>
      </c>
      <c r="K19" s="21"/>
      <c r="L19" s="22" t="n">
        <f aca="false">IF(Scoring!$B$5=1,1,IF(Scoring!$B$5=2,IF(J19="Y",1,0),IF(K19="Y",1,0)))</f>
        <v>1</v>
      </c>
      <c r="M19" s="23"/>
      <c r="N19" s="23"/>
      <c r="O19" s="23"/>
      <c r="P19" s="23"/>
      <c r="Q19" s="23"/>
    </row>
    <row r="20" customFormat="false" ht="23.25" hidden="false" customHeight="true" outlineLevel="0" collapsed="false">
      <c r="A20" s="21" t="s">
        <v>156</v>
      </c>
      <c r="B20" s="21" t="s">
        <v>138</v>
      </c>
      <c r="C20" s="21" t="s">
        <v>157</v>
      </c>
      <c r="D20" s="21" t="s">
        <v>158</v>
      </c>
      <c r="E20" s="21" t="s">
        <v>159</v>
      </c>
      <c r="F20" s="21" t="n">
        <v>4</v>
      </c>
      <c r="G20" s="21" t="s">
        <v>160</v>
      </c>
      <c r="H20" s="21" t="s">
        <v>142</v>
      </c>
      <c r="I20" s="21" t="s">
        <v>71</v>
      </c>
      <c r="J20" s="22" t="str">
        <f aca="false">IF(F20=5,"Y","")</f>
        <v/>
      </c>
      <c r="K20" s="21"/>
      <c r="L20" s="22" t="n">
        <f aca="false">IF(Scoring!$B$5=1,1,IF(Scoring!$B$5=2,IF(J20="Y",1,0),IF(K20="Y",1,0)))</f>
        <v>1</v>
      </c>
      <c r="M20" s="23"/>
      <c r="N20" s="23"/>
      <c r="O20" s="23"/>
      <c r="P20" s="23"/>
      <c r="Q20" s="23"/>
    </row>
    <row r="21" customFormat="false" ht="23.25" hidden="false" customHeight="true" outlineLevel="0" collapsed="false">
      <c r="A21" s="21" t="s">
        <v>161</v>
      </c>
      <c r="B21" s="21" t="s">
        <v>138</v>
      </c>
      <c r="C21" s="21" t="s">
        <v>162</v>
      </c>
      <c r="D21" s="21" t="s">
        <v>89</v>
      </c>
      <c r="E21" s="21" t="s">
        <v>163</v>
      </c>
      <c r="F21" s="21" t="n">
        <v>4</v>
      </c>
      <c r="G21" s="21" t="s">
        <v>164</v>
      </c>
      <c r="H21" s="21" t="s">
        <v>142</v>
      </c>
      <c r="I21" s="21" t="s">
        <v>71</v>
      </c>
      <c r="J21" s="22" t="str">
        <f aca="false">IF(F21=5,"Y","")</f>
        <v/>
      </c>
      <c r="K21" s="21"/>
      <c r="L21" s="22" t="n">
        <f aca="false">IF(Scoring!$B$5=1,1,IF(Scoring!$B$5=2,IF(J21="Y",1,0),IF(K21="Y",1,0)))</f>
        <v>1</v>
      </c>
      <c r="M21" s="23"/>
      <c r="N21" s="23"/>
      <c r="O21" s="23"/>
      <c r="P21" s="23"/>
      <c r="Q21" s="23"/>
    </row>
    <row r="22" customFormat="false" ht="23.25" hidden="false" customHeight="true" outlineLevel="0" collapsed="false">
      <c r="A22" s="21" t="s">
        <v>165</v>
      </c>
      <c r="B22" s="21" t="s">
        <v>166</v>
      </c>
      <c r="C22" s="21" t="s">
        <v>167</v>
      </c>
      <c r="D22" s="21" t="s">
        <v>74</v>
      </c>
      <c r="E22" s="21" t="s">
        <v>168</v>
      </c>
      <c r="F22" s="21" t="n">
        <v>5</v>
      </c>
      <c r="G22" s="21" t="s">
        <v>169</v>
      </c>
      <c r="H22" s="21" t="s">
        <v>170</v>
      </c>
      <c r="I22" s="21" t="s">
        <v>71</v>
      </c>
      <c r="J22" s="22" t="str">
        <f aca="false">IF(F22=5,"Y","")</f>
        <v>Y</v>
      </c>
      <c r="K22" s="21"/>
      <c r="L22" s="22" t="n">
        <f aca="false">IF(Scoring!$B$5=1,1,IF(Scoring!$B$5=2,IF(J22="Y",1,0),IF(K22="Y",1,0)))</f>
        <v>1</v>
      </c>
      <c r="M22" s="23"/>
      <c r="N22" s="23"/>
      <c r="O22" s="23"/>
      <c r="P22" s="23"/>
      <c r="Q22" s="23"/>
    </row>
    <row r="23" customFormat="false" ht="23.25" hidden="false" customHeight="true" outlineLevel="0" collapsed="false">
      <c r="A23" s="21" t="s">
        <v>171</v>
      </c>
      <c r="B23" s="21" t="s">
        <v>166</v>
      </c>
      <c r="C23" s="21" t="s">
        <v>172</v>
      </c>
      <c r="D23" s="21" t="s">
        <v>74</v>
      </c>
      <c r="E23" s="21" t="s">
        <v>173</v>
      </c>
      <c r="F23" s="21" t="n">
        <v>5</v>
      </c>
      <c r="G23" s="21" t="s">
        <v>169</v>
      </c>
      <c r="H23" s="21" t="s">
        <v>170</v>
      </c>
      <c r="I23" s="21" t="s">
        <v>71</v>
      </c>
      <c r="J23" s="22" t="str">
        <f aca="false">IF(F23=5,"Y","")</f>
        <v>Y</v>
      </c>
      <c r="K23" s="21"/>
      <c r="L23" s="22" t="n">
        <f aca="false">IF(Scoring!$B$5=1,1,IF(Scoring!$B$5=2,IF(J23="Y",1,0),IF(K23="Y",1,0)))</f>
        <v>1</v>
      </c>
      <c r="M23" s="23"/>
      <c r="N23" s="23"/>
      <c r="O23" s="23"/>
      <c r="P23" s="23"/>
      <c r="Q23" s="23"/>
    </row>
    <row r="24" customFormat="false" ht="23.25" hidden="false" customHeight="true" outlineLevel="0" collapsed="false">
      <c r="A24" s="21" t="s">
        <v>174</v>
      </c>
      <c r="B24" s="21" t="s">
        <v>166</v>
      </c>
      <c r="C24" s="21" t="s">
        <v>175</v>
      </c>
      <c r="D24" s="21" t="s">
        <v>122</v>
      </c>
      <c r="E24" s="21" t="s">
        <v>176</v>
      </c>
      <c r="F24" s="21" t="n">
        <v>3</v>
      </c>
      <c r="G24" s="21" t="s">
        <v>169</v>
      </c>
      <c r="H24" s="21" t="s">
        <v>170</v>
      </c>
      <c r="I24" s="21" t="s">
        <v>71</v>
      </c>
      <c r="J24" s="22" t="str">
        <f aca="false">IF(F24=5,"Y","")</f>
        <v/>
      </c>
      <c r="K24" s="21"/>
      <c r="L24" s="22" t="n">
        <f aca="false">IF(Scoring!$B$5=1,1,IF(Scoring!$B$5=2,IF(J24="Y",1,0),IF(K24="Y",1,0)))</f>
        <v>1</v>
      </c>
      <c r="M24" s="23"/>
      <c r="N24" s="23"/>
      <c r="O24" s="23"/>
      <c r="P24" s="23"/>
      <c r="Q24" s="23"/>
    </row>
    <row r="25" customFormat="false" ht="23.25" hidden="false" customHeight="true" outlineLevel="0" collapsed="false">
      <c r="A25" s="21" t="s">
        <v>177</v>
      </c>
      <c r="B25" s="21" t="s">
        <v>166</v>
      </c>
      <c r="C25" s="21" t="s">
        <v>178</v>
      </c>
      <c r="D25" s="21" t="s">
        <v>74</v>
      </c>
      <c r="E25" s="21" t="s">
        <v>179</v>
      </c>
      <c r="F25" s="21" t="n">
        <v>5</v>
      </c>
      <c r="G25" s="21" t="s">
        <v>180</v>
      </c>
      <c r="H25" s="21" t="s">
        <v>170</v>
      </c>
      <c r="I25" s="21" t="s">
        <v>71</v>
      </c>
      <c r="J25" s="22" t="str">
        <f aca="false">IF(F25=5,"Y","")</f>
        <v>Y</v>
      </c>
      <c r="K25" s="21"/>
      <c r="L25" s="22" t="n">
        <f aca="false">IF(Scoring!$B$5=1,1,IF(Scoring!$B$5=2,IF(J25="Y",1,0),IF(K25="Y",1,0)))</f>
        <v>1</v>
      </c>
      <c r="M25" s="23"/>
      <c r="N25" s="23"/>
      <c r="O25" s="23"/>
      <c r="P25" s="23"/>
      <c r="Q25" s="23"/>
    </row>
    <row r="26" customFormat="false" ht="23.25" hidden="false" customHeight="true" outlineLevel="0" collapsed="false">
      <c r="A26" s="21" t="s">
        <v>181</v>
      </c>
      <c r="B26" s="21" t="s">
        <v>166</v>
      </c>
      <c r="C26" s="21" t="s">
        <v>182</v>
      </c>
      <c r="D26" s="21" t="s">
        <v>67</v>
      </c>
      <c r="E26" s="21" t="s">
        <v>183</v>
      </c>
      <c r="F26" s="21" t="n">
        <v>4</v>
      </c>
      <c r="G26" s="21" t="s">
        <v>184</v>
      </c>
      <c r="H26" s="21" t="s">
        <v>170</v>
      </c>
      <c r="I26" s="21" t="s">
        <v>71</v>
      </c>
      <c r="J26" s="22" t="str">
        <f aca="false">IF(F26=5,"Y","")</f>
        <v/>
      </c>
      <c r="K26" s="21"/>
      <c r="L26" s="22" t="n">
        <f aca="false">IF(Scoring!$B$5=1,1,IF(Scoring!$B$5=2,IF(J26="Y",1,0),IF(K26="Y",1,0)))</f>
        <v>1</v>
      </c>
      <c r="M26" s="23"/>
      <c r="N26" s="23"/>
      <c r="O26" s="23"/>
      <c r="P26" s="23"/>
      <c r="Q26" s="23"/>
    </row>
    <row r="27" customFormat="false" ht="23.25" hidden="false" customHeight="true" outlineLevel="0" collapsed="false">
      <c r="A27" s="21" t="s">
        <v>185</v>
      </c>
      <c r="B27" s="21" t="s">
        <v>166</v>
      </c>
      <c r="C27" s="21" t="s">
        <v>186</v>
      </c>
      <c r="D27" s="21" t="s">
        <v>89</v>
      </c>
      <c r="E27" s="21" t="s">
        <v>187</v>
      </c>
      <c r="F27" s="21" t="n">
        <v>3</v>
      </c>
      <c r="G27" s="21" t="s">
        <v>188</v>
      </c>
      <c r="H27" s="21" t="s">
        <v>170</v>
      </c>
      <c r="I27" s="21" t="s">
        <v>71</v>
      </c>
      <c r="J27" s="22" t="str">
        <f aca="false">IF(F27=5,"Y","")</f>
        <v/>
      </c>
      <c r="K27" s="21"/>
      <c r="L27" s="22" t="n">
        <f aca="false">IF(Scoring!$B$5=1,1,IF(Scoring!$B$5=2,IF(J27="Y",1,0),IF(K27="Y",1,0)))</f>
        <v>1</v>
      </c>
      <c r="M27" s="23"/>
      <c r="N27" s="23"/>
      <c r="O27" s="23"/>
      <c r="P27" s="23"/>
      <c r="Q27" s="23"/>
    </row>
    <row r="28" customFormat="false" ht="23.25" hidden="false" customHeight="true" outlineLevel="0" collapsed="false">
      <c r="A28" s="21" t="s">
        <v>189</v>
      </c>
      <c r="B28" s="21" t="s">
        <v>190</v>
      </c>
      <c r="C28" s="21" t="s">
        <v>191</v>
      </c>
      <c r="D28" s="21" t="s">
        <v>89</v>
      </c>
      <c r="E28" s="21" t="s">
        <v>192</v>
      </c>
      <c r="F28" s="21" t="n">
        <v>5</v>
      </c>
      <c r="G28" s="21" t="s">
        <v>193</v>
      </c>
      <c r="H28" s="21" t="s">
        <v>119</v>
      </c>
      <c r="I28" s="21" t="s">
        <v>71</v>
      </c>
      <c r="J28" s="22" t="str">
        <f aca="false">IF(F28=5,"Y","")</f>
        <v>Y</v>
      </c>
      <c r="K28" s="21" t="s">
        <v>71</v>
      </c>
      <c r="L28" s="22" t="n">
        <f aca="false">IF(Scoring!$B$5=1,1,IF(Scoring!$B$5=2,IF(J28="Y",1,0),IF(K28="Y",1,0)))</f>
        <v>1</v>
      </c>
      <c r="M28" s="23"/>
      <c r="N28" s="23"/>
      <c r="O28" s="23"/>
      <c r="P28" s="23"/>
      <c r="Q28" s="23"/>
    </row>
    <row r="29" customFormat="false" ht="23.25" hidden="false" customHeight="true" outlineLevel="0" collapsed="false">
      <c r="A29" s="21" t="s">
        <v>194</v>
      </c>
      <c r="B29" s="21" t="s">
        <v>190</v>
      </c>
      <c r="C29" s="21" t="s">
        <v>195</v>
      </c>
      <c r="D29" s="21" t="s">
        <v>122</v>
      </c>
      <c r="E29" s="21" t="s">
        <v>196</v>
      </c>
      <c r="F29" s="21" t="n">
        <v>5</v>
      </c>
      <c r="G29" s="21" t="s">
        <v>197</v>
      </c>
      <c r="H29" s="21" t="s">
        <v>119</v>
      </c>
      <c r="I29" s="21" t="s">
        <v>71</v>
      </c>
      <c r="J29" s="22" t="str">
        <f aca="false">IF(F29=5,"Y","")</f>
        <v>Y</v>
      </c>
      <c r="K29" s="21" t="s">
        <v>71</v>
      </c>
      <c r="L29" s="22" t="n">
        <f aca="false">IF(Scoring!$B$5=1,1,IF(Scoring!$B$5=2,IF(J29="Y",1,0),IF(K29="Y",1,0)))</f>
        <v>1</v>
      </c>
      <c r="M29" s="23"/>
      <c r="N29" s="23"/>
      <c r="O29" s="23"/>
      <c r="P29" s="23"/>
      <c r="Q29" s="23"/>
    </row>
    <row r="30" customFormat="false" ht="34.5" hidden="false" customHeight="true" outlineLevel="0" collapsed="false">
      <c r="A30" s="21" t="s">
        <v>198</v>
      </c>
      <c r="B30" s="21" t="s">
        <v>190</v>
      </c>
      <c r="C30" s="21" t="s">
        <v>199</v>
      </c>
      <c r="D30" s="21" t="s">
        <v>130</v>
      </c>
      <c r="E30" s="21" t="s">
        <v>200</v>
      </c>
      <c r="F30" s="21" t="n">
        <v>5</v>
      </c>
      <c r="G30" s="21" t="s">
        <v>197</v>
      </c>
      <c r="H30" s="21" t="s">
        <v>119</v>
      </c>
      <c r="I30" s="21" t="s">
        <v>71</v>
      </c>
      <c r="J30" s="22" t="str">
        <f aca="false">IF(F30=5,"Y","")</f>
        <v>Y</v>
      </c>
      <c r="K30" s="21"/>
      <c r="L30" s="22" t="n">
        <f aca="false">IF(Scoring!$B$5=1,1,IF(Scoring!$B$5=2,IF(J30="Y",1,0),IF(K30="Y",1,0)))</f>
        <v>1</v>
      </c>
      <c r="M30" s="23"/>
      <c r="N30" s="23"/>
      <c r="O30" s="23"/>
      <c r="P30" s="23"/>
      <c r="Q30" s="23"/>
    </row>
    <row r="31" customFormat="false" ht="23.25" hidden="false" customHeight="true" outlineLevel="0" collapsed="false">
      <c r="A31" s="21" t="s">
        <v>201</v>
      </c>
      <c r="B31" s="21" t="s">
        <v>190</v>
      </c>
      <c r="C31" s="21" t="s">
        <v>202</v>
      </c>
      <c r="D31" s="21" t="s">
        <v>74</v>
      </c>
      <c r="E31" s="21" t="s">
        <v>203</v>
      </c>
      <c r="F31" s="21" t="n">
        <v>2</v>
      </c>
      <c r="G31" s="21" t="s">
        <v>197</v>
      </c>
      <c r="H31" s="21" t="s">
        <v>77</v>
      </c>
      <c r="I31" s="21" t="s">
        <v>71</v>
      </c>
      <c r="J31" s="22" t="str">
        <f aca="false">IF(F31=5,"Y","")</f>
        <v/>
      </c>
      <c r="K31" s="21"/>
      <c r="L31" s="22" t="n">
        <f aca="false">IF(Scoring!$B$5=1,1,IF(Scoring!$B$5=2,IF(J31="Y",1,0),IF(K31="Y",1,0)))</f>
        <v>1</v>
      </c>
      <c r="M31" s="23"/>
      <c r="N31" s="23"/>
      <c r="O31" s="23"/>
      <c r="P31" s="23"/>
      <c r="Q31" s="23"/>
    </row>
    <row r="32" customFormat="false" ht="23.25" hidden="false" customHeight="true" outlineLevel="0" collapsed="false">
      <c r="A32" s="21" t="s">
        <v>204</v>
      </c>
      <c r="B32" s="21" t="s">
        <v>190</v>
      </c>
      <c r="C32" s="21" t="s">
        <v>205</v>
      </c>
      <c r="D32" s="21" t="s">
        <v>206</v>
      </c>
      <c r="E32" s="21" t="s">
        <v>207</v>
      </c>
      <c r="F32" s="21" t="n">
        <v>4</v>
      </c>
      <c r="G32" s="21" t="s">
        <v>197</v>
      </c>
      <c r="H32" s="21" t="s">
        <v>119</v>
      </c>
      <c r="I32" s="21" t="s">
        <v>71</v>
      </c>
      <c r="J32" s="22" t="str">
        <f aca="false">IF(F32=5,"Y","")</f>
        <v/>
      </c>
      <c r="K32" s="21"/>
      <c r="L32" s="22" t="n">
        <f aca="false">IF(Scoring!$B$5=1,1,IF(Scoring!$B$5=2,IF(J32="Y",1,0),IF(K32="Y",1,0)))</f>
        <v>1</v>
      </c>
      <c r="M32" s="23"/>
      <c r="N32" s="23"/>
      <c r="O32" s="23"/>
      <c r="P32" s="23"/>
      <c r="Q32" s="23"/>
    </row>
    <row r="33" customFormat="false" ht="23.25" hidden="false" customHeight="true" outlineLevel="0" collapsed="false">
      <c r="A33" s="21" t="s">
        <v>208</v>
      </c>
      <c r="B33" s="21" t="s">
        <v>190</v>
      </c>
      <c r="C33" s="21" t="s">
        <v>209</v>
      </c>
      <c r="D33" s="21" t="s">
        <v>89</v>
      </c>
      <c r="E33" s="21" t="s">
        <v>210</v>
      </c>
      <c r="F33" s="21" t="n">
        <v>3</v>
      </c>
      <c r="G33" s="21" t="s">
        <v>197</v>
      </c>
      <c r="H33" s="21" t="s">
        <v>119</v>
      </c>
      <c r="I33" s="21" t="s">
        <v>71</v>
      </c>
      <c r="J33" s="22" t="str">
        <f aca="false">IF(F33=5,"Y","")</f>
        <v/>
      </c>
      <c r="K33" s="21"/>
      <c r="L33" s="22" t="n">
        <f aca="false">IF(Scoring!$B$5=1,1,IF(Scoring!$B$5=2,IF(J33="Y",1,0),IF(K33="Y",1,0)))</f>
        <v>1</v>
      </c>
      <c r="M33" s="23"/>
      <c r="N33" s="23"/>
      <c r="O33" s="23"/>
      <c r="P33" s="23"/>
      <c r="Q33" s="23"/>
    </row>
    <row r="34" customFormat="false" ht="23.25" hidden="false" customHeight="true" outlineLevel="0" collapsed="false">
      <c r="A34" s="21" t="s">
        <v>211</v>
      </c>
      <c r="B34" s="21" t="s">
        <v>212</v>
      </c>
      <c r="C34" s="21" t="s">
        <v>213</v>
      </c>
      <c r="D34" s="21" t="s">
        <v>214</v>
      </c>
      <c r="E34" s="21" t="s">
        <v>215</v>
      </c>
      <c r="F34" s="21" t="n">
        <v>5</v>
      </c>
      <c r="G34" s="21" t="s">
        <v>216</v>
      </c>
      <c r="H34" s="21" t="s">
        <v>112</v>
      </c>
      <c r="I34" s="21" t="s">
        <v>71</v>
      </c>
      <c r="J34" s="22" t="str">
        <f aca="false">IF(F34=5,"Y","")</f>
        <v>Y</v>
      </c>
      <c r="K34" s="21"/>
      <c r="L34" s="22" t="n">
        <f aca="false">IF(Scoring!$B$5=1,1,IF(Scoring!$B$5=2,IF(J34="Y",1,0),IF(K34="Y",1,0)))</f>
        <v>1</v>
      </c>
      <c r="M34" s="23"/>
      <c r="N34" s="23"/>
      <c r="O34" s="23"/>
      <c r="P34" s="23"/>
      <c r="Q34" s="23"/>
    </row>
    <row r="35" customFormat="false" ht="23.25" hidden="false" customHeight="true" outlineLevel="0" collapsed="false">
      <c r="A35" s="21" t="s">
        <v>217</v>
      </c>
      <c r="B35" s="21" t="s">
        <v>212</v>
      </c>
      <c r="C35" s="21" t="s">
        <v>218</v>
      </c>
      <c r="D35" s="21" t="s">
        <v>219</v>
      </c>
      <c r="E35" s="21" t="s">
        <v>220</v>
      </c>
      <c r="F35" s="21" t="n">
        <v>5</v>
      </c>
      <c r="G35" s="21" t="s">
        <v>221</v>
      </c>
      <c r="H35" s="21" t="s">
        <v>112</v>
      </c>
      <c r="I35" s="21" t="s">
        <v>71</v>
      </c>
      <c r="J35" s="22" t="str">
        <f aca="false">IF(F35=5,"Y","")</f>
        <v>Y</v>
      </c>
      <c r="K35" s="21"/>
      <c r="L35" s="22" t="n">
        <f aca="false">IF(Scoring!$B$5=1,1,IF(Scoring!$B$5=2,IF(J35="Y",1,0),IF(K35="Y",1,0)))</f>
        <v>1</v>
      </c>
      <c r="M35" s="23"/>
      <c r="N35" s="23"/>
      <c r="O35" s="23"/>
      <c r="P35" s="23"/>
      <c r="Q35" s="23"/>
    </row>
    <row r="36" customFormat="false" ht="23.25" hidden="false" customHeight="true" outlineLevel="0" collapsed="false">
      <c r="A36" s="21" t="s">
        <v>222</v>
      </c>
      <c r="B36" s="21" t="s">
        <v>212</v>
      </c>
      <c r="C36" s="21" t="s">
        <v>223</v>
      </c>
      <c r="D36" s="21" t="s">
        <v>74</v>
      </c>
      <c r="E36" s="21" t="s">
        <v>224</v>
      </c>
      <c r="F36" s="21" t="n">
        <v>4</v>
      </c>
      <c r="G36" s="21" t="s">
        <v>216</v>
      </c>
      <c r="H36" s="21" t="s">
        <v>112</v>
      </c>
      <c r="I36" s="21" t="s">
        <v>71</v>
      </c>
      <c r="J36" s="22" t="str">
        <f aca="false">IF(F36=5,"Y","")</f>
        <v/>
      </c>
      <c r="K36" s="21"/>
      <c r="L36" s="22" t="n">
        <f aca="false">IF(Scoring!$B$5=1,1,IF(Scoring!$B$5=2,IF(J36="Y",1,0),IF(K36="Y",1,0)))</f>
        <v>1</v>
      </c>
      <c r="M36" s="23"/>
      <c r="N36" s="23"/>
      <c r="O36" s="23"/>
      <c r="P36" s="23"/>
      <c r="Q36" s="23"/>
    </row>
    <row r="37" customFormat="false" ht="23.25" hidden="false" customHeight="true" outlineLevel="0" collapsed="false">
      <c r="A37" s="21" t="s">
        <v>225</v>
      </c>
      <c r="B37" s="21" t="s">
        <v>212</v>
      </c>
      <c r="C37" s="21" t="s">
        <v>226</v>
      </c>
      <c r="D37" s="21" t="s">
        <v>89</v>
      </c>
      <c r="E37" s="21" t="s">
        <v>227</v>
      </c>
      <c r="F37" s="21" t="n">
        <v>4</v>
      </c>
      <c r="G37" s="21" t="s">
        <v>228</v>
      </c>
      <c r="H37" s="21" t="s">
        <v>112</v>
      </c>
      <c r="I37" s="21" t="s">
        <v>71</v>
      </c>
      <c r="J37" s="22" t="str">
        <f aca="false">IF(F37=5,"Y","")</f>
        <v/>
      </c>
      <c r="K37" s="21"/>
      <c r="L37" s="22" t="n">
        <f aca="false">IF(Scoring!$B$5=1,1,IF(Scoring!$B$5=2,IF(J37="Y",1,0),IF(K37="Y",1,0)))</f>
        <v>1</v>
      </c>
      <c r="M37" s="23"/>
      <c r="N37" s="23"/>
      <c r="O37" s="23"/>
      <c r="P37" s="23"/>
      <c r="Q37" s="23"/>
    </row>
    <row r="38" customFormat="false" ht="23.25" hidden="false" customHeight="true" outlineLevel="0" collapsed="false">
      <c r="A38" s="21" t="s">
        <v>229</v>
      </c>
      <c r="B38" s="21" t="s">
        <v>230</v>
      </c>
      <c r="C38" s="21" t="s">
        <v>231</v>
      </c>
      <c r="D38" s="21" t="s">
        <v>67</v>
      </c>
      <c r="E38" s="21" t="s">
        <v>232</v>
      </c>
      <c r="F38" s="21" t="n">
        <v>4</v>
      </c>
      <c r="G38" s="21" t="s">
        <v>233</v>
      </c>
      <c r="H38" s="21" t="s">
        <v>234</v>
      </c>
      <c r="I38" s="21" t="s">
        <v>71</v>
      </c>
      <c r="J38" s="22" t="str">
        <f aca="false">IF(F38=5,"Y","")</f>
        <v/>
      </c>
      <c r="K38" s="21"/>
      <c r="L38" s="22" t="n">
        <f aca="false">IF(Scoring!$B$5=1,1,IF(Scoring!$B$5=2,IF(J38="Y",1,0),IF(K38="Y",1,0)))</f>
        <v>1</v>
      </c>
      <c r="M38" s="23"/>
      <c r="N38" s="23"/>
      <c r="O38" s="23"/>
      <c r="P38" s="23"/>
      <c r="Q38" s="23"/>
    </row>
    <row r="39" customFormat="false" ht="23.25" hidden="false" customHeight="true" outlineLevel="0" collapsed="false">
      <c r="A39" s="21" t="s">
        <v>235</v>
      </c>
      <c r="B39" s="21" t="s">
        <v>230</v>
      </c>
      <c r="C39" s="21" t="s">
        <v>236</v>
      </c>
      <c r="D39" s="21" t="s">
        <v>89</v>
      </c>
      <c r="E39" s="21" t="s">
        <v>237</v>
      </c>
      <c r="F39" s="21" t="n">
        <v>4</v>
      </c>
      <c r="G39" s="21" t="s">
        <v>238</v>
      </c>
      <c r="H39" s="21" t="s">
        <v>234</v>
      </c>
      <c r="I39" s="21" t="s">
        <v>71</v>
      </c>
      <c r="J39" s="22" t="str">
        <f aca="false">IF(F39=5,"Y","")</f>
        <v/>
      </c>
      <c r="K39" s="21"/>
      <c r="L39" s="22" t="n">
        <f aca="false">IF(Scoring!$B$5=1,1,IF(Scoring!$B$5=2,IF(J39="Y",1,0),IF(K39="Y",1,0)))</f>
        <v>1</v>
      </c>
      <c r="M39" s="23"/>
      <c r="N39" s="23"/>
      <c r="O39" s="23"/>
      <c r="P39" s="23"/>
      <c r="Q39" s="23"/>
    </row>
    <row r="40" customFormat="false" ht="23.25" hidden="false" customHeight="true" outlineLevel="0" collapsed="false">
      <c r="A40" s="21" t="s">
        <v>239</v>
      </c>
      <c r="B40" s="21" t="s">
        <v>230</v>
      </c>
      <c r="C40" s="21" t="s">
        <v>240</v>
      </c>
      <c r="D40" s="21" t="s">
        <v>74</v>
      </c>
      <c r="E40" s="21" t="s">
        <v>241</v>
      </c>
      <c r="F40" s="21" t="n">
        <v>4</v>
      </c>
      <c r="G40" s="21" t="s">
        <v>242</v>
      </c>
      <c r="H40" s="21" t="s">
        <v>234</v>
      </c>
      <c r="I40" s="21" t="s">
        <v>71</v>
      </c>
      <c r="J40" s="22" t="str">
        <f aca="false">IF(F40=5,"Y","")</f>
        <v/>
      </c>
      <c r="K40" s="21"/>
      <c r="L40" s="22" t="n">
        <f aca="false">IF(Scoring!$B$5=1,1,IF(Scoring!$B$5=2,IF(J40="Y",1,0),IF(K40="Y",1,0)))</f>
        <v>1</v>
      </c>
      <c r="M40" s="23"/>
      <c r="N40" s="23"/>
      <c r="O40" s="23"/>
      <c r="P40" s="23"/>
      <c r="Q40" s="23"/>
    </row>
    <row r="41" customFormat="false" ht="23.25" hidden="false" customHeight="true" outlineLevel="0" collapsed="false">
      <c r="A41" s="21" t="s">
        <v>243</v>
      </c>
      <c r="B41" s="21" t="s">
        <v>230</v>
      </c>
      <c r="C41" s="21" t="s">
        <v>244</v>
      </c>
      <c r="D41" s="21" t="s">
        <v>74</v>
      </c>
      <c r="E41" s="21" t="s">
        <v>245</v>
      </c>
      <c r="F41" s="21" t="n">
        <v>4</v>
      </c>
      <c r="G41" s="21" t="s">
        <v>246</v>
      </c>
      <c r="H41" s="21" t="s">
        <v>234</v>
      </c>
      <c r="I41" s="21" t="s">
        <v>71</v>
      </c>
      <c r="J41" s="22" t="str">
        <f aca="false">IF(F41=5,"Y","")</f>
        <v/>
      </c>
      <c r="K41" s="21"/>
      <c r="L41" s="22" t="n">
        <f aca="false">IF(Scoring!$B$5=1,1,IF(Scoring!$B$5=2,IF(J41="Y",1,0),IF(K41="Y",1,0)))</f>
        <v>1</v>
      </c>
      <c r="M41" s="23"/>
      <c r="N41" s="23"/>
      <c r="O41" s="23"/>
      <c r="P41" s="23"/>
      <c r="Q41" s="23"/>
    </row>
    <row r="42" customFormat="false" ht="23.25" hidden="false" customHeight="true" outlineLevel="0" collapsed="false">
      <c r="A42" s="21" t="s">
        <v>247</v>
      </c>
      <c r="B42" s="21" t="s">
        <v>230</v>
      </c>
      <c r="C42" s="21" t="s">
        <v>248</v>
      </c>
      <c r="D42" s="21" t="s">
        <v>89</v>
      </c>
      <c r="E42" s="21" t="s">
        <v>249</v>
      </c>
      <c r="F42" s="21" t="n">
        <v>3</v>
      </c>
      <c r="G42" s="21" t="s">
        <v>250</v>
      </c>
      <c r="H42" s="21" t="s">
        <v>234</v>
      </c>
      <c r="I42" s="21" t="s">
        <v>71</v>
      </c>
      <c r="J42" s="22" t="str">
        <f aca="false">IF(F42=5,"Y","")</f>
        <v/>
      </c>
      <c r="K42" s="21"/>
      <c r="L42" s="22" t="n">
        <f aca="false">IF(Scoring!$B$5=1,1,IF(Scoring!$B$5=2,IF(J42="Y",1,0),IF(K42="Y",1,0)))</f>
        <v>1</v>
      </c>
      <c r="M42" s="23"/>
      <c r="N42" s="23"/>
      <c r="O42" s="23"/>
      <c r="P42" s="23"/>
      <c r="Q42" s="23"/>
    </row>
    <row r="43" customFormat="false" ht="23.25" hidden="false" customHeight="true" outlineLevel="0" collapsed="false">
      <c r="A43" s="21" t="s">
        <v>251</v>
      </c>
      <c r="B43" s="21" t="s">
        <v>252</v>
      </c>
      <c r="C43" s="21" t="s">
        <v>253</v>
      </c>
      <c r="D43" s="21" t="s">
        <v>254</v>
      </c>
      <c r="E43" s="21" t="s">
        <v>255</v>
      </c>
      <c r="F43" s="21" t="n">
        <v>4</v>
      </c>
      <c r="G43" s="21" t="s">
        <v>250</v>
      </c>
      <c r="H43" s="21" t="s">
        <v>98</v>
      </c>
      <c r="I43" s="21" t="s">
        <v>71</v>
      </c>
      <c r="J43" s="22" t="str">
        <f aca="false">IF(F43=5,"Y","")</f>
        <v/>
      </c>
      <c r="K43" s="21"/>
      <c r="L43" s="22" t="n">
        <f aca="false">IF(Scoring!$B$5=1,1,IF(Scoring!$B$5=2,IF(J43="Y",1,0),IF(K43="Y",1,0)))</f>
        <v>1</v>
      </c>
      <c r="M43" s="23"/>
      <c r="N43" s="23"/>
      <c r="O43" s="23"/>
      <c r="P43" s="23"/>
      <c r="Q43" s="23"/>
    </row>
    <row r="44" customFormat="false" ht="23.25" hidden="false" customHeight="true" outlineLevel="0" collapsed="false">
      <c r="A44" s="21" t="s">
        <v>256</v>
      </c>
      <c r="B44" s="21" t="s">
        <v>252</v>
      </c>
      <c r="C44" s="21" t="s">
        <v>257</v>
      </c>
      <c r="D44" s="21" t="s">
        <v>122</v>
      </c>
      <c r="E44" s="21" t="s">
        <v>258</v>
      </c>
      <c r="F44" s="21" t="n">
        <v>4</v>
      </c>
      <c r="G44" s="21" t="s">
        <v>250</v>
      </c>
      <c r="H44" s="21" t="s">
        <v>234</v>
      </c>
      <c r="I44" s="21" t="s">
        <v>71</v>
      </c>
      <c r="J44" s="22" t="str">
        <f aca="false">IF(F44=5,"Y","")</f>
        <v/>
      </c>
      <c r="K44" s="21"/>
      <c r="L44" s="22" t="n">
        <f aca="false">IF(Scoring!$B$5=1,1,IF(Scoring!$B$5=2,IF(J44="Y",1,0),IF(K44="Y",1,0)))</f>
        <v>1</v>
      </c>
      <c r="M44" s="23"/>
      <c r="N44" s="23"/>
      <c r="O44" s="23"/>
      <c r="P44" s="23"/>
      <c r="Q44" s="23"/>
    </row>
    <row r="45" customFormat="false" ht="23.25" hidden="false" customHeight="true" outlineLevel="0" collapsed="false">
      <c r="A45" s="21" t="s">
        <v>259</v>
      </c>
      <c r="B45" s="21" t="s">
        <v>252</v>
      </c>
      <c r="C45" s="21" t="s">
        <v>260</v>
      </c>
      <c r="D45" s="21" t="s">
        <v>84</v>
      </c>
      <c r="E45" s="21" t="s">
        <v>261</v>
      </c>
      <c r="F45" s="21" t="n">
        <v>4</v>
      </c>
      <c r="G45" s="21" t="s">
        <v>246</v>
      </c>
      <c r="H45" s="21" t="s">
        <v>98</v>
      </c>
      <c r="I45" s="21" t="s">
        <v>71</v>
      </c>
      <c r="J45" s="22" t="str">
        <f aca="false">IF(F45=5,"Y","")</f>
        <v/>
      </c>
      <c r="K45" s="21"/>
      <c r="L45" s="22" t="n">
        <f aca="false">IF(Scoring!$B$5=1,1,IF(Scoring!$B$5=2,IF(J45="Y",1,0),IF(K45="Y",1,0)))</f>
        <v>1</v>
      </c>
      <c r="M45" s="23"/>
      <c r="N45" s="23"/>
      <c r="O45" s="23"/>
      <c r="P45" s="23"/>
      <c r="Q45" s="23"/>
    </row>
    <row r="46" customFormat="false" ht="23.25" hidden="false" customHeight="true" outlineLevel="0" collapsed="false">
      <c r="A46" s="21" t="s">
        <v>262</v>
      </c>
      <c r="B46" s="21" t="s">
        <v>252</v>
      </c>
      <c r="C46" s="21" t="s">
        <v>263</v>
      </c>
      <c r="D46" s="21" t="s">
        <v>74</v>
      </c>
      <c r="E46" s="21" t="s">
        <v>264</v>
      </c>
      <c r="F46" s="21" t="n">
        <v>2</v>
      </c>
      <c r="G46" s="21" t="s">
        <v>265</v>
      </c>
      <c r="H46" s="21" t="s">
        <v>98</v>
      </c>
      <c r="I46" s="21" t="s">
        <v>71</v>
      </c>
      <c r="J46" s="22" t="str">
        <f aca="false">IF(F46=5,"Y","")</f>
        <v/>
      </c>
      <c r="K46" s="21"/>
      <c r="L46" s="22" t="n">
        <f aca="false">IF(Scoring!$B$5=1,1,IF(Scoring!$B$5=2,IF(J46="Y",1,0),IF(K46="Y",1,0)))</f>
        <v>1</v>
      </c>
      <c r="M46" s="23"/>
      <c r="N46" s="23"/>
      <c r="O46" s="23"/>
      <c r="P46" s="23"/>
      <c r="Q46" s="23"/>
    </row>
    <row r="47" customFormat="false" ht="23.25" hidden="false" customHeight="true" outlineLevel="0" collapsed="false">
      <c r="A47" s="21" t="s">
        <v>266</v>
      </c>
      <c r="B47" s="21" t="s">
        <v>267</v>
      </c>
      <c r="C47" s="21" t="s">
        <v>268</v>
      </c>
      <c r="D47" s="21" t="s">
        <v>269</v>
      </c>
      <c r="E47" s="21" t="s">
        <v>270</v>
      </c>
      <c r="F47" s="21" t="n">
        <v>4</v>
      </c>
      <c r="G47" s="21" t="s">
        <v>271</v>
      </c>
      <c r="H47" s="21" t="s">
        <v>272</v>
      </c>
      <c r="I47" s="21" t="s">
        <v>71</v>
      </c>
      <c r="J47" s="22" t="str">
        <f aca="false">IF(F47=5,"Y","")</f>
        <v/>
      </c>
      <c r="K47" s="21"/>
      <c r="L47" s="22" t="n">
        <f aca="false">IF(Scoring!$B$5=1,1,IF(Scoring!$B$5=2,IF(J47="Y",1,0),IF(K47="Y",1,0)))</f>
        <v>1</v>
      </c>
      <c r="M47" s="23"/>
      <c r="N47" s="23"/>
      <c r="O47" s="23"/>
      <c r="P47" s="23"/>
      <c r="Q47" s="23"/>
    </row>
    <row r="48" customFormat="false" ht="23.25" hidden="false" customHeight="true" outlineLevel="0" collapsed="false">
      <c r="A48" s="21" t="s">
        <v>273</v>
      </c>
      <c r="B48" s="21" t="s">
        <v>267</v>
      </c>
      <c r="C48" s="21" t="s">
        <v>274</v>
      </c>
      <c r="D48" s="21" t="s">
        <v>74</v>
      </c>
      <c r="E48" s="21" t="s">
        <v>275</v>
      </c>
      <c r="F48" s="21" t="n">
        <v>3</v>
      </c>
      <c r="G48" s="21" t="s">
        <v>276</v>
      </c>
      <c r="H48" s="21" t="s">
        <v>272</v>
      </c>
      <c r="I48" s="21" t="s">
        <v>71</v>
      </c>
      <c r="J48" s="22" t="str">
        <f aca="false">IF(F48=5,"Y","")</f>
        <v/>
      </c>
      <c r="K48" s="21"/>
      <c r="L48" s="22" t="n">
        <f aca="false">IF(Scoring!$B$5=1,1,IF(Scoring!$B$5=2,IF(J48="Y",1,0),IF(K48="Y",1,0)))</f>
        <v>1</v>
      </c>
      <c r="M48" s="23"/>
      <c r="N48" s="23"/>
      <c r="O48" s="23"/>
      <c r="P48" s="23"/>
      <c r="Q48" s="23"/>
    </row>
    <row r="49" customFormat="false" ht="23.25" hidden="false" customHeight="true" outlineLevel="0" collapsed="false">
      <c r="A49" s="21" t="s">
        <v>277</v>
      </c>
      <c r="B49" s="21" t="s">
        <v>267</v>
      </c>
      <c r="C49" s="21" t="s">
        <v>278</v>
      </c>
      <c r="D49" s="21" t="s">
        <v>89</v>
      </c>
      <c r="E49" s="21" t="s">
        <v>163</v>
      </c>
      <c r="F49" s="21" t="n">
        <v>4</v>
      </c>
      <c r="G49" s="21" t="s">
        <v>271</v>
      </c>
      <c r="H49" s="21" t="s">
        <v>272</v>
      </c>
      <c r="I49" s="21" t="s">
        <v>71</v>
      </c>
      <c r="J49" s="22" t="str">
        <f aca="false">IF(F49=5,"Y","")</f>
        <v/>
      </c>
      <c r="K49" s="21"/>
      <c r="L49" s="22" t="n">
        <f aca="false">IF(Scoring!$B$5=1,1,IF(Scoring!$B$5=2,IF(J49="Y",1,0),IF(K49="Y",1,0)))</f>
        <v>1</v>
      </c>
      <c r="M49" s="23"/>
      <c r="N49" s="23"/>
      <c r="O49" s="23"/>
      <c r="P49" s="23"/>
      <c r="Q49" s="23"/>
    </row>
    <row r="50" customFormat="false" ht="23.25" hidden="false" customHeight="true" outlineLevel="0" collapsed="false">
      <c r="A50" s="21" t="s">
        <v>279</v>
      </c>
      <c r="B50" s="21" t="s">
        <v>267</v>
      </c>
      <c r="C50" s="21" t="s">
        <v>280</v>
      </c>
      <c r="D50" s="21" t="s">
        <v>74</v>
      </c>
      <c r="E50" s="21" t="s">
        <v>281</v>
      </c>
      <c r="F50" s="21" t="n">
        <v>3</v>
      </c>
      <c r="G50" s="21" t="s">
        <v>282</v>
      </c>
      <c r="H50" s="21" t="s">
        <v>272</v>
      </c>
      <c r="I50" s="21" t="s">
        <v>71</v>
      </c>
      <c r="J50" s="22" t="str">
        <f aca="false">IF(F50=5,"Y","")</f>
        <v/>
      </c>
      <c r="K50" s="21"/>
      <c r="L50" s="22" t="n">
        <f aca="false">IF(Scoring!$B$5=1,1,IF(Scoring!$B$5=2,IF(J50="Y",1,0),IF(K50="Y",1,0)))</f>
        <v>1</v>
      </c>
      <c r="M50" s="23"/>
      <c r="N50" s="23"/>
      <c r="O50" s="23"/>
      <c r="P50" s="23"/>
      <c r="Q50" s="23"/>
    </row>
    <row r="51" customFormat="false" ht="23.25" hidden="false" customHeight="true" outlineLevel="0" collapsed="false">
      <c r="A51" s="21" t="s">
        <v>283</v>
      </c>
      <c r="B51" s="21" t="s">
        <v>284</v>
      </c>
      <c r="C51" s="21" t="s">
        <v>285</v>
      </c>
      <c r="D51" s="21" t="s">
        <v>84</v>
      </c>
      <c r="E51" s="21" t="s">
        <v>286</v>
      </c>
      <c r="F51" s="21" t="n">
        <v>5</v>
      </c>
      <c r="G51" s="21" t="s">
        <v>287</v>
      </c>
      <c r="H51" s="21" t="s">
        <v>288</v>
      </c>
      <c r="I51" s="21" t="s">
        <v>71</v>
      </c>
      <c r="J51" s="22" t="str">
        <f aca="false">IF(F51=5,"Y","")</f>
        <v>Y</v>
      </c>
      <c r="K51" s="21"/>
      <c r="L51" s="22" t="n">
        <f aca="false">IF(Scoring!$B$5=1,1,IF(Scoring!$B$5=2,IF(J51="Y",1,0),IF(K51="Y",1,0)))</f>
        <v>1</v>
      </c>
      <c r="M51" s="23"/>
      <c r="N51" s="23"/>
      <c r="O51" s="23"/>
      <c r="P51" s="23"/>
      <c r="Q51" s="23"/>
    </row>
    <row r="52" customFormat="false" ht="23.25" hidden="false" customHeight="true" outlineLevel="0" collapsed="false">
      <c r="A52" s="21" t="s">
        <v>289</v>
      </c>
      <c r="B52" s="21" t="s">
        <v>284</v>
      </c>
      <c r="C52" s="21" t="s">
        <v>290</v>
      </c>
      <c r="D52" s="21" t="s">
        <v>158</v>
      </c>
      <c r="E52" s="21" t="s">
        <v>291</v>
      </c>
      <c r="F52" s="21" t="n">
        <v>5</v>
      </c>
      <c r="G52" s="21" t="s">
        <v>292</v>
      </c>
      <c r="H52" s="21" t="s">
        <v>293</v>
      </c>
      <c r="I52" s="21" t="s">
        <v>71</v>
      </c>
      <c r="J52" s="22" t="str">
        <f aca="false">IF(F52=5,"Y","")</f>
        <v>Y</v>
      </c>
      <c r="K52" s="21" t="s">
        <v>71</v>
      </c>
      <c r="L52" s="22" t="n">
        <f aca="false">IF(Scoring!$B$5=1,1,IF(Scoring!$B$5=2,IF(J52="Y",1,0),IF(K52="Y",1,0)))</f>
        <v>1</v>
      </c>
      <c r="M52" s="23"/>
      <c r="N52" s="23"/>
      <c r="O52" s="23"/>
      <c r="P52" s="23"/>
      <c r="Q52" s="23"/>
    </row>
    <row r="53" customFormat="false" ht="23.25" hidden="false" customHeight="true" outlineLevel="0" collapsed="false">
      <c r="A53" s="21" t="s">
        <v>294</v>
      </c>
      <c r="B53" s="21" t="s">
        <v>284</v>
      </c>
      <c r="C53" s="21" t="s">
        <v>295</v>
      </c>
      <c r="D53" s="21" t="s">
        <v>122</v>
      </c>
      <c r="E53" s="21" t="s">
        <v>296</v>
      </c>
      <c r="F53" s="21" t="n">
        <v>4</v>
      </c>
      <c r="G53" s="21" t="s">
        <v>297</v>
      </c>
      <c r="H53" s="21" t="s">
        <v>293</v>
      </c>
      <c r="I53" s="21" t="s">
        <v>71</v>
      </c>
      <c r="J53" s="22" t="str">
        <f aca="false">IF(F53=5,"Y","")</f>
        <v/>
      </c>
      <c r="K53" s="21"/>
      <c r="L53" s="22" t="n">
        <f aca="false">IF(Scoring!$B$5=1,1,IF(Scoring!$B$5=2,IF(J53="Y",1,0),IF(K53="Y",1,0)))</f>
        <v>1</v>
      </c>
      <c r="M53" s="23"/>
      <c r="N53" s="23"/>
      <c r="O53" s="23"/>
      <c r="P53" s="23"/>
      <c r="Q53" s="23"/>
    </row>
    <row r="54" customFormat="false" ht="23.25" hidden="false" customHeight="true" outlineLevel="0" collapsed="false">
      <c r="A54" s="21" t="s">
        <v>298</v>
      </c>
      <c r="B54" s="21" t="s">
        <v>284</v>
      </c>
      <c r="C54" s="21" t="s">
        <v>299</v>
      </c>
      <c r="D54" s="21" t="s">
        <v>74</v>
      </c>
      <c r="E54" s="21" t="s">
        <v>300</v>
      </c>
      <c r="F54" s="21" t="n">
        <v>5</v>
      </c>
      <c r="G54" s="21" t="s">
        <v>301</v>
      </c>
      <c r="H54" s="21" t="s">
        <v>302</v>
      </c>
      <c r="I54" s="21" t="s">
        <v>71</v>
      </c>
      <c r="J54" s="22" t="str">
        <f aca="false">IF(F54=5,"Y","")</f>
        <v>Y</v>
      </c>
      <c r="K54" s="21"/>
      <c r="L54" s="22" t="n">
        <f aca="false">IF(Scoring!$B$5=1,1,IF(Scoring!$B$5=2,IF(J54="Y",1,0),IF(K54="Y",1,0)))</f>
        <v>1</v>
      </c>
      <c r="M54" s="23"/>
      <c r="N54" s="23"/>
      <c r="O54" s="23"/>
      <c r="P54" s="23"/>
      <c r="Q54" s="23"/>
    </row>
    <row r="55" customFormat="false" ht="23.25" hidden="false" customHeight="true" outlineLevel="0" collapsed="false">
      <c r="A55" s="21" t="s">
        <v>303</v>
      </c>
      <c r="B55" s="21" t="s">
        <v>284</v>
      </c>
      <c r="C55" s="21" t="s">
        <v>304</v>
      </c>
      <c r="D55" s="21" t="s">
        <v>89</v>
      </c>
      <c r="E55" s="21" t="s">
        <v>305</v>
      </c>
      <c r="F55" s="21" t="n">
        <v>3</v>
      </c>
      <c r="G55" s="21" t="s">
        <v>306</v>
      </c>
      <c r="H55" s="21" t="s">
        <v>302</v>
      </c>
      <c r="I55" s="21" t="s">
        <v>71</v>
      </c>
      <c r="J55" s="22" t="str">
        <f aca="false">IF(F55=5,"Y","")</f>
        <v/>
      </c>
      <c r="K55" s="21"/>
      <c r="L55" s="22" t="n">
        <f aca="false">IF(Scoring!$B$5=1,1,IF(Scoring!$B$5=2,IF(J55="Y",1,0),IF(K55="Y",1,0)))</f>
        <v>1</v>
      </c>
      <c r="M55" s="23"/>
      <c r="N55" s="23"/>
      <c r="O55" s="23"/>
      <c r="P55" s="23"/>
      <c r="Q55" s="23"/>
    </row>
    <row r="56" customFormat="false" ht="23.25" hidden="false" customHeight="true" outlineLevel="0" collapsed="false">
      <c r="A56" s="21" t="s">
        <v>307</v>
      </c>
      <c r="B56" s="21" t="s">
        <v>308</v>
      </c>
      <c r="C56" s="21" t="s">
        <v>309</v>
      </c>
      <c r="D56" s="21" t="s">
        <v>122</v>
      </c>
      <c r="E56" s="21" t="s">
        <v>310</v>
      </c>
      <c r="F56" s="21" t="n">
        <v>4</v>
      </c>
      <c r="G56" s="21" t="s">
        <v>311</v>
      </c>
      <c r="H56" s="21" t="s">
        <v>312</v>
      </c>
      <c r="I56" s="21" t="s">
        <v>71</v>
      </c>
      <c r="J56" s="22" t="str">
        <f aca="false">IF(F56=5,"Y","")</f>
        <v/>
      </c>
      <c r="K56" s="21"/>
      <c r="L56" s="22" t="n">
        <f aca="false">IF(Scoring!$B$5=1,1,IF(Scoring!$B$5=2,IF(J56="Y",1,0),IF(K56="Y",1,0)))</f>
        <v>1</v>
      </c>
      <c r="M56" s="23"/>
      <c r="N56" s="23"/>
      <c r="O56" s="23"/>
      <c r="P56" s="23"/>
      <c r="Q56" s="23"/>
    </row>
    <row r="57" customFormat="false" ht="23.25" hidden="false" customHeight="true" outlineLevel="0" collapsed="false">
      <c r="A57" s="21" t="s">
        <v>313</v>
      </c>
      <c r="B57" s="21" t="s">
        <v>308</v>
      </c>
      <c r="C57" s="21" t="s">
        <v>314</v>
      </c>
      <c r="D57" s="21" t="s">
        <v>122</v>
      </c>
      <c r="E57" s="21" t="s">
        <v>315</v>
      </c>
      <c r="F57" s="21" t="n">
        <v>5</v>
      </c>
      <c r="G57" s="21" t="s">
        <v>316</v>
      </c>
      <c r="H57" s="21" t="s">
        <v>317</v>
      </c>
      <c r="I57" s="21" t="s">
        <v>71</v>
      </c>
      <c r="J57" s="22" t="str">
        <f aca="false">IF(F57=5,"Y","")</f>
        <v>Y</v>
      </c>
      <c r="K57" s="21"/>
      <c r="L57" s="22" t="n">
        <f aca="false">IF(Scoring!$B$5=1,1,IF(Scoring!$B$5=2,IF(J57="Y",1,0),IF(K57="Y",1,0)))</f>
        <v>1</v>
      </c>
      <c r="M57" s="23"/>
      <c r="N57" s="23"/>
      <c r="O57" s="23"/>
      <c r="P57" s="23"/>
      <c r="Q57" s="23"/>
    </row>
    <row r="58" customFormat="false" ht="23.25" hidden="false" customHeight="true" outlineLevel="0" collapsed="false">
      <c r="A58" s="21" t="s">
        <v>318</v>
      </c>
      <c r="B58" s="21" t="s">
        <v>308</v>
      </c>
      <c r="C58" s="21" t="s">
        <v>319</v>
      </c>
      <c r="D58" s="21" t="s">
        <v>320</v>
      </c>
      <c r="E58" s="21" t="s">
        <v>321</v>
      </c>
      <c r="F58" s="21" t="n">
        <v>5</v>
      </c>
      <c r="G58" s="21" t="s">
        <v>311</v>
      </c>
      <c r="H58" s="21" t="s">
        <v>317</v>
      </c>
      <c r="I58" s="21" t="s">
        <v>71</v>
      </c>
      <c r="J58" s="22" t="str">
        <f aca="false">IF(F58=5,"Y","")</f>
        <v>Y</v>
      </c>
      <c r="K58" s="21"/>
      <c r="L58" s="22" t="n">
        <f aca="false">IF(Scoring!$B$5=1,1,IF(Scoring!$B$5=2,IF(J58="Y",1,0),IF(K58="Y",1,0)))</f>
        <v>1</v>
      </c>
      <c r="M58" s="23"/>
      <c r="N58" s="23"/>
      <c r="O58" s="23"/>
      <c r="P58" s="23"/>
      <c r="Q58" s="23"/>
    </row>
    <row r="59" customFormat="false" ht="23.25" hidden="false" customHeight="true" outlineLevel="0" collapsed="false">
      <c r="A59" s="21" t="s">
        <v>322</v>
      </c>
      <c r="B59" s="21" t="s">
        <v>308</v>
      </c>
      <c r="C59" s="21" t="s">
        <v>323</v>
      </c>
      <c r="D59" s="21" t="s">
        <v>254</v>
      </c>
      <c r="E59" s="21" t="s">
        <v>324</v>
      </c>
      <c r="F59" s="21" t="n">
        <v>4</v>
      </c>
      <c r="G59" s="21" t="s">
        <v>325</v>
      </c>
      <c r="H59" s="21" t="s">
        <v>317</v>
      </c>
      <c r="I59" s="21" t="s">
        <v>71</v>
      </c>
      <c r="J59" s="22" t="str">
        <f aca="false">IF(F59=5,"Y","")</f>
        <v/>
      </c>
      <c r="K59" s="21"/>
      <c r="L59" s="22" t="n">
        <f aca="false">IF(Scoring!$B$5=1,1,IF(Scoring!$B$5=2,IF(J59="Y",1,0),IF(K59="Y",1,0)))</f>
        <v>1</v>
      </c>
      <c r="M59" s="23"/>
      <c r="N59" s="23"/>
      <c r="O59" s="23"/>
      <c r="P59" s="23"/>
      <c r="Q59" s="23"/>
    </row>
    <row r="60" customFormat="false" ht="23.25" hidden="false" customHeight="true" outlineLevel="0" collapsed="false">
      <c r="A60" s="21" t="s">
        <v>326</v>
      </c>
      <c r="B60" s="21" t="s">
        <v>308</v>
      </c>
      <c r="C60" s="21" t="s">
        <v>327</v>
      </c>
      <c r="D60" s="21" t="s">
        <v>74</v>
      </c>
      <c r="E60" s="21" t="s">
        <v>328</v>
      </c>
      <c r="F60" s="21" t="n">
        <v>4</v>
      </c>
      <c r="G60" s="21" t="s">
        <v>329</v>
      </c>
      <c r="H60" s="21" t="s">
        <v>317</v>
      </c>
      <c r="I60" s="21" t="s">
        <v>71</v>
      </c>
      <c r="J60" s="22" t="str">
        <f aca="false">IF(F60=5,"Y","")</f>
        <v/>
      </c>
      <c r="K60" s="21"/>
      <c r="L60" s="22" t="n">
        <f aca="false">IF(Scoring!$B$5=1,1,IF(Scoring!$B$5=2,IF(J60="Y",1,0),IF(K60="Y",1,0)))</f>
        <v>1</v>
      </c>
      <c r="M60" s="23"/>
      <c r="N60" s="23"/>
      <c r="O60" s="23"/>
      <c r="P60" s="23"/>
      <c r="Q60" s="23"/>
    </row>
    <row r="61" customFormat="false" ht="23.25" hidden="false" customHeight="true" outlineLevel="0" collapsed="false">
      <c r="A61" s="21" t="s">
        <v>330</v>
      </c>
      <c r="B61" s="21" t="s">
        <v>331</v>
      </c>
      <c r="C61" s="21" t="s">
        <v>332</v>
      </c>
      <c r="D61" s="21" t="s">
        <v>74</v>
      </c>
      <c r="E61" s="21" t="s">
        <v>333</v>
      </c>
      <c r="F61" s="21" t="n">
        <v>3</v>
      </c>
      <c r="G61" s="21" t="s">
        <v>334</v>
      </c>
      <c r="H61" s="21" t="s">
        <v>335</v>
      </c>
      <c r="I61" s="21" t="s">
        <v>71</v>
      </c>
      <c r="J61" s="22" t="str">
        <f aca="false">IF(F61=5,"Y","")</f>
        <v/>
      </c>
      <c r="K61" s="21"/>
      <c r="L61" s="22" t="n">
        <f aca="false">IF(Scoring!$B$5=1,1,IF(Scoring!$B$5=2,IF(J61="Y",1,0),IF(K61="Y",1,0)))</f>
        <v>1</v>
      </c>
      <c r="M61" s="23"/>
      <c r="N61" s="23"/>
      <c r="O61" s="23"/>
      <c r="P61" s="23"/>
      <c r="Q61" s="23"/>
    </row>
    <row r="62" customFormat="false" ht="23.25" hidden="false" customHeight="true" outlineLevel="0" collapsed="false">
      <c r="A62" s="21" t="s">
        <v>336</v>
      </c>
      <c r="B62" s="21" t="s">
        <v>331</v>
      </c>
      <c r="C62" s="21" t="s">
        <v>337</v>
      </c>
      <c r="D62" s="21" t="s">
        <v>89</v>
      </c>
      <c r="E62" s="21" t="s">
        <v>338</v>
      </c>
      <c r="F62" s="21" t="n">
        <v>3</v>
      </c>
      <c r="G62" s="21" t="s">
        <v>339</v>
      </c>
      <c r="H62" s="21" t="s">
        <v>335</v>
      </c>
      <c r="I62" s="21" t="s">
        <v>71</v>
      </c>
      <c r="J62" s="22" t="str">
        <f aca="false">IF(F62=5,"Y","")</f>
        <v/>
      </c>
      <c r="K62" s="21"/>
      <c r="L62" s="22" t="n">
        <f aca="false">IF(Scoring!$B$5=1,1,IF(Scoring!$B$5=2,IF(J62="Y",1,0),IF(K62="Y",1,0)))</f>
        <v>1</v>
      </c>
      <c r="M62" s="23"/>
      <c r="N62" s="23"/>
      <c r="O62" s="23"/>
      <c r="P62" s="23"/>
      <c r="Q62" s="23"/>
    </row>
    <row r="63" customFormat="false" ht="23.25" hidden="false" customHeight="true" outlineLevel="0" collapsed="false">
      <c r="A63" s="21" t="s">
        <v>340</v>
      </c>
      <c r="B63" s="21" t="s">
        <v>331</v>
      </c>
      <c r="C63" s="21" t="s">
        <v>341</v>
      </c>
      <c r="D63" s="21" t="s">
        <v>342</v>
      </c>
      <c r="E63" s="21" t="s">
        <v>343</v>
      </c>
      <c r="F63" s="21" t="n">
        <v>3</v>
      </c>
      <c r="G63" s="21" t="s">
        <v>344</v>
      </c>
      <c r="H63" s="21" t="s">
        <v>335</v>
      </c>
      <c r="I63" s="21" t="s">
        <v>71</v>
      </c>
      <c r="J63" s="22" t="str">
        <f aca="false">IF(F63=5,"Y","")</f>
        <v/>
      </c>
      <c r="K63" s="21"/>
      <c r="L63" s="22" t="n">
        <f aca="false">IF(Scoring!$B$5=1,1,IF(Scoring!$B$5=2,IF(J63="Y",1,0),IF(K63="Y",1,0)))</f>
        <v>1</v>
      </c>
      <c r="M63" s="23"/>
      <c r="N63" s="23"/>
      <c r="O63" s="23"/>
      <c r="P63" s="23"/>
      <c r="Q63" s="23"/>
    </row>
    <row r="64" customFormat="false" ht="23.25" hidden="false" customHeight="true" outlineLevel="0" collapsed="false">
      <c r="A64" s="21" t="s">
        <v>345</v>
      </c>
      <c r="B64" s="21" t="s">
        <v>331</v>
      </c>
      <c r="C64" s="21" t="s">
        <v>346</v>
      </c>
      <c r="D64" s="21" t="s">
        <v>74</v>
      </c>
      <c r="E64" s="21" t="s">
        <v>347</v>
      </c>
      <c r="F64" s="21" t="n">
        <v>2</v>
      </c>
      <c r="G64" s="21" t="s">
        <v>344</v>
      </c>
      <c r="H64" s="21" t="s">
        <v>335</v>
      </c>
      <c r="I64" s="21" t="s">
        <v>71</v>
      </c>
      <c r="J64" s="22" t="str">
        <f aca="false">IF(F64=5,"Y","")</f>
        <v/>
      </c>
      <c r="K64" s="21"/>
      <c r="L64" s="22" t="n">
        <f aca="false">IF(Scoring!$B$5=1,1,IF(Scoring!$B$5=2,IF(J64="Y",1,0),IF(K64="Y",1,0)))</f>
        <v>1</v>
      </c>
      <c r="M64" s="23"/>
      <c r="N64" s="23"/>
      <c r="O64" s="23"/>
      <c r="P64" s="23"/>
      <c r="Q64" s="23"/>
    </row>
    <row r="65" customFormat="false" ht="23.25" hidden="false" customHeight="true" outlineLevel="0" collapsed="false">
      <c r="A65" s="21" t="s">
        <v>348</v>
      </c>
      <c r="B65" s="21" t="s">
        <v>349</v>
      </c>
      <c r="C65" s="21" t="s">
        <v>350</v>
      </c>
      <c r="D65" s="21" t="s">
        <v>122</v>
      </c>
      <c r="E65" s="21" t="s">
        <v>351</v>
      </c>
      <c r="F65" s="21" t="n">
        <v>3</v>
      </c>
      <c r="G65" s="21" t="s">
        <v>352</v>
      </c>
      <c r="H65" s="21" t="s">
        <v>312</v>
      </c>
      <c r="I65" s="21" t="s">
        <v>71</v>
      </c>
      <c r="J65" s="22" t="str">
        <f aca="false">IF(F65=5,"Y","")</f>
        <v/>
      </c>
      <c r="K65" s="21"/>
      <c r="L65" s="22" t="n">
        <f aca="false">IF(Scoring!$B$5=1,1,IF(Scoring!$B$5=2,IF(J65="Y",1,0),IF(K65="Y",1,0)))</f>
        <v>1</v>
      </c>
      <c r="M65" s="23"/>
      <c r="N65" s="23"/>
      <c r="O65" s="23"/>
      <c r="P65" s="23"/>
      <c r="Q65" s="23"/>
    </row>
    <row r="66" customFormat="false" ht="23.25" hidden="false" customHeight="true" outlineLevel="0" collapsed="false">
      <c r="A66" s="21" t="s">
        <v>353</v>
      </c>
      <c r="B66" s="21" t="s">
        <v>349</v>
      </c>
      <c r="C66" s="21" t="s">
        <v>354</v>
      </c>
      <c r="D66" s="21" t="s">
        <v>89</v>
      </c>
      <c r="E66" s="21" t="s">
        <v>355</v>
      </c>
      <c r="F66" s="21" t="n">
        <v>3</v>
      </c>
      <c r="G66" s="21" t="s">
        <v>356</v>
      </c>
      <c r="H66" s="21" t="s">
        <v>312</v>
      </c>
      <c r="I66" s="21" t="s">
        <v>71</v>
      </c>
      <c r="J66" s="22" t="str">
        <f aca="false">IF(F66=5,"Y","")</f>
        <v/>
      </c>
      <c r="K66" s="21"/>
      <c r="L66" s="22" t="n">
        <f aca="false">IF(Scoring!$B$5=1,1,IF(Scoring!$B$5=2,IF(J66="Y",1,0),IF(K66="Y",1,0)))</f>
        <v>1</v>
      </c>
      <c r="M66" s="23"/>
      <c r="N66" s="23"/>
      <c r="O66" s="23"/>
      <c r="P66" s="23"/>
      <c r="Q66" s="23"/>
    </row>
    <row r="67" customFormat="false" ht="23.25" hidden="false" customHeight="true" outlineLevel="0" collapsed="false">
      <c r="A67" s="21" t="s">
        <v>357</v>
      </c>
      <c r="B67" s="21" t="s">
        <v>349</v>
      </c>
      <c r="C67" s="21" t="s">
        <v>358</v>
      </c>
      <c r="D67" s="21" t="s">
        <v>74</v>
      </c>
      <c r="E67" s="21" t="s">
        <v>359</v>
      </c>
      <c r="F67" s="21" t="n">
        <v>2</v>
      </c>
      <c r="G67" s="21" t="s">
        <v>360</v>
      </c>
      <c r="H67" s="21" t="s">
        <v>170</v>
      </c>
      <c r="I67" s="21" t="s">
        <v>71</v>
      </c>
      <c r="J67" s="22" t="str">
        <f aca="false">IF(F67=5,"Y","")</f>
        <v/>
      </c>
      <c r="K67" s="21"/>
      <c r="L67" s="22" t="n">
        <f aca="false">IF(Scoring!$B$5=1,1,IF(Scoring!$B$5=2,IF(J67="Y",1,0),IF(K67="Y",1,0)))</f>
        <v>1</v>
      </c>
      <c r="M67" s="23"/>
      <c r="N67" s="23"/>
      <c r="O67" s="23"/>
      <c r="P67" s="23"/>
      <c r="Q67" s="23"/>
    </row>
    <row r="68" customFormat="false" ht="23.25" hidden="false" customHeight="true" outlineLevel="0" collapsed="false">
      <c r="A68" s="21" t="s">
        <v>361</v>
      </c>
      <c r="B68" s="21" t="s">
        <v>362</v>
      </c>
      <c r="C68" s="21" t="s">
        <v>363</v>
      </c>
      <c r="D68" s="21" t="s">
        <v>74</v>
      </c>
      <c r="E68" s="21" t="s">
        <v>364</v>
      </c>
      <c r="F68" s="21" t="n">
        <v>5</v>
      </c>
      <c r="G68" s="21" t="s">
        <v>365</v>
      </c>
      <c r="H68" s="21" t="s">
        <v>112</v>
      </c>
      <c r="I68" s="21" t="s">
        <v>71</v>
      </c>
      <c r="J68" s="22" t="str">
        <f aca="false">IF(F68=5,"Y","")</f>
        <v>Y</v>
      </c>
      <c r="K68" s="21"/>
      <c r="L68" s="22" t="n">
        <f aca="false">IF(Scoring!$B$5=1,1,IF(Scoring!$B$5=2,IF(J68="Y",1,0),IF(K68="Y",1,0)))</f>
        <v>1</v>
      </c>
      <c r="M68" s="23"/>
      <c r="N68" s="23"/>
      <c r="O68" s="23"/>
      <c r="P68" s="23"/>
      <c r="Q68" s="23"/>
    </row>
    <row r="69" customFormat="false" ht="23.25" hidden="false" customHeight="true" outlineLevel="0" collapsed="false">
      <c r="A69" s="21" t="s">
        <v>366</v>
      </c>
      <c r="B69" s="21" t="s">
        <v>362</v>
      </c>
      <c r="C69" s="21" t="s">
        <v>367</v>
      </c>
      <c r="D69" s="21" t="s">
        <v>89</v>
      </c>
      <c r="E69" s="21" t="s">
        <v>368</v>
      </c>
      <c r="F69" s="21" t="n">
        <v>5</v>
      </c>
      <c r="G69" s="21" t="s">
        <v>369</v>
      </c>
      <c r="H69" s="21" t="s">
        <v>112</v>
      </c>
      <c r="I69" s="21" t="s">
        <v>71</v>
      </c>
      <c r="J69" s="22" t="str">
        <f aca="false">IF(F69=5,"Y","")</f>
        <v>Y</v>
      </c>
      <c r="K69" s="21" t="s">
        <v>71</v>
      </c>
      <c r="L69" s="22" t="n">
        <f aca="false">IF(Scoring!$B$5=1,1,IF(Scoring!$B$5=2,IF(J69="Y",1,0),IF(K69="Y",1,0)))</f>
        <v>1</v>
      </c>
      <c r="M69" s="23"/>
      <c r="N69" s="23"/>
      <c r="O69" s="23"/>
      <c r="P69" s="23"/>
      <c r="Q69" s="23"/>
    </row>
    <row r="70" customFormat="false" ht="23.25" hidden="false" customHeight="true" outlineLevel="0" collapsed="false">
      <c r="A70" s="21" t="s">
        <v>370</v>
      </c>
      <c r="B70" s="21" t="s">
        <v>362</v>
      </c>
      <c r="C70" s="21" t="s">
        <v>371</v>
      </c>
      <c r="D70" s="21" t="s">
        <v>74</v>
      </c>
      <c r="E70" s="21" t="s">
        <v>372</v>
      </c>
      <c r="F70" s="21" t="n">
        <v>5</v>
      </c>
      <c r="G70" s="21" t="s">
        <v>193</v>
      </c>
      <c r="H70" s="21" t="s">
        <v>112</v>
      </c>
      <c r="I70" s="21" t="s">
        <v>71</v>
      </c>
      <c r="J70" s="22" t="str">
        <f aca="false">IF(F70=5,"Y","")</f>
        <v>Y</v>
      </c>
      <c r="K70" s="21"/>
      <c r="L70" s="22" t="n">
        <f aca="false">IF(Scoring!$B$5=1,1,IF(Scoring!$B$5=2,IF(J70="Y",1,0),IF(K70="Y",1,0)))</f>
        <v>1</v>
      </c>
      <c r="M70" s="23"/>
      <c r="N70" s="23"/>
      <c r="O70" s="23"/>
      <c r="P70" s="23"/>
      <c r="Q70" s="23"/>
    </row>
    <row r="71" customFormat="false" ht="23.25" hidden="false" customHeight="true" outlineLevel="0" collapsed="false">
      <c r="A71" s="21" t="s">
        <v>373</v>
      </c>
      <c r="B71" s="21" t="s">
        <v>362</v>
      </c>
      <c r="C71" s="21" t="s">
        <v>374</v>
      </c>
      <c r="D71" s="21" t="s">
        <v>122</v>
      </c>
      <c r="E71" s="21" t="s">
        <v>375</v>
      </c>
      <c r="F71" s="21" t="n">
        <v>5</v>
      </c>
      <c r="G71" s="21" t="s">
        <v>111</v>
      </c>
      <c r="H71" s="21" t="s">
        <v>112</v>
      </c>
      <c r="I71" s="21" t="s">
        <v>71</v>
      </c>
      <c r="J71" s="22" t="str">
        <f aca="false">IF(F71=5,"Y","")</f>
        <v>Y</v>
      </c>
      <c r="K71" s="21"/>
      <c r="L71" s="22" t="n">
        <f aca="false">IF(Scoring!$B$5=1,1,IF(Scoring!$B$5=2,IF(J71="Y",1,0),IF(K71="Y",1,0)))</f>
        <v>1</v>
      </c>
      <c r="M71" s="23"/>
      <c r="N71" s="23"/>
      <c r="O71" s="23"/>
      <c r="P71" s="23"/>
      <c r="Q71" s="23"/>
    </row>
    <row r="72" customFormat="false" ht="23.25" hidden="false" customHeight="true" outlineLevel="0" collapsed="false">
      <c r="A72" s="21" t="s">
        <v>376</v>
      </c>
      <c r="B72" s="21" t="s">
        <v>377</v>
      </c>
      <c r="C72" s="21" t="s">
        <v>378</v>
      </c>
      <c r="D72" s="21" t="s">
        <v>74</v>
      </c>
      <c r="E72" s="21" t="s">
        <v>220</v>
      </c>
      <c r="F72" s="21" t="n">
        <v>3</v>
      </c>
      <c r="G72" s="21" t="s">
        <v>379</v>
      </c>
      <c r="H72" s="21" t="s">
        <v>112</v>
      </c>
      <c r="I72" s="21" t="s">
        <v>71</v>
      </c>
      <c r="J72" s="22" t="str">
        <f aca="false">IF(F72=5,"Y","")</f>
        <v/>
      </c>
      <c r="K72" s="21"/>
      <c r="L72" s="22" t="n">
        <f aca="false">IF(Scoring!$B$5=1,1,IF(Scoring!$B$5=2,IF(J72="Y",1,0),IF(K72="Y",1,0)))</f>
        <v>1</v>
      </c>
      <c r="M72" s="23"/>
      <c r="N72" s="23"/>
      <c r="O72" s="23"/>
      <c r="P72" s="23"/>
      <c r="Q72" s="23"/>
    </row>
    <row r="73" customFormat="false" ht="23.25" hidden="false" customHeight="true" outlineLevel="0" collapsed="false">
      <c r="A73" s="21" t="s">
        <v>380</v>
      </c>
      <c r="B73" s="21" t="s">
        <v>377</v>
      </c>
      <c r="C73" s="21" t="s">
        <v>381</v>
      </c>
      <c r="D73" s="21" t="s">
        <v>74</v>
      </c>
      <c r="E73" s="21" t="s">
        <v>382</v>
      </c>
      <c r="F73" s="21" t="n">
        <v>3</v>
      </c>
      <c r="G73" s="21" t="s">
        <v>228</v>
      </c>
      <c r="H73" s="21" t="s">
        <v>112</v>
      </c>
      <c r="I73" s="21" t="s">
        <v>71</v>
      </c>
      <c r="J73" s="22" t="str">
        <f aca="false">IF(F73=5,"Y","")</f>
        <v/>
      </c>
      <c r="K73" s="21"/>
      <c r="L73" s="22" t="n">
        <f aca="false">IF(Scoring!$B$5=1,1,IF(Scoring!$B$5=2,IF(J73="Y",1,0),IF(K73="Y",1,0)))</f>
        <v>1</v>
      </c>
      <c r="M73" s="23"/>
      <c r="N73" s="23"/>
      <c r="O73" s="23"/>
      <c r="P73" s="23"/>
      <c r="Q73" s="23"/>
    </row>
    <row r="74" customFormat="false" ht="23.25" hidden="false" customHeight="true" outlineLevel="0" collapsed="false">
      <c r="A74" s="21" t="s">
        <v>383</v>
      </c>
      <c r="B74" s="21" t="s">
        <v>377</v>
      </c>
      <c r="C74" s="21" t="s">
        <v>384</v>
      </c>
      <c r="D74" s="21" t="s">
        <v>219</v>
      </c>
      <c r="E74" s="21" t="s">
        <v>385</v>
      </c>
      <c r="F74" s="21" t="n">
        <v>5</v>
      </c>
      <c r="G74" s="21" t="s">
        <v>386</v>
      </c>
      <c r="H74" s="21" t="s">
        <v>112</v>
      </c>
      <c r="I74" s="21" t="s">
        <v>71</v>
      </c>
      <c r="J74" s="22" t="str">
        <f aca="false">IF(F74=5,"Y","")</f>
        <v>Y</v>
      </c>
      <c r="K74" s="21" t="s">
        <v>71</v>
      </c>
      <c r="L74" s="22" t="n">
        <f aca="false">IF(Scoring!$B$5=1,1,IF(Scoring!$B$5=2,IF(J74="Y",1,0),IF(K74="Y",1,0)))</f>
        <v>1</v>
      </c>
      <c r="M74" s="23"/>
      <c r="N74" s="23"/>
      <c r="O74" s="23"/>
      <c r="P74" s="23"/>
      <c r="Q74" s="23"/>
    </row>
    <row r="75" customFormat="false" ht="23.25" hidden="false" customHeight="true" outlineLevel="0" collapsed="false">
      <c r="A75" s="21" t="s">
        <v>387</v>
      </c>
      <c r="B75" s="21" t="s">
        <v>377</v>
      </c>
      <c r="C75" s="21" t="s">
        <v>388</v>
      </c>
      <c r="D75" s="21" t="s">
        <v>74</v>
      </c>
      <c r="E75" s="21" t="s">
        <v>220</v>
      </c>
      <c r="F75" s="21" t="n">
        <v>3</v>
      </c>
      <c r="G75" s="21" t="s">
        <v>228</v>
      </c>
      <c r="H75" s="21" t="s">
        <v>112</v>
      </c>
      <c r="I75" s="21" t="s">
        <v>71</v>
      </c>
      <c r="J75" s="22" t="str">
        <f aca="false">IF(F75=5,"Y","")</f>
        <v/>
      </c>
      <c r="K75" s="21"/>
      <c r="L75" s="22" t="n">
        <f aca="false">IF(Scoring!$B$5=1,1,IF(Scoring!$B$5=2,IF(J75="Y",1,0),IF(K75="Y",1,0)))</f>
        <v>1</v>
      </c>
      <c r="M75" s="23"/>
      <c r="N75" s="23"/>
      <c r="O75" s="23"/>
      <c r="P75" s="23"/>
      <c r="Q75" s="23"/>
    </row>
  </sheetData>
  <autoFilter ref="A1:Q75"/>
  <conditionalFormatting sqref="O2:O75">
    <cfRule type="cellIs" priority="2" operator="equal" aboveAverage="0" equalAverage="0" bottom="0" percent="0" rank="0" text="" dxfId="0">
      <formula>"Not Met"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1">
      <formula>"Met"</formula>
    </cfRule>
  </conditionalFormatting>
  <dataValidations count="2">
    <dataValidation allowBlank="true" error="Pick a value from the dropdown." errorStyle="stop" errorTitle="Use a listed value" operator="between" showDropDown="false" showErrorMessage="true" showInputMessage="false" sqref="O2:O75" type="list">
      <formula1>"Met,Partial,Not Met,N/A"</formula1>
      <formula2>0</formula2>
    </dataValidation>
    <dataValidation allowBlank="true" error="Pick a value from the dropdown." errorStyle="stop" errorTitle="Use a listed value" operator="between" showDropDown="false" showErrorMessage="true" showInputMessage="false" sqref="N2:N7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2026-09-16T01:36:33Z</dcterms:created>
  <dc:creator>Olugboye Shola</dc:creator>
  <dc:description/>
  <dc:language>en-US</dc:language>
  <cp:lastModifiedBy>Olugboye Shola</cp:lastModifiedBy>
  <dcterms:modified xsi:type="dcterms:W3CDTF">2026-10-13T14:22:21Z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