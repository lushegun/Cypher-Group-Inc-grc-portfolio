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README" sheetId="1" state="visible" r:id="rId3"/>
    <sheet name="01_TSC_Crosswalk" sheetId="2" state="visible" r:id="rId4"/>
    <sheet name="02_Crosswalk_Map" sheetId="3" state="visible" r:id="rId5"/>
    <sheet name="03_AnnexA_Maturity" sheetId="4" state="visible" r:id="rId6"/>
    <sheet name="04_Clause_Readiness" sheetId="5" state="visible" r:id="rId7"/>
    <sheet name="05_Criteria_Selection" sheetId="6" state="visible" r:id="rId8"/>
    <sheet name="06_Readiness_Score" sheetId="7" state="visible" r:id="rId9"/>
    <sheet name="07_Gates" sheetId="8" state="visible" r:id="rId10"/>
    <sheet name="08_CUEC_Schedule" sheetId="9" state="visible" r:id="rId11"/>
    <sheet name="09_CSOC_and_Mirror" sheetId="10" state="visible" r:id="rId12"/>
    <sheet name="10_Framework_Overlap" sheetId="11" state="visible" r:id="rId13"/>
    <sheet name="11_Audit_Workpapers" sheetId="12" state="visible" r:id="rId14"/>
    <sheet name="12_Findings_Register" sheetId="13" state="visible" r:id="rId15"/>
    <sheet name="13_PBC_List" sheetId="14" state="visible" r:id="rId16"/>
    <sheet name="14_SOC2_Roadmap" sheetId="15" state="visible" r:id="rId17"/>
    <sheet name="15_Conflicts_and_Projection" sheetId="16" state="visible" r:id="rId18"/>
    <sheet name="16_Issue_Checklist"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<sst xmlns="http://schemas.openxmlformats.org/spreadsheetml/2006/main" count="3391" uniqueCount="1702">
  <si>
    <t xml:space="preserve">CGI-SOC-001 / CGI-IAU-001</t>
  </si>
  <si>
    <t xml:space="preserve">SOC 2 Type II Readiness Assessment and ISO 27001 Internal Audit Workpapers</t>
  </si>
  <si>
    <t xml:space="preserve">Organisation</t>
  </si>
  <si>
    <t xml:space="preserve">Cypher Group Inc. (SIMULATED) - 50 employees, B2B SaaS project-management platform, ~200 SMB customers</t>
  </si>
  <si>
    <t xml:space="preserve">CASE STUDY NOTICE</t>
  </si>
  <si>
    <t xml:space="preserve">Cypher Group Inc. is a simulated company. Every finding, score, date, cost and figure was created to demonstrate applied GRC methodology. Real product names are realistic stand-ins and every assurance status attributed to them is invented for the scenario. This is a portfolio artifact, not evidence of employment or of a real engagement.</t>
  </si>
  <si>
    <t xml:space="preserve">Criteria version</t>
  </si>
  <si>
    <t xml:space="preserve">AICPA 2017 Trust Services Criteria with the 2022 revised points of focus. Security (CC1-CC9), Availability (A1), Confidentiality (C1). Criteria wording is paraphrased; obtain the criteria from the AICPA.</t>
  </si>
  <si>
    <t xml:space="preserve">Standard version</t>
  </si>
  <si>
    <t xml:space="preserve">ISO/IEC 27001:2022 including Amd 1:2024. Requirement wording is paraphrased; obtain the standard from ISO or a national body.</t>
  </si>
  <si>
    <t xml:space="preserve">Prepared by</t>
  </si>
  <si>
    <t xml:space="preserve">O.S (assessor and internal auditor)</t>
  </si>
  <si>
    <t xml:space="preserve">Approved by</t>
  </si>
  <si>
    <t xml:space="preserve">Jerry Olugboye, Chief Executive Officer</t>
  </si>
  <si>
    <t xml:space="preserve">Date</t>
  </si>
  <si>
    <t xml:space="preserve">25 September 2026</t>
  </si>
  <si>
    <t xml:space="preserve">Inputs consumed</t>
  </si>
  <si>
    <t xml:space="preserve">CGI-POL-001 to -005 v1.0 | CGI-TRK-001 | EXC-001 to -003 | CGI-RSK-001 v1.1 (14 risks) | CGI-GAP-001 v1.0 (as updated by Project 4) | CGI-TPR-001 / -002 (17 vendors) | CGI-ISO-001 v1.0 draft (93-control SoA)</t>
  </si>
  <si>
    <t xml:space="preserve">INDEPENDENCE LIMITATION</t>
  </si>
  <si>
    <t xml:space="preserve">The auditor prepared CGI-ISO-001, including the Statement of Applicability tested in WP-06. ISO/IEC 27001 clause 9.2.2 c) requires auditor objectivity and impartiality. This engagement is therefore a DRY RUN: it delivers the method and the workpapers, not conformity with clause 9.2. See finding OFI-08.</t>
  </si>
  <si>
    <t xml:space="preserve">COLOUR LEGEND</t>
  </si>
  <si>
    <t xml:space="preserve">  Yellow</t>
  </si>
  <si>
    <t xml:space="preserve">User input - replace with your own data</t>
  </si>
  <si>
    <t xml:space="preserve">  Grey</t>
  </si>
  <si>
    <t xml:space="preserve">Formula - do not overtype</t>
  </si>
  <si>
    <t xml:space="preserve">  Green</t>
  </si>
  <si>
    <t xml:space="preserve">Pass / worked example</t>
  </si>
  <si>
    <t xml:space="preserve">  Red</t>
  </si>
  <si>
    <t xml:space="preserve">Fail / zero</t>
  </si>
  <si>
    <t xml:space="preserve">  Amber</t>
  </si>
  <si>
    <t xml:space="preserve">Partial / conditional</t>
  </si>
  <si>
    <t xml:space="preserve">SCORING METHOD</t>
  </si>
  <si>
    <t xml:space="preserve">Criterion Readiness Level (CRL) = mean of the mapped item maturities, banded: &lt;0.5=0, 0.5-1.49=1, 1.5-2.49=2, &gt;=2.5=3. Management-system requirements score 0-2 and convert 0-&gt;0, 1-&gt;2, 2-&gt;3. Design is Adequate only when CRL&gt;=2 AND no mapped control sits at maturity 0. Operating is Evidenced only at CRL 3. Type I readiness = SUM(MIN(CRL,2))/(38x2). Type II readiness = SUM(CRL)/(38x3). Gate override: any failed gate = NO-GO whatever the percentage.</t>
  </si>
  <si>
    <t xml:space="preserve">HOW TO USE</t>
  </si>
  <si>
    <t xml:space="preserve">1. Replace 03_AnnexA_Maturity and 04_Clause_Readiness with your own assessment. 2. Adjust 02_Crosswalk_Map if your control set differs. 3. Everything on 01_TSC_Crosswalk, 06_Readiness_Score and 07_Gates recalculates. 4. Recalculate the whole workbook before you publish: LibreOffice Ctrl+Shift+F9, Excel Ctrl+Alt+F9.</t>
  </si>
  <si>
    <t xml:space="preserve">GITHUB</t>
  </si>
  <si>
    <t xml:space="preserve">Upload to grc-portfolio/06-soc2-readiness-internal-audit/. Create folders by typing 06-soc2-readiness-internal-audit/filename as the file path; CodeCo has no 'new folder' button.</t>
  </si>
  <si>
    <t xml:space="preserve">NOTION</t>
  </si>
  <si>
    <t xml:space="preserve">Import each data/*.csv as a database. Set Rating, Status, Design verdict and Owner to Select; CRL, Mean and Maturity to Number; dates to Date.</t>
  </si>
  <si>
    <t xml:space="preserve">VERIFICATION</t>
  </si>
  <si>
    <t xml:space="preserve">16_Issue_Checklist must read PASS on every row before this workbook is published.</t>
  </si>
  <si>
    <t xml:space="preserve">Part 2 - the crosswalk. Columns H to O are formulas driven by 02_Crosswalk_Map. Nothing here is typed.</t>
  </si>
  <si>
    <t xml:space="preserve">Criterion</t>
  </si>
  <si>
    <t xml:space="preserve">TSC category</t>
  </si>
  <si>
    <t xml:space="preserve">Criteria group</t>
  </si>
  <si>
    <t xml:space="preserve">Criterion (paraphrased)</t>
  </si>
  <si>
    <t xml:space="preserve">2022 points of focus (summary)</t>
  </si>
  <si>
    <t xml:space="preserve">Mapped ISO Annex A controls</t>
  </si>
  <si>
    <t xml:space="preserve">Mapped ISO clauses</t>
  </si>
  <si>
    <t xml:space="preserve">Items scored</t>
  </si>
  <si>
    <t xml:space="preserve">Mean mapped maturity</t>
  </si>
  <si>
    <t xml:space="preserve">Zero-maturity items</t>
  </si>
  <si>
    <t xml:space="preserve">CRL (0-3)</t>
  </si>
  <si>
    <t xml:space="preserve">CRL capped at 2</t>
  </si>
  <si>
    <t xml:space="preserve">CRL meaning</t>
  </si>
  <si>
    <t xml:space="preserve">Design verdict</t>
  </si>
  <si>
    <t xml:space="preserve">Operating verdict</t>
  </si>
  <si>
    <t xml:space="preserve">Design holes (controls at maturity 0)</t>
  </si>
  <si>
    <t xml:space="preserve">Satisfied by an ISO control?</t>
  </si>
  <si>
    <t xml:space="preserve">Gate</t>
  </si>
  <si>
    <t xml:space="preserve">CC1.1</t>
  </si>
  <si>
    <t xml:space="preserve">Security</t>
  </si>
  <si>
    <t xml:space="preserve">CC1 Control Environment</t>
  </si>
  <si>
    <t xml:space="preserve">The entity demonstrates a commitment to integrity and ethical values</t>
  </si>
  <si>
    <t xml:space="preserve">PoF: tone at the top; standards of conduct; evaluation of adherence; deviations addressed.</t>
  </si>
  <si>
    <t xml:space="preserve">A.5.1; A.5.4; A.6.2; A.6.4; A.6.6</t>
  </si>
  <si>
    <t xml:space="preserve">5.1; 5.2</t>
  </si>
  <si>
    <t xml:space="preserve">A.6.2; A.6.4; A.6.6</t>
  </si>
  <si>
    <t xml:space="preserve">Partly - some mapped ISO controls are Not started</t>
  </si>
  <si>
    <t xml:space="preserve">-</t>
  </si>
  <si>
    <t xml:space="preserve">CC1.2</t>
  </si>
  <si>
    <t xml:space="preserve">The board of directors demonstrates independence from management and exercises oversight</t>
  </si>
  <si>
    <t xml:space="preserve">PoF: oversight responsibilities; independence and relevant expertise; oversight of the system of internal control.</t>
  </si>
  <si>
    <t xml:space="preserve">A.5.2; A.5.35; A.5.36</t>
  </si>
  <si>
    <t xml:space="preserve">5.1; 9.3.1</t>
  </si>
  <si>
    <t xml:space="preserve">A.5.35; 9.3.1</t>
  </si>
  <si>
    <t xml:space="preserve">SG-2</t>
  </si>
  <si>
    <t xml:space="preserve">CC1.3</t>
  </si>
  <si>
    <t xml:space="preserve">Management establishes structures, reporting lines, and appropriate authorities and responsibilities</t>
  </si>
  <si>
    <t xml:space="preserve">PoF: structures considered; reporting lines established; authorities and responsibilities assigned, limited and segregated.</t>
  </si>
  <si>
    <t xml:space="preserve">A.5.2; A.5.3</t>
  </si>
  <si>
    <t xml:space="preserve">5.3; 5.1</t>
  </si>
  <si>
    <t xml:space="preserve">none</t>
  </si>
  <si>
    <t xml:space="preserve">Yes - the same ISO controls satisfy both, at design level</t>
  </si>
  <si>
    <t xml:space="preserve">CC1.4</t>
  </si>
  <si>
    <t xml:space="preserve">The entity demonstrates a commitment to attract, develop and retain competent individuals</t>
  </si>
  <si>
    <t xml:space="preserve">PoF: policies and practices; competence evaluated; individuals developed; succession planned.</t>
  </si>
  <si>
    <t xml:space="preserve">A.6.1; A.6.3</t>
  </si>
  <si>
    <t xml:space="preserve">7.2; 7.3</t>
  </si>
  <si>
    <t xml:space="preserve">7.2</t>
  </si>
  <si>
    <t xml:space="preserve">CC1.5</t>
  </si>
  <si>
    <t xml:space="preserve">The entity holds individuals accountable for their internal control responsibilities</t>
  </si>
  <si>
    <t xml:space="preserve">PoF: accountability enforced through structures; performance measures; incentives and rewards; discipline applied.</t>
  </si>
  <si>
    <t xml:space="preserve">A.5.4; A.5.36; A.6.4</t>
  </si>
  <si>
    <t xml:space="preserve">5.3</t>
  </si>
  <si>
    <t xml:space="preserve">A.6.4</t>
  </si>
  <si>
    <t xml:space="preserve">CC2.1</t>
  </si>
  <si>
    <t xml:space="preserve">CC2 Communication and Information</t>
  </si>
  <si>
    <t xml:space="preserve">The entity obtains or generates and uses relevant, quality information to support internal control</t>
  </si>
  <si>
    <t xml:space="preserve">PoF: information requirements identified; internal and external data captured; data processed into information.</t>
  </si>
  <si>
    <t xml:space="preserve">A.5.9; A.5.7; A.8.15</t>
  </si>
  <si>
    <t xml:space="preserve">9.1</t>
  </si>
  <si>
    <t xml:space="preserve">A.5.7</t>
  </si>
  <si>
    <t xml:space="preserve">CC2.2</t>
  </si>
  <si>
    <t xml:space="preserve">The entity internally communicates information, including objectives and responsibilities for internal control</t>
  </si>
  <si>
    <t xml:space="preserve">PoF: communicates internal control information; communicates with the board; separate lines of communication exist.</t>
  </si>
  <si>
    <t xml:space="preserve">A.5.1; A.5.10; A.6.3; A.6.8</t>
  </si>
  <si>
    <t xml:space="preserve">7.3; 7.4</t>
  </si>
  <si>
    <t xml:space="preserve">CC2.3</t>
  </si>
  <si>
    <t xml:space="preserve">The entity communicates with external parties regarding matters affecting internal control</t>
  </si>
  <si>
    <t xml:space="preserve">PoF: communicates objectives and commitments to user entities; communicates responsibilities (CUECs); channels for external parties.</t>
  </si>
  <si>
    <t xml:space="preserve">A.5.5; A.5.14; A.5.20; A.6.6</t>
  </si>
  <si>
    <t xml:space="preserve">7.4; 4.2</t>
  </si>
  <si>
    <t xml:space="preserve">A.6.6</t>
  </si>
  <si>
    <t xml:space="preserve">SG-3</t>
  </si>
  <si>
    <t xml:space="preserve">CC3.1</t>
  </si>
  <si>
    <t xml:space="preserve">CC3 Risk Assessment</t>
  </si>
  <si>
    <t xml:space="preserve">The entity specifies objectives with sufficient clarity to enable identification and assessment of risks</t>
  </si>
  <si>
    <t xml:space="preserve">PoF: operations, reporting and compliance objectives specified; materiality considered; tolerances defined.</t>
  </si>
  <si>
    <t xml:space="preserve">A.5.1</t>
  </si>
  <si>
    <t xml:space="preserve">6.2; 4.1</t>
  </si>
  <si>
    <t xml:space="preserve">6.2</t>
  </si>
  <si>
    <t xml:space="preserve">CC3.2</t>
  </si>
  <si>
    <t xml:space="preserve">The entity identifies risks to the achievement of its objectives and analyses them as a basis for management</t>
  </si>
  <si>
    <t xml:space="preserve">PoF: risks identified at entity and activity level; likelihood and significance estimated; responses determined; vendors and business partners considered.</t>
  </si>
  <si>
    <t xml:space="preserve">A.5.7; A.8.8</t>
  </si>
  <si>
    <t xml:space="preserve">6.1.2; 8.2</t>
  </si>
  <si>
    <t xml:space="preserve">SG-4</t>
  </si>
  <si>
    <t xml:space="preserve">CC3.3</t>
  </si>
  <si>
    <t xml:space="preserve">The entity considers the potential for fraud in assessing risks</t>
  </si>
  <si>
    <t xml:space="preserve">PoF: fraudulent reporting, safeguarding of assets and corruption considered; incentives, pressures, opportunities, attitudes and rationalisations assessed.</t>
  </si>
  <si>
    <t xml:space="preserve">A.5.4; A.6.1; A.8.2; A.8.16</t>
  </si>
  <si>
    <t xml:space="preserve">6.1.2</t>
  </si>
  <si>
    <t xml:space="preserve">A.8.16</t>
  </si>
  <si>
    <t xml:space="preserve">CC3.4</t>
  </si>
  <si>
    <t xml:space="preserve">The entity identifies and assesses changes that could significantly affect the system of internal control</t>
  </si>
  <si>
    <t xml:space="preserve">PoF: changes in external environment, business model, leadership and technology assessed.</t>
  </si>
  <si>
    <t xml:space="preserve">A.5.8; A.8.32</t>
  </si>
  <si>
    <t xml:space="preserve">6.3; 8.2</t>
  </si>
  <si>
    <t xml:space="preserve">A.5.8; A.8.32; 6.3</t>
  </si>
  <si>
    <t xml:space="preserve">CC4.1</t>
  </si>
  <si>
    <t xml:space="preserve">CC4 Monitoring Activities</t>
  </si>
  <si>
    <t xml:space="preserve">The entity selects, develops and performs ongoing and separate evaluations of internal control</t>
  </si>
  <si>
    <t xml:space="preserve">PoF: mix of ongoing and separate evaluations; knowledgeable and objective evaluators; scope and frequency adjusted; baseline established.</t>
  </si>
  <si>
    <t xml:space="preserve">A.5.35; A.5.36; A.8.16</t>
  </si>
  <si>
    <t xml:space="preserve">9.1; 9.2.1; 9.2.2</t>
  </si>
  <si>
    <t xml:space="preserve">A.5.35; A.8.16; 9.2.1; 9.2.2</t>
  </si>
  <si>
    <t xml:space="preserve">CC4.2</t>
  </si>
  <si>
    <t xml:space="preserve">The entity evaluates and communicates internal control deficiencies in a timely manner</t>
  </si>
  <si>
    <t xml:space="preserve">PoF: results assessed; deficiencies communicated to those responsible and to senior management; corrective actions monitored.</t>
  </si>
  <si>
    <t xml:space="preserve">A.5.27; A.5.36</t>
  </si>
  <si>
    <t xml:space="preserve">9.3.2; 10.2</t>
  </si>
  <si>
    <t xml:space="preserve">CC5.1</t>
  </si>
  <si>
    <t xml:space="preserve">CC5 Control Activities</t>
  </si>
  <si>
    <t xml:space="preserve">The entity selects and develops control activities that mitigate risks to acceptable levels</t>
  </si>
  <si>
    <t xml:space="preserve">PoF: integration with risk assessment; entity-specific factors; relevant business processes; mix of control types; segregation of duties.</t>
  </si>
  <si>
    <t xml:space="preserve">6.1.3</t>
  </si>
  <si>
    <t xml:space="preserve">CC5.2</t>
  </si>
  <si>
    <t xml:space="preserve">The entity selects and develops general control activities over technology</t>
  </si>
  <si>
    <t xml:space="preserve">PoF: dependency between processes and technology; technology infrastructure, security management and acquisition/development/maintenance controls.</t>
  </si>
  <si>
    <t xml:space="preserve">A.8.9; A.8.20; A.8.32</t>
  </si>
  <si>
    <t xml:space="preserve">8.1</t>
  </si>
  <si>
    <t xml:space="preserve">CC5.3</t>
  </si>
  <si>
    <t xml:space="preserve">The entity deploys control activities through policies and procedures that put them into action</t>
  </si>
  <si>
    <t xml:space="preserve">PoF: policies and procedures established; responsibility and accountability assigned; performed timely by competent personnel; corrective action taken; periodically reassessed.</t>
  </si>
  <si>
    <t xml:space="preserve">A.5.1; A.5.36; A.5.37</t>
  </si>
  <si>
    <t xml:space="preserve">5.2; 7.5</t>
  </si>
  <si>
    <t xml:space="preserve">CC6.1</t>
  </si>
  <si>
    <t xml:space="preserve">CC6 Logical and Physical Access Controls</t>
  </si>
  <si>
    <t xml:space="preserve">The entity implements logical access security software, infrastructure and architectures over protected information assets</t>
  </si>
  <si>
    <t xml:space="preserve">PoF: assets identified and inventoried; access restricted and managed; network segmentation; points of access identified; encryption keys managed.</t>
  </si>
  <si>
    <t xml:space="preserve">A.5.15; A.5.16; A.8.2; A.8.3; A.8.5; A.8.20; A.8.22</t>
  </si>
  <si>
    <t xml:space="preserve">A.8.3; A.8.20; A.8.22</t>
  </si>
  <si>
    <t xml:space="preserve">SG-5</t>
  </si>
  <si>
    <t xml:space="preserve">CC6.2</t>
  </si>
  <si>
    <t xml:space="preserve">Prior to issuing credentials, the entity registers and authorises new internal and external users</t>
  </si>
  <si>
    <t xml:space="preserve">PoF: access requests authorised by asset owner; credentials issued on approval; access removed when no longer required.</t>
  </si>
  <si>
    <t xml:space="preserve">A.5.16; A.5.17; A.5.18; A.6.5</t>
  </si>
  <si>
    <t xml:space="preserve">CC6.3</t>
  </si>
  <si>
    <t xml:space="preserve">The entity authorises, modifies or removes access based on roles, responsibilities and least privilege</t>
  </si>
  <si>
    <t xml:space="preserve">PoF: role-based access; access reviewed periodically; least privilege and segregation of duties considered; removal on change or termination.</t>
  </si>
  <si>
    <t xml:space="preserve">A.5.3; A.5.11; A.5.15; A.5.18; A.6.5; A.8.2; A.8.3</t>
  </si>
  <si>
    <t xml:space="preserve">A.8.3</t>
  </si>
  <si>
    <t xml:space="preserve">CC6.4</t>
  </si>
  <si>
    <t xml:space="preserve">The entity restricts physical access to facilities and protected information assets</t>
  </si>
  <si>
    <t xml:space="preserve">PoF: physical access to facilities and to protected assets authorised, restricted and removed; visitor access managed.</t>
  </si>
  <si>
    <t xml:space="preserve">A.7.1; A.7.2; A.7.3</t>
  </si>
  <si>
    <t xml:space="preserve">No - every mapped ISO control is Not started</t>
  </si>
  <si>
    <t xml:space="preserve">CC6.5</t>
  </si>
  <si>
    <t xml:space="preserve">The entity discontinues logical and physical protections over physical assets only after ability to read data has been diminished</t>
  </si>
  <si>
    <t xml:space="preserve">PoF: data rendered unreadable before disposal; disposal of physical assets documented.</t>
  </si>
  <si>
    <t xml:space="preserve">A.7.10; A.7.14</t>
  </si>
  <si>
    <t xml:space="preserve">A.7.14</t>
  </si>
  <si>
    <t xml:space="preserve">CC6.6</t>
  </si>
  <si>
    <t xml:space="preserve">The entity implements logical access security measures against threats from sources outside its system boundaries</t>
  </si>
  <si>
    <t xml:space="preserve">PoF: access points restricted; identification and authentication of external users; network firewalls and intrusion protection; transmission protected.</t>
  </si>
  <si>
    <t xml:space="preserve">A.8.5; A.8.20; A.8.21; A.8.22; A.8.23</t>
  </si>
  <si>
    <t xml:space="preserve">A.8.20; A.8.21; A.8.22; A.8.23</t>
  </si>
  <si>
    <t xml:space="preserve">CC6.7</t>
  </si>
  <si>
    <t xml:space="preserve">The entity restricts the transmission, movement and removal of information and protects it during transmission and removal</t>
  </si>
  <si>
    <t xml:space="preserve">PoF: restricted to authorised users and processes; encryption in transit; removable media protected; mobile devices protected.</t>
  </si>
  <si>
    <t xml:space="preserve">A.5.14; A.7.10; A.8.10; A.8.11; A.8.12; A.8.24</t>
  </si>
  <si>
    <t xml:space="preserve">A.8.11; A.8.12; A.8.24</t>
  </si>
  <si>
    <t xml:space="preserve">CC6.8</t>
  </si>
  <si>
    <t xml:space="preserve">The entity implements controls to prevent or detect and act upon the introduction of unauthorised or malicious software</t>
  </si>
  <si>
    <t xml:space="preserve">PoF: software restricted to approved sources; anti-malware deployed and updated; scans performed; detection acted upon.</t>
  </si>
  <si>
    <t xml:space="preserve">A.8.7; A.8.18; A.8.19</t>
  </si>
  <si>
    <t xml:space="preserve">CC7.1</t>
  </si>
  <si>
    <t xml:space="preserve">CC7 System Operations</t>
  </si>
  <si>
    <t xml:space="preserve">The entity uses detection and monitoring procedures to identify configuration changes and new vulnerabilities</t>
  </si>
  <si>
    <t xml:space="preserve">PoF: configuration standards defined; changes to configuration detected; vulnerability scans performed and evaluated.</t>
  </si>
  <si>
    <t xml:space="preserve">A.8.8; A.8.9; A.8.32</t>
  </si>
  <si>
    <t xml:space="preserve">CC7.2</t>
  </si>
  <si>
    <t xml:space="preserve">The entity monitors system components for anomalies indicative of malicious acts, natural disasters and errors</t>
  </si>
  <si>
    <t xml:space="preserve">PoF: monitoring infrastructure implemented; logs of authorised and unauthorised activity; anomalies analysed; security events identified.</t>
  </si>
  <si>
    <t xml:space="preserve">A.5.25; A.8.15; A.8.16; A.8.17</t>
  </si>
  <si>
    <t xml:space="preserve">A.8.16; A.8.17</t>
  </si>
  <si>
    <t xml:space="preserve">CC7.3</t>
  </si>
  <si>
    <t xml:space="preserve">The entity evaluates security events to determine whether they could or have resulted in a failure to meet objectives</t>
  </si>
  <si>
    <t xml:space="preserve">PoF: impact of security events assessed; incidents declared; severity assigned; procedures for responding determined.</t>
  </si>
  <si>
    <t xml:space="preserve">A.5.24; A.5.25</t>
  </si>
  <si>
    <t xml:space="preserve">CC7.4</t>
  </si>
  <si>
    <t xml:space="preserve">The entity responds to identified security incidents by executing a defined incident-response programme</t>
  </si>
  <si>
    <t xml:space="preserve">PoF: roles assigned; containment; remediation; communication of breaches to affected parties; evaluation of the effectiveness of the response.</t>
  </si>
  <si>
    <t xml:space="preserve">A.5.5; A.5.24; A.5.26; A.5.28; A.6.8</t>
  </si>
  <si>
    <t xml:space="preserve">SG-6</t>
  </si>
  <si>
    <t xml:space="preserve">CC7.5</t>
  </si>
  <si>
    <t xml:space="preserve">The entity identifies, develops and implements activities to recover from identified security incidents</t>
  </si>
  <si>
    <t xml:space="preserve">PoF: restoration of affected environments; root-cause analysis; improvements to the response; periodic testing of the recovery plan.</t>
  </si>
  <si>
    <t xml:space="preserve">A.5.27; A.5.29; A.5.30; A.8.13</t>
  </si>
  <si>
    <t xml:space="preserve">10.2</t>
  </si>
  <si>
    <t xml:space="preserve">CC8.1</t>
  </si>
  <si>
    <t xml:space="preserve">CC8 Change Management</t>
  </si>
  <si>
    <t xml:space="preserve">The entity authorises, designs, develops or acquires, configures, documents, tests, approves and implements changes</t>
  </si>
  <si>
    <t xml:space="preserve">PoF: change-management process; baselines; segregated environments; testing before approval; emergency changes; changes to infrastructure, data and software.</t>
  </si>
  <si>
    <t xml:space="preserve">A.8.4; A.8.19; A.8.25; A.8.26; A.8.28; A.8.29; A.8.31; A.8.32; A.8.33</t>
  </si>
  <si>
    <t xml:space="preserve">6.3</t>
  </si>
  <si>
    <t xml:space="preserve">A.8.4; A.8.19; A.8.25; A.8.26; A.8.28; A.8.29; A.8.31; A.8.32; A.8.33; 6.3</t>
  </si>
  <si>
    <t xml:space="preserve">SG-7</t>
  </si>
  <si>
    <t xml:space="preserve">CC9.1</t>
  </si>
  <si>
    <t xml:space="preserve">CC9 Risk Mitigation</t>
  </si>
  <si>
    <t xml:space="preserve">The entity identifies, selects and develops risk mitigation activities for risks arising from potential business disruptions</t>
  </si>
  <si>
    <t xml:space="preserve">PoF: mitigation of business disruption risks considered; insurance considered; business continuity and disaster recovery activities developed.</t>
  </si>
  <si>
    <t xml:space="preserve">A.5.29; A.5.30; A.8.6; A.8.14</t>
  </si>
  <si>
    <t xml:space="preserve">A.8.6; A.8.14</t>
  </si>
  <si>
    <t xml:space="preserve">CC9.2</t>
  </si>
  <si>
    <t xml:space="preserve">The entity assesses and manages risks associated with vendors and business partners</t>
  </si>
  <si>
    <t xml:space="preserve">PoF: vendor risk assessed; commitments and requirements communicated; compliance assessed periodically; corrective action taken; exit procedures.</t>
  </si>
  <si>
    <t xml:space="preserve">A.5.19; A.5.20; A.5.21; A.5.22; A.5.23; A.5.34</t>
  </si>
  <si>
    <t xml:space="preserve">SG-8</t>
  </si>
  <si>
    <t xml:space="preserve">A1.1</t>
  </si>
  <si>
    <t xml:space="preserve">Availability</t>
  </si>
  <si>
    <t xml:space="preserve">A1 Availability</t>
  </si>
  <si>
    <t xml:space="preserve">The entity maintains, monitors and evaluates current processing capacity and use of system components</t>
  </si>
  <si>
    <t xml:space="preserve">PoF: current usage measured; capacity demand forecast; capacity decisions made to meet objectives.</t>
  </si>
  <si>
    <t xml:space="preserve">A.8.6; A.8.16</t>
  </si>
  <si>
    <t xml:space="preserve">A1.2</t>
  </si>
  <si>
    <t xml:space="preserve">The entity authorises, designs, develops, implements, operates, approves, maintains and monitors environmental protections, software, data back-up processes and recovery infrastructure</t>
  </si>
  <si>
    <t xml:space="preserve">PoF: environmental protections; back-up data procedures; recovery infrastructure; alternate processing; location of back-up considered.</t>
  </si>
  <si>
    <t xml:space="preserve">A.5.30; A.7.5; A.8.13; A.8.14</t>
  </si>
  <si>
    <t xml:space="preserve">A.7.5; A.8.14</t>
  </si>
  <si>
    <t xml:space="preserve">A1.3</t>
  </si>
  <si>
    <t xml:space="preserve">The entity tests recovery plan procedures supporting system recovery</t>
  </si>
  <si>
    <t xml:space="preserve">PoF: recovery plan tested on a periodic basis; test results reviewed; the plan is revised for the results.</t>
  </si>
  <si>
    <t xml:space="preserve">A.5.27; A.5.30; A.8.13</t>
  </si>
  <si>
    <t xml:space="preserve">C1.1</t>
  </si>
  <si>
    <t xml:space="preserve">Confidentiality</t>
  </si>
  <si>
    <t xml:space="preserve">C1 Confidentiality</t>
  </si>
  <si>
    <t xml:space="preserve">The entity identifies and maintains confidential information to meet objectives related to confidentiality</t>
  </si>
  <si>
    <t xml:space="preserve">PoF: confidential information identified and protected; retention period defined; protection during and after the retention period.</t>
  </si>
  <si>
    <t xml:space="preserve">A.5.9; A.5.12; A.5.13; A.5.33</t>
  </si>
  <si>
    <t xml:space="preserve">A.5.33</t>
  </si>
  <si>
    <t xml:space="preserve">C1.2</t>
  </si>
  <si>
    <t xml:space="preserve">The entity disposes of confidential information to meet objectives related to confidentiality</t>
  </si>
  <si>
    <t xml:space="preserve">PoF: identification of confidential information for disposal; erasure or destruction; disposal documented.</t>
  </si>
  <si>
    <t xml:space="preserve">A.5.33; A.7.10; A.7.14; A.8.10</t>
  </si>
  <si>
    <t xml:space="preserve">A.5.33; A.7.14</t>
  </si>
  <si>
    <t xml:space="preserve">TOTALS</t>
  </si>
  <si>
    <t xml:space="preserve">Tidy map: one row per criterion-to-requirement link. 01_TSC_Crosswalk aggregates this sheet, and this sheet looks up 03 and 04. Change a maturity there and every score on 01 moves.</t>
  </si>
  <si>
    <t xml:space="preserve">Item type</t>
  </si>
  <si>
    <t xml:space="preserve">Item reference</t>
  </si>
  <si>
    <t xml:space="preserve">Maturity (0-4, looked up)</t>
  </si>
  <si>
    <t xml:space="preserve">ISO Annex A</t>
  </si>
  <si>
    <t xml:space="preserve">A.5.4</t>
  </si>
  <si>
    <t xml:space="preserve">A.6.2</t>
  </si>
  <si>
    <t xml:space="preserve">ISO clause</t>
  </si>
  <si>
    <t xml:space="preserve">5.1</t>
  </si>
  <si>
    <t xml:space="preserve">5.2</t>
  </si>
  <si>
    <t xml:space="preserve">A.5.2</t>
  </si>
  <si>
    <t xml:space="preserve">A.5.35</t>
  </si>
  <si>
    <t xml:space="preserve">A.5.36</t>
  </si>
  <si>
    <t xml:space="preserve">9.3.1</t>
  </si>
  <si>
    <t xml:space="preserve">A.5.3</t>
  </si>
  <si>
    <t xml:space="preserve">A.6.1</t>
  </si>
  <si>
    <t xml:space="preserve">A.6.3</t>
  </si>
  <si>
    <t xml:space="preserve">7.3</t>
  </si>
  <si>
    <t xml:space="preserve">A.5.9</t>
  </si>
  <si>
    <t xml:space="preserve">A.8.15</t>
  </si>
  <si>
    <t xml:space="preserve">A.5.10</t>
  </si>
  <si>
    <t xml:space="preserve">A.6.8</t>
  </si>
  <si>
    <t xml:space="preserve">7.4</t>
  </si>
  <si>
    <t xml:space="preserve">A.5.5</t>
  </si>
  <si>
    <t xml:space="preserve">A.5.14</t>
  </si>
  <si>
    <t xml:space="preserve">A.5.20</t>
  </si>
  <si>
    <t xml:space="preserve">4.2</t>
  </si>
  <si>
    <t xml:space="preserve">4.1</t>
  </si>
  <si>
    <t xml:space="preserve">A.8.8</t>
  </si>
  <si>
    <t xml:space="preserve">8.2</t>
  </si>
  <si>
    <t xml:space="preserve">A.8.2</t>
  </si>
  <si>
    <t xml:space="preserve">A.5.8</t>
  </si>
  <si>
    <t xml:space="preserve">A.8.32</t>
  </si>
  <si>
    <t xml:space="preserve">9.2.1</t>
  </si>
  <si>
    <t xml:space="preserve">9.2.2</t>
  </si>
  <si>
    <t xml:space="preserve">A.5.27</t>
  </si>
  <si>
    <t xml:space="preserve">9.3.2</t>
  </si>
  <si>
    <t xml:space="preserve">A.8.9</t>
  </si>
  <si>
    <t xml:space="preserve">A.8.20</t>
  </si>
  <si>
    <t xml:space="preserve">A.5.37</t>
  </si>
  <si>
    <t xml:space="preserve">7.5</t>
  </si>
  <si>
    <t xml:space="preserve">A.5.15</t>
  </si>
  <si>
    <t xml:space="preserve">A.5.16</t>
  </si>
  <si>
    <t xml:space="preserve">A.8.5</t>
  </si>
  <si>
    <t xml:space="preserve">A.8.22</t>
  </si>
  <si>
    <t xml:space="preserve">A.5.17</t>
  </si>
  <si>
    <t xml:space="preserve">A.5.18</t>
  </si>
  <si>
    <t xml:space="preserve">A.6.5</t>
  </si>
  <si>
    <t xml:space="preserve">A.5.11</t>
  </si>
  <si>
    <t xml:space="preserve">A.7.1</t>
  </si>
  <si>
    <t xml:space="preserve">A.7.2</t>
  </si>
  <si>
    <t xml:space="preserve">A.7.3</t>
  </si>
  <si>
    <t xml:space="preserve">A.7.10</t>
  </si>
  <si>
    <t xml:space="preserve">A.8.21</t>
  </si>
  <si>
    <t xml:space="preserve">A.8.23</t>
  </si>
  <si>
    <t xml:space="preserve">A.8.10</t>
  </si>
  <si>
    <t xml:space="preserve">A.8.11</t>
  </si>
  <si>
    <t xml:space="preserve">A.8.12</t>
  </si>
  <si>
    <t xml:space="preserve">A.8.24</t>
  </si>
  <si>
    <t xml:space="preserve">A.8.7</t>
  </si>
  <si>
    <t xml:space="preserve">A.8.18</t>
  </si>
  <si>
    <t xml:space="preserve">A.8.19</t>
  </si>
  <si>
    <t xml:space="preserve">A.5.25</t>
  </si>
  <si>
    <t xml:space="preserve">A.8.17</t>
  </si>
  <si>
    <t xml:space="preserve">A.5.24</t>
  </si>
  <si>
    <t xml:space="preserve">A.5.26</t>
  </si>
  <si>
    <t xml:space="preserve">A.5.28</t>
  </si>
  <si>
    <t xml:space="preserve">A.5.29</t>
  </si>
  <si>
    <t xml:space="preserve">A.5.30</t>
  </si>
  <si>
    <t xml:space="preserve">A.8.13</t>
  </si>
  <si>
    <t xml:space="preserve">A.8.4</t>
  </si>
  <si>
    <t xml:space="preserve">A.8.25</t>
  </si>
  <si>
    <t xml:space="preserve">A.8.26</t>
  </si>
  <si>
    <t xml:space="preserve">A.8.28</t>
  </si>
  <si>
    <t xml:space="preserve">A.8.29</t>
  </si>
  <si>
    <t xml:space="preserve">A.8.31</t>
  </si>
  <si>
    <t xml:space="preserve">A.8.33</t>
  </si>
  <si>
    <t xml:space="preserve">A.8.6</t>
  </si>
  <si>
    <t xml:space="preserve">A.8.14</t>
  </si>
  <si>
    <t xml:space="preserve">A.5.19</t>
  </si>
  <si>
    <t xml:space="preserve">A.5.21</t>
  </si>
  <si>
    <t xml:space="preserve">A.5.22</t>
  </si>
  <si>
    <t xml:space="preserve">A.5.23</t>
  </si>
  <si>
    <t xml:space="preserve">A.5.34</t>
  </si>
  <si>
    <t xml:space="preserve">A.7.5</t>
  </si>
  <si>
    <t xml:space="preserve">A.5.12</t>
  </si>
  <si>
    <t xml:space="preserve">A.5.13</t>
  </si>
  <si>
    <t xml:space="preserve">Source data - CGI-ISO-001 v1.0 Statement of Applicability (93 controls). Maturity is the user input; status is derived.</t>
  </si>
  <si>
    <t xml:space="preserve">Control</t>
  </si>
  <si>
    <t xml:space="preserve">Title</t>
  </si>
  <si>
    <t xml:space="preserve">Theme</t>
  </si>
  <si>
    <t xml:space="preserve">Applicable</t>
  </si>
  <si>
    <t xml:space="preserve">Maturity (0-4)</t>
  </si>
  <si>
    <t xml:space="preserve">Status (derived)</t>
  </si>
  <si>
    <t xml:space="preserve">SoA target date</t>
  </si>
  <si>
    <t xml:space="preserve">Due at audit date 25 Sep 2026?</t>
  </si>
  <si>
    <t xml:space="preserve">Policies for information security</t>
  </si>
  <si>
    <t xml:space="preserve">Organizational</t>
  </si>
  <si>
    <t xml:space="preserve">Y</t>
  </si>
  <si>
    <t xml:space="preserve">2026-10-31</t>
  </si>
  <si>
    <t xml:space="preserve">Information security roles and responsibilities</t>
  </si>
  <si>
    <t xml:space="preserve">Segregation of duties</t>
  </si>
  <si>
    <t xml:space="preserve">2027-03-31</t>
  </si>
  <si>
    <t xml:space="preserve">Management responsibilities</t>
  </si>
  <si>
    <t xml:space="preserve">2026-12-31</t>
  </si>
  <si>
    <t xml:space="preserve">Contact with authorities</t>
  </si>
  <si>
    <t xml:space="preserve">A.5.6</t>
  </si>
  <si>
    <t xml:space="preserve">Contact with special interest groups</t>
  </si>
  <si>
    <t xml:space="preserve">2027-06-30</t>
  </si>
  <si>
    <t xml:space="preserve">Threat intelligence</t>
  </si>
  <si>
    <t xml:space="preserve">Information security in project management</t>
  </si>
  <si>
    <t xml:space="preserve">Inventory of information and other associated assets</t>
  </si>
  <si>
    <t xml:space="preserve">Acceptable use of information and other associated assets</t>
  </si>
  <si>
    <t xml:space="preserve">Return of assets</t>
  </si>
  <si>
    <t xml:space="preserve">Classification of information</t>
  </si>
  <si>
    <t xml:space="preserve">Labelling of information</t>
  </si>
  <si>
    <t xml:space="preserve">Information transfer</t>
  </si>
  <si>
    <t xml:space="preserve">Access control</t>
  </si>
  <si>
    <t xml:space="preserve">Identity management</t>
  </si>
  <si>
    <t xml:space="preserve">Authentication information</t>
  </si>
  <si>
    <t xml:space="preserve">Access rights</t>
  </si>
  <si>
    <t xml:space="preserve">Information security in supplier relationships</t>
  </si>
  <si>
    <t xml:space="preserve">2027-09-30</t>
  </si>
  <si>
    <t xml:space="preserve">Addressing information security within supplier agreements</t>
  </si>
  <si>
    <t xml:space="preserve">Managing information security in the ICT supply chain</t>
  </si>
  <si>
    <t xml:space="preserve">Monitoring, review and change management of supplier services</t>
  </si>
  <si>
    <t xml:space="preserve">Information security for use of cloud services</t>
  </si>
  <si>
    <t xml:space="preserve">2026-12-15</t>
  </si>
  <si>
    <t xml:space="preserve">Information security incident management planning and preparation</t>
  </si>
  <si>
    <t xml:space="preserve">Assessment and decision on information security events</t>
  </si>
  <si>
    <t xml:space="preserve">Response to information security incidents</t>
  </si>
  <si>
    <t xml:space="preserve">Learning from information security incidents</t>
  </si>
  <si>
    <t xml:space="preserve">Collection of evidence</t>
  </si>
  <si>
    <t xml:space="preserve">Information security during disruption</t>
  </si>
  <si>
    <t xml:space="preserve">ICT readiness for business continuity</t>
  </si>
  <si>
    <t xml:space="preserve">A.5.31</t>
  </si>
  <si>
    <t xml:space="preserve">Legal, statutory, regulatory and contractual requirements</t>
  </si>
  <si>
    <t xml:space="preserve">A.5.32</t>
  </si>
  <si>
    <t xml:space="preserve">Intellectual property rights</t>
  </si>
  <si>
    <t xml:space="preserve">Protection of records</t>
  </si>
  <si>
    <t xml:space="preserve">Privacy and protection of PII</t>
  </si>
  <si>
    <t xml:space="preserve">Independent review of information security</t>
  </si>
  <si>
    <t xml:space="preserve">2027-05-31</t>
  </si>
  <si>
    <t xml:space="preserve">Compliance with policies, rules and standards for information security</t>
  </si>
  <si>
    <t xml:space="preserve">Documented operating procedures</t>
  </si>
  <si>
    <t xml:space="preserve">Screening</t>
  </si>
  <si>
    <t xml:space="preserve">People</t>
  </si>
  <si>
    <t xml:space="preserve">Terms and conditions of employment</t>
  </si>
  <si>
    <t xml:space="preserve">Information security awareness, education and training</t>
  </si>
  <si>
    <t xml:space="preserve">Disciplinary process</t>
  </si>
  <si>
    <t xml:space="preserve">Responsibilities after termination or change of employment</t>
  </si>
  <si>
    <t xml:space="preserve">Confidentiality or non-disclosure agreements</t>
  </si>
  <si>
    <t xml:space="preserve">A.6.7</t>
  </si>
  <si>
    <t xml:space="preserve">Remote working</t>
  </si>
  <si>
    <t xml:space="preserve">Information security event reporting</t>
  </si>
  <si>
    <t xml:space="preserve">Physical security perimeters</t>
  </si>
  <si>
    <t xml:space="preserve">Physical</t>
  </si>
  <si>
    <t xml:space="preserve">Physical entry</t>
  </si>
  <si>
    <t xml:space="preserve">Securing offices, rooms and facilities</t>
  </si>
  <si>
    <t xml:space="preserve">A.7.4</t>
  </si>
  <si>
    <t xml:space="preserve">Physical security monitoring</t>
  </si>
  <si>
    <t xml:space="preserve">N</t>
  </si>
  <si>
    <t xml:space="preserve">Excluded</t>
  </si>
  <si>
    <t xml:space="preserve">N/A - review 30 Sep 2027</t>
  </si>
  <si>
    <t xml:space="preserve">N/A</t>
  </si>
  <si>
    <t xml:space="preserve">Protecting against physical and environmental threats</t>
  </si>
  <si>
    <t xml:space="preserve">A.7.6</t>
  </si>
  <si>
    <t xml:space="preserve">Working in secure areas</t>
  </si>
  <si>
    <t xml:space="preserve">A.7.7</t>
  </si>
  <si>
    <t xml:space="preserve">Clear desk and clear screen</t>
  </si>
  <si>
    <t xml:space="preserve">A.7.8</t>
  </si>
  <si>
    <t xml:space="preserve">Equipment siting and protection</t>
  </si>
  <si>
    <t xml:space="preserve">A.7.9</t>
  </si>
  <si>
    <t xml:space="preserve">Security of assets off-premises</t>
  </si>
  <si>
    <t xml:space="preserve">Storage media</t>
  </si>
  <si>
    <t xml:space="preserve">A.7.11</t>
  </si>
  <si>
    <t xml:space="preserve">Supporting utilities</t>
  </si>
  <si>
    <t xml:space="preserve">A.7.12</t>
  </si>
  <si>
    <t xml:space="preserve">Cabling security</t>
  </si>
  <si>
    <t xml:space="preserve">A.7.13</t>
  </si>
  <si>
    <t xml:space="preserve">Equipment maintenance</t>
  </si>
  <si>
    <t xml:space="preserve">Secure disposal or re-use of equipment</t>
  </si>
  <si>
    <t xml:space="preserve">A.8.1</t>
  </si>
  <si>
    <t xml:space="preserve">User endpoint devices</t>
  </si>
  <si>
    <t xml:space="preserve">Technological</t>
  </si>
  <si>
    <t xml:space="preserve">Privileged access rights</t>
  </si>
  <si>
    <t xml:space="preserve">Information access restriction</t>
  </si>
  <si>
    <t xml:space="preserve">Access to source code</t>
  </si>
  <si>
    <t xml:space="preserve">Secure authentication</t>
  </si>
  <si>
    <t xml:space="preserve">Capacity management</t>
  </si>
  <si>
    <t xml:space="preserve">Protection against malware</t>
  </si>
  <si>
    <t xml:space="preserve">Management of technical vulnerabilities</t>
  </si>
  <si>
    <t xml:space="preserve">Configuration management</t>
  </si>
  <si>
    <t xml:space="preserve">Information deletion</t>
  </si>
  <si>
    <t xml:space="preserve">Data masking</t>
  </si>
  <si>
    <t xml:space="preserve">Data leakage prevention</t>
  </si>
  <si>
    <t xml:space="preserve">Information backup</t>
  </si>
  <si>
    <t xml:space="preserve">Redundancy of information processing facilities</t>
  </si>
  <si>
    <t xml:space="preserve">Logging</t>
  </si>
  <si>
    <t xml:space="preserve">Monitoring activities</t>
  </si>
  <si>
    <t xml:space="preserve">Clock synchronization</t>
  </si>
  <si>
    <t xml:space="preserve">Use of privileged utility programs</t>
  </si>
  <si>
    <t xml:space="preserve">Installation of software on operational systems</t>
  </si>
  <si>
    <t xml:space="preserve">Networks security</t>
  </si>
  <si>
    <t xml:space="preserve">Security of network services</t>
  </si>
  <si>
    <t xml:space="preserve">Segregation of networks</t>
  </si>
  <si>
    <t xml:space="preserve">2027-12-31</t>
  </si>
  <si>
    <t xml:space="preserve">Web filtering</t>
  </si>
  <si>
    <t xml:space="preserve">Use of cryptography</t>
  </si>
  <si>
    <t xml:space="preserve">Secure development life cycle</t>
  </si>
  <si>
    <t xml:space="preserve">Application security requirements</t>
  </si>
  <si>
    <t xml:space="preserve">A.8.27</t>
  </si>
  <si>
    <t xml:space="preserve">Secure system architecture and engineering principles</t>
  </si>
  <si>
    <t xml:space="preserve">Secure coding</t>
  </si>
  <si>
    <t xml:space="preserve">Security testing in development and acceptance</t>
  </si>
  <si>
    <t xml:space="preserve">A.8.30</t>
  </si>
  <si>
    <t xml:space="preserve">Outsourced development</t>
  </si>
  <si>
    <t xml:space="preserve">Separation of development, test and production environments</t>
  </si>
  <si>
    <t xml:space="preserve">Change management</t>
  </si>
  <si>
    <t xml:space="preserve">Test information</t>
  </si>
  <si>
    <t xml:space="preserve">A.8.34</t>
  </si>
  <si>
    <t xml:space="preserve">Protection of information systems during audit testing</t>
  </si>
  <si>
    <t xml:space="preserve">Source data - CGI-ISO-001 Part 4 clauses 4-10 readiness. Score is the user input; the 0-4 equivalent is derived.</t>
  </si>
  <si>
    <t xml:space="preserve">Clause</t>
  </si>
  <si>
    <t xml:space="preserve">Requirement</t>
  </si>
  <si>
    <t xml:space="preserve">Score (0-2)</t>
  </si>
  <si>
    <t xml:space="preserve">Stage 1 gate</t>
  </si>
  <si>
    <t xml:space="preserve">Maturity equivalent (0-4)</t>
  </si>
  <si>
    <t xml:space="preserve">Met?</t>
  </si>
  <si>
    <t xml:space="preserve">Understanding the organisation and its context</t>
  </si>
  <si>
    <t xml:space="preserve">Interested parties and their requirements</t>
  </si>
  <si>
    <t xml:space="preserve">4.3</t>
  </si>
  <si>
    <t xml:space="preserve">Determining the scope of the ISMS</t>
  </si>
  <si>
    <t xml:space="preserve">4.4</t>
  </si>
  <si>
    <t xml:space="preserve">Information security management system</t>
  </si>
  <si>
    <t xml:space="preserve">Leadership and commitment</t>
  </si>
  <si>
    <t xml:space="preserve">Information security policy</t>
  </si>
  <si>
    <t xml:space="preserve">Roles, responsibilities and authorities</t>
  </si>
  <si>
    <t xml:space="preserve">6.1.1</t>
  </si>
  <si>
    <t xml:space="preserve">Actions to address risks and opportunities - general</t>
  </si>
  <si>
    <t xml:space="preserve">Information security risk assessment process</t>
  </si>
  <si>
    <t xml:space="preserve">Information security risk treatment</t>
  </si>
  <si>
    <t xml:space="preserve">Information security objectives and planning</t>
  </si>
  <si>
    <t xml:space="preserve">Planning of changes</t>
  </si>
  <si>
    <t xml:space="preserve">7.1</t>
  </si>
  <si>
    <t xml:space="preserve">Resources</t>
  </si>
  <si>
    <t xml:space="preserve">Competence</t>
  </si>
  <si>
    <t xml:space="preserve">Awareness</t>
  </si>
  <si>
    <t xml:space="preserve">Communication</t>
  </si>
  <si>
    <t xml:space="preserve">Documented information</t>
  </si>
  <si>
    <t xml:space="preserve">Operational planning and control</t>
  </si>
  <si>
    <t xml:space="preserve">Information security risk assessment (performance)</t>
  </si>
  <si>
    <t xml:space="preserve">8.3</t>
  </si>
  <si>
    <t xml:space="preserve">Information security risk treatment (performance)</t>
  </si>
  <si>
    <t xml:space="preserve">Monitoring, measurement, analysis and evaluation</t>
  </si>
  <si>
    <t xml:space="preserve">Internal audit - general</t>
  </si>
  <si>
    <t xml:space="preserve">Internal audit programme</t>
  </si>
  <si>
    <t xml:space="preserve">Management review - general</t>
  </si>
  <si>
    <t xml:space="preserve">Management review inputs</t>
  </si>
  <si>
    <t xml:space="preserve">9.3.3</t>
  </si>
  <si>
    <t xml:space="preserve">Management review results</t>
  </si>
  <si>
    <t xml:space="preserve">10.1</t>
  </si>
  <si>
    <t xml:space="preserve">Continual improvement</t>
  </si>
  <si>
    <t xml:space="preserve">Nonconformity and corrective action</t>
  </si>
  <si>
    <t xml:space="preserve">TOTAL</t>
  </si>
  <si>
    <t xml:space="preserve">Sum of 28 requirement scores</t>
  </si>
  <si>
    <t xml:space="preserve">Part 2.1 - which categories are in scope and why. Never assert a category no risk supports.</t>
  </si>
  <si>
    <t xml:space="preserve">Trust Services category</t>
  </si>
  <si>
    <t xml:space="preserve">Decision</t>
  </si>
  <si>
    <t xml:space="preserve">Justification traced to CGI-RSK-001 v1.1</t>
  </si>
  <si>
    <t xml:space="preserve">Security (Common Criteria CC1-CC9)</t>
  </si>
  <si>
    <t xml:space="preserve">IN - mandatory</t>
  </si>
  <si>
    <t xml:space="preserve">Required in every SOC 2 engagement. Carries R-001 phishing, R-002 ransomware, R-003 insider exfiltration, R-004 production API authorisation flaw and R-005 CloudCo misconfiguration, plus VR-001 to VR-009. Thirty-three criteria.</t>
  </si>
  <si>
    <t xml:space="preserve">Availability (A1)</t>
  </si>
  <si>
    <t xml:space="preserve">IN - with a precondition</t>
  </si>
  <si>
    <t xml:space="preserve">Approximately 200 customers run project delivery on the platform; unavailability is the loss they feel first. R-002 (ransomware) and VR-002 (five vendors sharing CloudCo with the platform) both carry availability impact, and CG-01 (backup, recovery and restore testing) is still open. PRECONDITION: A1 asks whether the system is available 'as committed'. Assumption ISO-A04 records that no contractual SLA figure exists anywhere in Projects 1-4. Service commitments must be published (SOC-05) before Availability can be included in a real engagement.</t>
  </si>
  <si>
    <t xml:space="preserve">Confidentiality (C1)</t>
  </si>
  <si>
    <t xml:space="preserve">IN</t>
  </si>
  <si>
    <t xml:space="preserve">Customer account data, project content, payment metadata and internal documents are held for business customers under contract. R-003 (insider exfiltration) and VR-008 are confidentiality risks, CG-05 (data loss prevention) is open, and CGI-POL-004 already defines four classification tiers and a handling matrix. Two criteria.</t>
  </si>
  <si>
    <t xml:space="preserve">Processing Integrity (PI1)</t>
  </si>
  <si>
    <t xml:space="preserve">OUT</t>
  </si>
  <si>
    <t xml:space="preserve">PI1 asks whether processing is complete, valid, accurate, timely and authorised. The platform manages project and task records that customers enter and control; it performs no calculation or transaction processing on their behalf, and payment processing belongs to PaymentsCo (CGI-POL-004 s4.1.4 and AVD-001 confirm no card numbers are held). No risk in CGI-RSK-001 v1.1 concerns processing completeness or accuracy. Including PI1 would assert something no customer has asked for and no risk supports.</t>
  </si>
  <si>
    <t xml:space="preserve">Privacy (P1-P8)</t>
  </si>
  <si>
    <t xml:space="preserve">OUT - for the first report</t>
  </si>
  <si>
    <t xml:space="preserve">Privacy covers notice, choice and consent, collection, use and retention, access, disclosure, quality and monitoring for personal information. Cypher Group Inc. acts mainly as a processor for its customers, and the GDPR foundations are the weakest evidence in the estate: six of seventeen vendors have no DPA, there is no Article 30 record of processing, no transfer register and no executed retention schedule. Asserting Privacy now would place the examination on the ground where the organisation is least able to support it. Add P1-P8 at the second Type II, after ISO-09 completes.</t>
  </si>
  <si>
    <t xml:space="preserve">Part 4 - the published scoring method, applied. Every result is a formula.</t>
  </si>
  <si>
    <t xml:space="preserve">Measure</t>
  </si>
  <si>
    <t xml:space="preserve">Calculation</t>
  </si>
  <si>
    <t xml:space="preserve">Result</t>
  </si>
  <si>
    <t xml:space="preserve">Verdict</t>
  </si>
  <si>
    <t xml:space="preserve">Criteria in scope</t>
  </si>
  <si>
    <t xml:space="preserve">Sum of CRL capped at 2 (design)</t>
  </si>
  <si>
    <t xml:space="preserve">Type I readiness = sum capped / (38 x 2)</t>
  </si>
  <si>
    <t xml:space="preserve">Sum of CRL (operating)</t>
  </si>
  <si>
    <t xml:space="preserve">Type II readiness = sum CRL / (38 x 3)</t>
  </si>
  <si>
    <t xml:space="preserve">Criteria with adequate design</t>
  </si>
  <si>
    <t xml:space="preserve">Criteria with operating evidence</t>
  </si>
  <si>
    <t xml:space="preserve">Criteria at CRL 0</t>
  </si>
  <si>
    <t xml:space="preserve">Criteria at CRL 1</t>
  </si>
  <si>
    <t xml:space="preserve">Criteria at CRL 2</t>
  </si>
  <si>
    <t xml:space="preserve">Criteria at CRL 3</t>
  </si>
  <si>
    <t xml:space="preserve">Gate failures</t>
  </si>
  <si>
    <t xml:space="preserve">TYPE I GO / NO-GO</t>
  </si>
  <si>
    <t xml:space="preserve">A Type I asserts design and implementation as of a date. Gates SG-1 to SG-8 must all pass first.</t>
  </si>
  <si>
    <t xml:space="preserve">TYPE II GO / NO-GO</t>
  </si>
  <si>
    <t xml:space="preserve">A Type II asserts operating effectiveness over a period. Zero criteria have operating evidence, so no population exists to sample.</t>
  </si>
  <si>
    <t xml:space="preserve">Gate override: any FAIL means NO-GO whatever the percentage.</t>
  </si>
  <si>
    <t xml:space="preserve">Criteria tested</t>
  </si>
  <si>
    <t xml:space="preserve">Why it is a gate</t>
  </si>
  <si>
    <t xml:space="preserve">Detail</t>
  </si>
  <si>
    <t xml:space="preserve">SG-1</t>
  </si>
  <si>
    <t xml:space="preserve">Management assertion and system description prepared and approved</t>
  </si>
  <si>
    <t xml:space="preserve">Without management's description and assertion there is no engagement to perform (AT-C 205).</t>
  </si>
  <si>
    <t xml:space="preserve">FAIL</t>
  </si>
  <si>
    <t xml:space="preserve">Not prepared. This project drafts it (Part 3); it is not yet approved by the CEO.</t>
  </si>
  <si>
    <t xml:space="preserve">CC1.2 - independent oversight of the system of internal control</t>
  </si>
  <si>
    <t xml:space="preserve">The control environment has no apex: no board, no governing body, no independent review.</t>
  </si>
  <si>
    <t xml:space="preserve">CC1.2 CRL 1, design Deficient</t>
  </si>
  <si>
    <t xml:space="preserve">CC2.3 - external communication of commitments and CUECs</t>
  </si>
  <si>
    <t xml:space="preserve">Nothing has been communicated to user entities, so there is no commitment to attest against.</t>
  </si>
  <si>
    <t xml:space="preserve">CC2.3 CRL 2, design Deficient</t>
  </si>
  <si>
    <t xml:space="preserve">CC3.2 - risk identification and analysis</t>
  </si>
  <si>
    <t xml:space="preserve">Every other criterion is scoped from the risk assessment.</t>
  </si>
  <si>
    <t xml:space="preserve">CC3.2 CRL 1, design Deficient</t>
  </si>
  <si>
    <t xml:space="preserve">CC6.1, CC6.2, CC6.3 - logical access</t>
  </si>
  <si>
    <t xml:space="preserve">CC6.1, CC6.2, CC6.3</t>
  </si>
  <si>
    <t xml:space="preserve">Logical access is the core of the Security category; a design failure here is fatal to the report.</t>
  </si>
  <si>
    <t xml:space="preserve">CC6.1 CRL 1, design Deficient; CC6.2 CRL 2, design Adequate; CC6.3 CRL 1, design Deficient</t>
  </si>
  <si>
    <t xml:space="preserve">CC7.4 - incident response</t>
  </si>
  <si>
    <t xml:space="preserve">An unhandled incident invalidates every other assertion in the period.</t>
  </si>
  <si>
    <t xml:space="preserve">CC7.4 CRL 2, design Adequate</t>
  </si>
  <si>
    <t xml:space="preserve">CC8.1 - change management</t>
  </si>
  <si>
    <t xml:space="preserve">Unmanaged change means no design assertion survives the period. R-004 lives here.</t>
  </si>
  <si>
    <t xml:space="preserve">CC8.1 CRL 0, design Deficient</t>
  </si>
  <si>
    <t xml:space="preserve">CC9.2 - vendor and business partner risk management</t>
  </si>
  <si>
    <t xml:space="preserve">CloudCo is carved out; without vendor controls the carve-out is a hole, not a boundary.</t>
  </si>
  <si>
    <t xml:space="preserve">CC9.2 CRL 2, design Adequate</t>
  </si>
  <si>
    <t xml:space="preserve">Part 3 - Cypher Group Inc.'s OWN complementary user entity controls, written for ~200 customers.</t>
  </si>
  <si>
    <t xml:space="preserve">CUEC ID</t>
  </si>
  <si>
    <t xml:space="preserve">Area</t>
  </si>
  <si>
    <t xml:space="preserve">Control the user entity must perform</t>
  </si>
  <si>
    <t xml:space="preserve">Why CGI's control depends on it</t>
  </si>
  <si>
    <t xml:space="preserve">Criteria supported</t>
  </si>
  <si>
    <t xml:space="preserve">CUEC-01</t>
  </si>
  <si>
    <t xml:space="preserve">Account administration</t>
  </si>
  <si>
    <t xml:space="preserve">User entities are responsible for designating at least two administrators for their tenant and for keeping the designated administrator list current.</t>
  </si>
  <si>
    <t xml:space="preserve">Cypher Group Inc. acts on instructions from designated administrators only. If the list is stale, an instruction from a former administrator cannot be distinguished from a valid one.</t>
  </si>
  <si>
    <t xml:space="preserve">CC6.2, CC6.3</t>
  </si>
  <si>
    <t xml:space="preserve">CUEC-02</t>
  </si>
  <si>
    <t xml:space="preserve">Authentication</t>
  </si>
  <si>
    <t xml:space="preserve">User entities are responsible for enabling multi-factor authentication for all of their users, and for requiring phishing-resistant factors for their administrators.</t>
  </si>
  <si>
    <t xml:space="preserve">The platform offers MFA; it does not force it. R-001 (phishing) lands on customer accounts through customer credentials, outside Cypher Group Inc.'s control.</t>
  </si>
  <si>
    <t xml:space="preserve">CC6.1, CC6.2, CC6.6</t>
  </si>
  <si>
    <t xml:space="preserve">CUEC-03</t>
  </si>
  <si>
    <t xml:space="preserve">Access review</t>
  </si>
  <si>
    <t xml:space="preserve">User entities are responsible for reviewing their own users' access rights and roles at least quarterly and for removing access that is no longer required.</t>
  </si>
  <si>
    <t xml:space="preserve">Cypher Group Inc. cannot know which of a customer's staff have left. Role assignment inside a tenant is a customer decision.</t>
  </si>
  <si>
    <t xml:space="preserve">CUEC-04</t>
  </si>
  <si>
    <t xml:space="preserve">Joiner, mover, leaver</t>
  </si>
  <si>
    <t xml:space="preserve">User entities are responsible for removing or disabling their users promptly when those users leave or change role, using the administrative console or the provisioning interface.</t>
  </si>
  <si>
    <t xml:space="preserve">Deprovisioning is initiated by the customer. Cypher Group Inc. executes it; it does not trigger it.</t>
  </si>
  <si>
    <t xml:space="preserve">CUEC-05</t>
  </si>
  <si>
    <t xml:space="preserve">Log review</t>
  </si>
  <si>
    <t xml:space="preserve">User entities are responsible for reviewing the tenant audit log made available to them and for reporting anomalies to Cypher Group Inc. support.</t>
  </si>
  <si>
    <t xml:space="preserve">Detection of misuse by a customer's own users depends on someone who knows what normal looks like inside that tenant.</t>
  </si>
  <si>
    <t xml:space="preserve">CC7.2, CC7.3</t>
  </si>
  <si>
    <t xml:space="preserve">CUEC-06</t>
  </si>
  <si>
    <t xml:space="preserve">Incident notification</t>
  </si>
  <si>
    <t xml:space="preserve">User entities are responsible for reporting suspected security incidents affecting their tenant to Cypher Group Inc. without undue delay, using the published channel.</t>
  </si>
  <si>
    <t xml:space="preserve">The incident clock in CGI-POL-005 s5.6.3 (GDPR 72 hours) starts when Cypher Group Inc. becomes aware. A customer who delays reporting consumes that budget.</t>
  </si>
  <si>
    <t xml:space="preserve">CC7.3, CC7.4</t>
  </si>
  <si>
    <t xml:space="preserve">CUEC-07</t>
  </si>
  <si>
    <t xml:space="preserve">Data classification and content</t>
  </si>
  <si>
    <t xml:space="preserve">User entities are responsible for determining what data they upload to the platform, and for not placing special categories of personal data, payment card numbers or regulated records in project content.</t>
  </si>
  <si>
    <t xml:space="preserve">The platform is classified for customer account data, project content and limited personal data. It is not designed or assessed for special-category or cardholder data.</t>
  </si>
  <si>
    <t xml:space="preserve">C1.1, CC6.7</t>
  </si>
  <si>
    <t xml:space="preserve">CUEC-08</t>
  </si>
  <si>
    <t xml:space="preserve">Integrations and API keys</t>
  </si>
  <si>
    <t xml:space="preserve">User entities are responsible for authorising, storing and rotating their own API keys and third-party integrations, and for revoking them when no longer required.</t>
  </si>
  <si>
    <t xml:space="preserve">A customer-issued key carries the customer's authorisation. Cypher Group Inc. honours it and cannot judge whether it is still wanted.</t>
  </si>
  <si>
    <t xml:space="preserve">CC6.1, CC6.6, CC9.2</t>
  </si>
  <si>
    <t xml:space="preserve">CUEC-09</t>
  </si>
  <si>
    <t xml:space="preserve">Retention and deletion instructions</t>
  </si>
  <si>
    <t xml:space="preserve">User entities are responsible for issuing deletion or export instructions within their contractual window, and for retaining their own copies of exported data.</t>
  </si>
  <si>
    <t xml:space="preserve">Deletion is performed on instruction. Retention beyond the platform is outside the system boundary.</t>
  </si>
  <si>
    <t xml:space="preserve">CUEC-10</t>
  </si>
  <si>
    <t xml:space="preserve">Endpoint and network security</t>
  </si>
  <si>
    <t xml:space="preserve">User entities are responsible for the security of the devices and networks their users use to reach the platform.</t>
  </si>
  <si>
    <t xml:space="preserve">Session hijacking or credential theft on a customer endpoint is indistinguishable at the platform from legitimate use.</t>
  </si>
  <si>
    <t xml:space="preserve">CC6.1, CC6.6</t>
  </si>
  <si>
    <t xml:space="preserve">Part 3 - CloudCo is CARVED OUT. These are the controls the report relies on it to perform.</t>
  </si>
  <si>
    <t xml:space="preserve">CSOC ID</t>
  </si>
  <si>
    <t xml:space="preserve">Subservice organisation</t>
  </si>
  <si>
    <t xml:space="preserve">Control relied upon</t>
  </si>
  <si>
    <t xml:space="preserve">Assurance held</t>
  </si>
  <si>
    <t xml:space="preserve">CSOC-01</t>
  </si>
  <si>
    <t xml:space="preserve">CloudCo (CGI-VEN-001)</t>
  </si>
  <si>
    <t xml:space="preserve">Physical and environmental security of the data centres hosting the platform, including physical access control, monitoring, power and cooling.</t>
  </si>
  <si>
    <t xml:space="preserve">CC6.4, A1.2</t>
  </si>
  <si>
    <t xml:space="preserve">SOC 2 Type II, ISO/IEC 27001, 27017 and 27018 held per VRA-2026-001 (invented for the scenario). Basis for excluding A.7.4, A.7.6, A.7.11 and A.7.12 from the SoA.</t>
  </si>
  <si>
    <t xml:space="preserve">CSOC-02</t>
  </si>
  <si>
    <t xml:space="preserve">Secure disposal and destruction of storage media at end of life.</t>
  </si>
  <si>
    <t xml:space="preserve">As CSOC-01.</t>
  </si>
  <si>
    <t xml:space="preserve">CSOC-03</t>
  </si>
  <si>
    <t xml:space="preserve">Availability of the underlying compute, storage, network and managed database services, and of the regional infrastructure.</t>
  </si>
  <si>
    <t xml:space="preserve">A1.1, A1.2</t>
  </si>
  <si>
    <t xml:space="preserve">As CSOC-01. VR-002 records the concentration: five further vendors share CloudCo with the platform.</t>
  </si>
  <si>
    <t xml:space="preserve">CSOC-04</t>
  </si>
  <si>
    <t xml:space="preserve">Patching and maintenance of the managed services under the provider's side of the shared-responsibility model.</t>
  </si>
  <si>
    <t xml:space="preserve">CC7.1, CC8.1</t>
  </si>
  <si>
    <t xml:space="preserve">As CSOC-01. The boundary itself is undocumented (A.5.23 = maturity 1; action ISO-02).</t>
  </si>
  <si>
    <t xml:space="preserve">CSOC-05</t>
  </si>
  <si>
    <t xml:space="preserve">Encryption of data at rest in managed services where provider-managed keys are used, and of data in transit within the provider network.</t>
  </si>
  <si>
    <t xml:space="preserve">As CSOC-01. CGI has no cryptography standard of its own (A.8.24 Not started), so the provider control is currently the only one.</t>
  </si>
  <si>
    <t xml:space="preserve">CSOC-06</t>
  </si>
  <si>
    <t xml:space="preserve">Logical access controls over the provider's own personnel accessing the infrastructure.</t>
  </si>
  <si>
    <t xml:space="preserve">CC6.1, CC6.3</t>
  </si>
  <si>
    <t xml:space="preserve">THE MIRROR: the CUECs CGI writes for its customers, against the CUECs CloudCo wrote for CGI</t>
  </si>
  <si>
    <t xml:space="preserve">CGI CUEC written for its customers</t>
  </si>
  <si>
    <t xml:space="preserve">The CloudCo CUEC it mirrors</t>
  </si>
  <si>
    <t xml:space="preserve">CGI's own status as a customer</t>
  </si>
  <si>
    <t xml:space="preserve">SoA position</t>
  </si>
  <si>
    <t xml:space="preserve">CUEC-02 - customers must enable MFA, phishing-resistant for administrators</t>
  </si>
  <si>
    <t xml:space="preserve">CloudCo CUEC 2 - MFA on the root account and restricted root use</t>
  </si>
  <si>
    <t xml:space="preserve">UNACCEPTED. F-010; no owner assigned; condition C1 open until 15 Dec 2026.</t>
  </si>
  <si>
    <t xml:space="preserve">A.8.2 maturity 2 (policy only); A.5.23 maturity 1</t>
  </si>
  <si>
    <t xml:space="preserve">CUEC-03 - customers must review their users' access at least quarterly</t>
  </si>
  <si>
    <t xml:space="preserve">CloudCo CUEC 3 - least-privilege IAM with periodic review</t>
  </si>
  <si>
    <t xml:space="preserve">NEVER PERFORMED. CGI-POL-003 s4.7.1 mandates a quarterly privileged review; zero have run (OFI-15).</t>
  </si>
  <si>
    <t xml:space="preserve">A.5.18 maturity 2 (mandated, never evidenced)</t>
  </si>
  <si>
    <t xml:space="preserve">CUEC-05 - customers must review the tenant audit log and report anomalies</t>
  </si>
  <si>
    <t xml:space="preserve">CloudCo CUEC 1 - organisation-wide CloudTrail with log file validation</t>
  </si>
  <si>
    <t xml:space="preserve">UNVERIFIED. No central security log account, no retention standard, no alert rules (OFI-03).</t>
  </si>
  <si>
    <t xml:space="preserve">A.8.15 maturity 1; A.8.16 maturity 0</t>
  </si>
  <si>
    <t xml:space="preserve">CUEC-07 - customers are responsible for classifying the data they upload</t>
  </si>
  <si>
    <t xml:space="preserve">CloudCo CUEC 4 - encryption management for customer-controlled data</t>
  </si>
  <si>
    <t xml:space="preserve">NO STANDARD. CGI-POL-004 says where encryption is required; no algorithms, TLS minimum or key management exist.</t>
  </si>
  <si>
    <t xml:space="preserve">A.8.24 maturity 0</t>
  </si>
  <si>
    <t xml:space="preserve">Where one control satisfies both frameworks, and where it does not.</t>
  </si>
  <si>
    <t xml:space="preserve">Direction</t>
  </si>
  <si>
    <t xml:space="preserve">Reference</t>
  </si>
  <si>
    <t xml:space="preserve">Current maturity or score</t>
  </si>
  <si>
    <t xml:space="preserve">Why there is no counterpart</t>
  </si>
  <si>
    <t xml:space="preserve">ISO Annex A control with no SOC 2 criterion</t>
  </si>
  <si>
    <t xml:space="preserve">Appears only inside a point of focus, which is not a requirement. Doing it earns no SOC 2 credit.</t>
  </si>
  <si>
    <t xml:space="preserve">ISO clause requirement with no SOC 2 criterion</t>
  </si>
  <si>
    <t xml:space="preserve">SOC 2 does not require a management system. This requirement has no counterpart at all.</t>
  </si>
  <si>
    <t xml:space="preserve">SOC 2 requirement with no ISO counterpart</t>
  </si>
  <si>
    <t xml:space="preserve">Independent oversight by a governing body</t>
  </si>
  <si>
    <t xml:space="preserve">ISO clause 5 requires leadership, not independence from management. No Annex A control creates an oversight body.</t>
  </si>
  <si>
    <t xml:space="preserve">CC2.3 (CUEC element)</t>
  </si>
  <si>
    <t xml:space="preserve">Communicating responsibilities to user entities</t>
  </si>
  <si>
    <t xml:space="preserve">ISO/IEC 27001 has no concept of a complementary user entity control.</t>
  </si>
  <si>
    <t xml:space="preserve">Consideration of the potential for fraud</t>
  </si>
  <si>
    <t xml:space="preserve">ISO/IEC 27001:2022 Annex A contains no fraud control.</t>
  </si>
  <si>
    <t xml:space="preserve">System description</t>
  </si>
  <si>
    <t xml:space="preserve">Management's description of the system</t>
  </si>
  <si>
    <t xml:space="preserve">The SoA lists controls; it is not a description of the system, its boundaries or its commitments.</t>
  </si>
  <si>
    <t xml:space="preserve">Management's assertion</t>
  </si>
  <si>
    <t xml:space="preserve">The claim the examiner attests to</t>
  </si>
  <si>
    <t xml:space="preserve">ISO certification audits the organisation directly; nobody asserts first.</t>
  </si>
  <si>
    <t xml:space="preserve">Part 5 - CGI-IAU-001. Populations and results come only from Projects 1-5. Nothing is invented.</t>
  </si>
  <si>
    <t xml:space="preserve">Workpaper</t>
  </si>
  <si>
    <t xml:space="preserve">Audit criteria</t>
  </si>
  <si>
    <t xml:space="preserve">Objective</t>
  </si>
  <si>
    <t xml:space="preserve">Population</t>
  </si>
  <si>
    <t xml:space="preserve">Population source and completeness</t>
  </si>
  <si>
    <t xml:space="preserve">Sample size and method</t>
  </si>
  <si>
    <t xml:space="preserve">Selection method</t>
  </si>
  <si>
    <t xml:space="preserve">Test steps</t>
  </si>
  <si>
    <t xml:space="preserve">Evidence inspected</t>
  </si>
  <si>
    <t xml:space="preserve">Test of design</t>
  </si>
  <si>
    <t xml:space="preserve">Test of operating effectiveness</t>
  </si>
  <si>
    <t xml:space="preserve">Conclusion</t>
  </si>
  <si>
    <t xml:space="preserve">Findings</t>
  </si>
  <si>
    <t xml:space="preserve">Reviewed by</t>
  </si>
  <si>
    <t xml:space="preserve">WP-01</t>
  </si>
  <si>
    <t xml:space="preserve">Clause 4.1-4.2 Context and interested parties</t>
  </si>
  <si>
    <t xml:space="preserve">ISO/IEC 27001:2022 clauses 4.1, 4.2 (incl. Amd 1:2024 climate-change consideration)</t>
  </si>
  <si>
    <t xml:space="preserve">Determine whether internal and external issues and interested parties' requirements have been determined and are documented.</t>
  </si>
  <si>
    <t xml:space="preserve">1 - the organisation's context determination</t>
  </si>
  <si>
    <t xml:space="preserve">Single occurrence; no sampling applicable</t>
  </si>
  <si>
    <t xml:space="preserve">1 (100%)</t>
  </si>
  <si>
    <t xml:space="preserve">Inspection of documented information; inquiry of the CEO</t>
  </si>
  <si>
    <t xml:space="preserve">1. Request the documented context and issues statement. 2. Inspect for internal and external issues. 3. Inspect for the climate-change relevance decision required by Amd 1:2024. 4. Request the interested-parties register and the decision on which requirements the ISMS addresses.</t>
  </si>
  <si>
    <t xml:space="preserve">CGI-RSK-001 v1.1 assumptions A-01 to A-06; CGI-POL-005 s5.6.3 (GDPR duty); CGI-TPR-001 vendor inventory</t>
  </si>
  <si>
    <t xml:space="preserve">FAIL - no documented context statement exists; context survives only as six risk-register assumptions.</t>
  </si>
  <si>
    <t xml:space="preserve">Not performed - design failed.</t>
  </si>
  <si>
    <t xml:space="preserve">Context and interested parties are not documented. The climate-change relevance decision has never been made.</t>
  </si>
  <si>
    <t xml:space="preserve">NC-10</t>
  </si>
  <si>
    <t xml:space="preserve">O.S</t>
  </si>
  <si>
    <t xml:space="preserve">2026-09-25</t>
  </si>
  <si>
    <t xml:space="preserve">Jerry Olugboye (CEO) - see OFI-08</t>
  </si>
  <si>
    <t xml:space="preserve">WP-02</t>
  </si>
  <si>
    <t xml:space="preserve">Clause 4.3-4.4 Scope and the ISMS</t>
  </si>
  <si>
    <t xml:space="preserve">Clauses 4.3, 4.4</t>
  </si>
  <si>
    <t xml:space="preserve">Determine whether the ISMS scope is documented and approved, and whether the ISMS operates as one system.</t>
  </si>
  <si>
    <t xml:space="preserve">1 - the ISMS scope statement</t>
  </si>
  <si>
    <t xml:space="preserve">Inspection; inquiry of the CEO and CTO</t>
  </si>
  <si>
    <t xml:space="preserve">1. Obtain the scope statement. 2. Verify interfaces and dependencies are considered (4.3 c). 3. Verify top-management approval. 4. Request an ISMS process map linking clauses 4-10.</t>
  </si>
  <si>
    <t xml:space="preserve">CGI-ISO-001 s2.1 scope wording (draft); s2.2 boundary table; 17 vendor interfaces</t>
  </si>
  <si>
    <t xml:space="preserve">PARTIAL - the scope text is complete and names interfaces, but it is a draft.</t>
  </si>
  <si>
    <t xml:space="preserve">FAIL - no approval record exists; no ISMS process map exists.</t>
  </si>
  <si>
    <t xml:space="preserve">Scope is drafted to an auditable standard but has not been approved by top management. The ISMS components (policies, register, gap assessment, vendor programme, SoA) do not yet operate as one system.</t>
  </si>
  <si>
    <t xml:space="preserve">NC-11; NC-18</t>
  </si>
  <si>
    <t xml:space="preserve">WP-03</t>
  </si>
  <si>
    <t xml:space="preserve">Clause 5.1-5.3 Leadership, policy and roles</t>
  </si>
  <si>
    <t xml:space="preserve">Clauses 5.1, 5.2, 5.3</t>
  </si>
  <si>
    <t xml:space="preserve">Determine whether top management demonstrates leadership, whether an information security policy meeting 5.2 a)-d) exists, and whether ISMS roles are assigned.</t>
  </si>
  <si>
    <t xml:space="preserve">6 documents expected (5 topic policies + 1 ISMS policy); 1 role assignment</t>
  </si>
  <si>
    <t xml:space="preserve">CGI document register (does not exist); enumerated from CGI-POL-001 to -005</t>
  </si>
  <si>
    <t xml:space="preserve">6 (100%)</t>
  </si>
  <si>
    <t xml:space="preserve">Inspection of approval blocks; inquiry of the CEO</t>
  </si>
  <si>
    <t xml:space="preserve">1. Inspect each policy's approval record and approver. 2. Test for a top-level ISMS policy meeting 5.2 a) to d). 3. Request the approved ISMS budget. 4. Request the written assignment of ISMS conformance and reporting responsibility.</t>
  </si>
  <si>
    <t xml:space="preserve">CGI-POL-001 to -005 v1.0 approval blocks (CGI-POL-002 approver corrected to the CEO); CGI-RSK-001 year-one budget USD 32,100 (unapproved)</t>
  </si>
  <si>
    <t xml:space="preserve">FAIL - no ISMS-level policy exists. Five topic-specific policies do not together meet 5.2 a) to d).</t>
  </si>
  <si>
    <t xml:space="preserve">PARTIAL - approval of the five topic policies is evidenced; budget approval and role assignment are not.</t>
  </si>
  <si>
    <t xml:space="preserve">No information security policy exists at ISMS level. The USD 32,100 budget is costed but unapproved. Nobody is assigned responsibility for ISMS conformance or for reporting its performance to top management.</t>
  </si>
  <si>
    <t xml:space="preserve">NC-01; NC-12; NC-13</t>
  </si>
  <si>
    <t xml:space="preserve">WP-04</t>
  </si>
  <si>
    <t xml:space="preserve">Clause 6.1.1 and 6.3 ISMS risks, opportunities and change planning</t>
  </si>
  <si>
    <t xml:space="preserve">Clauses 6.1.1, 6.3</t>
  </si>
  <si>
    <t xml:space="preserve">Determine whether risks and opportunities for the ISMS itself have been determined and whether ISMS changes are planned.</t>
  </si>
  <si>
    <t xml:space="preserve">0 - no records exist</t>
  </si>
  <si>
    <t xml:space="preserve">Confirmed by inquiry and by absence from the CGI document set</t>
  </si>
  <si>
    <t xml:space="preserve">0</t>
  </si>
  <si>
    <t xml:space="preserve">Inquiry; search of the document set</t>
  </si>
  <si>
    <t xml:space="preserve">1. Request the ISMS risks and opportunities record. 2. Request evidence of planned ISMS changes.</t>
  </si>
  <si>
    <t xml:space="preserve">None. CGI-RSK-001 addresses information security risks, which are a different object from ISMS risks and opportunities.</t>
  </si>
  <si>
    <t xml:space="preserve">FAIL - requirement absent.</t>
  </si>
  <si>
    <t xml:space="preserve">Not performed - population zero.</t>
  </si>
  <si>
    <t xml:space="preserve">Neither requirement has ever been addressed. The register's 14 risks are information security risks, not ISMS risks and opportunities.</t>
  </si>
  <si>
    <t xml:space="preserve">NC-14</t>
  </si>
  <si>
    <t xml:space="preserve">WP-05</t>
  </si>
  <si>
    <t xml:space="preserve">Clause 6.1.2 Risk assessment process</t>
  </si>
  <si>
    <t xml:space="preserve">Clause 6.1.2 a)-e)</t>
  </si>
  <si>
    <t xml:space="preserve">Determine whether a documented risk assessment process exists, including risk acceptance criteria and criteria for performing assessments.</t>
  </si>
  <si>
    <t xml:space="preserve">2 risk acceptances in force (ACC-001, ACC-V01); 1 documented method</t>
  </si>
  <si>
    <t xml:space="preserve">CGI-RSK-001 v1.1 s4; CGI-TPR-001 s5.3</t>
  </si>
  <si>
    <t xml:space="preserve">2 acceptances (100%) + 1 method (100%)</t>
  </si>
  <si>
    <t xml:space="preserve">Inspection; re-performance of two register scorings</t>
  </si>
  <si>
    <t xml:space="preserve">1. Inspect the documented method (NIST SP 800-30 Rev. 1 5x5, thresholds). 2. Test for risk acceptance criteria. 3. Trace ACC-001 and ACC-V01 to the criteria they were accepted against. 4. Re-perform the scoring of two risks. 5. Test whether fraud was considered (informs the SOC 2 overlay, CC3.3).</t>
  </si>
  <si>
    <t xml:space="preserve">CGI-RSK-001 v1.1 methodology and thresholds (Low 1-4 / Medium 5-9 / High 10-14 / Critical 15-25); ACC-001 (SMS MFA, expires 03 Mar 2027); ACC-V01 (SchedulerCo, expires 15 Sep 2028)</t>
  </si>
  <si>
    <t xml:space="preserve">PARTIAL - the assessment and analysis method is documented and consistently applied. Acceptance criteria are absent.</t>
  </si>
  <si>
    <t xml:space="preserve">FAIL - both acceptances in force were made against criteria that do not exist. Re-performance of two scorings agreed to the register.</t>
  </si>
  <si>
    <t xml:space="preserve">The method is sound and has operated twice (v1.0 and v1.1). No risk acceptance criteria exist, so neither acceptance in force can be shown to be within appetite. Fraud has never been considered as a risk category.</t>
  </si>
  <si>
    <t xml:space="preserve">NC-02; OFI-11</t>
  </si>
  <si>
    <t xml:space="preserve">WP-06</t>
  </si>
  <si>
    <t xml:space="preserve">Clause 6.1.3 Risk treatment and the Statement of Applicability</t>
  </si>
  <si>
    <t xml:space="preserve">Clause 6.1.3 a)-f); SoA per 6.1.3 d)</t>
  </si>
  <si>
    <t xml:space="preserve">Determine whether controls are determined by risk, compared with Annex A, recorded in an approved SoA, and whether residual risks are accepted by risk owners.</t>
  </si>
  <si>
    <t xml:space="preserve">93 SoA rows (88 applicable, 5 excluded); 3 residual High risks</t>
  </si>
  <si>
    <t xml:space="preserve">CGI-ISO-001 s3.8, complete and reconciled to 93 in Appendix A</t>
  </si>
  <si>
    <t xml:space="preserve">15 of 88 applicable rows, stratified random (seed 20260925); 5 exclusions (100%); 3 High residual risks (100%)</t>
  </si>
  <si>
    <t xml:space="preserve">Attribute testing by inspection and re-performance; stratified random selection with a documented seed</t>
  </si>
  <si>
    <t xml:space="preserve">1. Select 15 applicable rows stratified across A.5/A.6/A.7/A.8. 2. For each, trace risk ID -&gt; control -&gt; stated evidence and agree the status to the evidence. 3. Test all 5 exclusions for a justification that names what would reverse it. 4. Test for CEO approval of the SoA. 5. Test for risk-owner acceptance of R-004, R-005 and VR-004.</t>
  </si>
  <si>
    <t xml:space="preserve">CGI-ISO-001 SoA v1.0 (draft); CGI-RSK-001 v1.1; CGI-TPR-001 findings F-001 to F-013</t>
  </si>
  <si>
    <t xml:space="preserve">PASS - traceability holds on all 15 sampled rows; all 5 exclusions name a reversing condition.</t>
  </si>
  <si>
    <t xml:space="preserve">FAIL - the SoA is unapproved and no residual-risk acceptance exists for the three High residual risks.</t>
  </si>
  <si>
    <t xml:space="preserve">The SoA is complete, traceable and honest (0 Implemented, 45 Partial, 43 Not started). It has not been approved, no consolidated risk treatment plan exists, and the risk owners have not accepted the residual risk on R-004, R-005 or VR-004.</t>
  </si>
  <si>
    <t xml:space="preserve">NC-03</t>
  </si>
  <si>
    <t xml:space="preserve">WP-07</t>
  </si>
  <si>
    <t xml:space="preserve">Clause 6.2 Information security objectives</t>
  </si>
  <si>
    <t xml:space="preserve">Clause 6.2 a)-j)</t>
  </si>
  <si>
    <t xml:space="preserve">Determine whether measurable information security objectives are established, monitored and communicated.</t>
  </si>
  <si>
    <t xml:space="preserve">0 objectives; 14 KRIs exist and were tested for objective characteristics</t>
  </si>
  <si>
    <t xml:space="preserve">CGI-RSK-001 v1.1 KRI schedule</t>
  </si>
  <si>
    <t xml:space="preserve">14 KRIs (100%)</t>
  </si>
  <si>
    <t xml:space="preserve">Inspection against the 6.2 characteristics</t>
  </si>
  <si>
    <t xml:space="preserve">1. Request documented objectives. 2. Test each of the 14 KRIs against 6.2 a) to j): measurable, monitored, communicated, with a plan, resources, responsibility, timescale and evaluation.</t>
  </si>
  <si>
    <t xml:space="preserve">CGI-RSK-001 v1.1 KRI-01 to KRI-07 and KRI-V1 to KRI-V7</t>
  </si>
  <si>
    <t xml:space="preserve">FAIL - no objectives exist. None of the 14 KRIs carries a target, an owner, a timescale or an evaluation method, so none is an objective.</t>
  </si>
  <si>
    <t xml:space="preserve">Indicators have been mistaken for objectives. An indicator reports a number; an objective states the number you intend to reach, by when and who owns it.</t>
  </si>
  <si>
    <t xml:space="preserve">NC-04</t>
  </si>
  <si>
    <t xml:space="preserve">WP-08</t>
  </si>
  <si>
    <t xml:space="preserve">Clause 7.1-7.2 Resources and competence</t>
  </si>
  <si>
    <t xml:space="preserve">Clauses 7.1, 7.2 a)-d)</t>
  </si>
  <si>
    <t xml:space="preserve">Determine whether resources are provided and whether competence is determined, achieved and evidenced.</t>
  </si>
  <si>
    <t xml:space="preserve">6 named ISMS-relevant roles (CGI-ISO-001 role cast)</t>
  </si>
  <si>
    <t xml:space="preserve">CGI-ISO-001 s2.2 and the simulated role cast</t>
  </si>
  <si>
    <t xml:space="preserve">Inquiry; inspection of personnel records</t>
  </si>
  <si>
    <t xml:space="preserve">1. Request the approved ISMS budget and time allocation. 2. For each role, request the competence requirement and the evidence of competence (qualification, training or experience record).</t>
  </si>
  <si>
    <t xml:space="preserve">None on file for competence. Budget estimated in CGI-RSK-001 but unapproved.</t>
  </si>
  <si>
    <t xml:space="preserve">FAIL - no competence requirements exist for any ISMS role.</t>
  </si>
  <si>
    <t xml:space="preserve">No competence requirements and no documented evidence of competence exist for any role. Clause 7.2 d) requires the evidence to be retained.</t>
  </si>
  <si>
    <t xml:space="preserve">NC-05; NC-12</t>
  </si>
  <si>
    <t xml:space="preserve">WP-09</t>
  </si>
  <si>
    <t xml:space="preserve">Clause 7.3 and A.6.3 Awareness and training</t>
  </si>
  <si>
    <t xml:space="preserve">Clause 7.3 a)-c); A.6.3</t>
  </si>
  <si>
    <t xml:space="preserve">Determine whether all persons doing work under the organisation's control are aware of the policy, their contribution and the implications of non-conformance.</t>
  </si>
  <si>
    <t xml:space="preserve">50 employees</t>
  </si>
  <si>
    <t xml:space="preserve">Company headcount per the scenario baseline; CGI-TRK-001 holds a five-person illustrative sample only</t>
  </si>
  <si>
    <t xml:space="preserve">Intended 10 (random, seed 20260925). Actual 5 - the population record does not support a larger draw</t>
  </si>
  <si>
    <t xml:space="preserve">Attribute testing; random selection; inspection of acknowledgement records</t>
  </si>
  <si>
    <t xml:space="preserve">1. Obtain the acknowledgement population from CGI-TRK-001. 2. Test completeness and accuracy of that population against the HR system of record. 3. Select 10 at random. 4. Inspect each acknowledgement date and the training record behind it.</t>
  </si>
  <si>
    <t xml:space="preserve">CGI-TRK-001: 60% acknowledged (30 of 50), 80% MFA enrolled (40 of 50); five-person illustrative sample; CGI-POL-003 s4.3.6 induction</t>
  </si>
  <si>
    <t xml:space="preserve">PARTIAL - induction awareness is designed. No recurring or role-based curriculum exists (CG-04).</t>
  </si>
  <si>
    <t xml:space="preserve">FAIL - 20 of 50 staff have not acknowledged the policy pack. The tracker holds per-person detail for five people only, so the population could not be tested for completeness.</t>
  </si>
  <si>
    <t xml:space="preserve">40% of staff are bound by rules they have not acknowledged. The acknowledgement population is itself unverifiable, which is an information-produced-by-the-entity limitation recorded separately.</t>
  </si>
  <si>
    <t xml:space="preserve">NC-15; OFI-04; OFI-06</t>
  </si>
  <si>
    <t xml:space="preserve">WP-10</t>
  </si>
  <si>
    <t xml:space="preserve">Clause 7.4-7.5 Communication and documented information</t>
  </si>
  <si>
    <t xml:space="preserve">Clauses 7.4, 7.5.1-7.5.3</t>
  </si>
  <si>
    <t xml:space="preserve">Determine whether ISMS communication is planned and whether documented information is controlled.</t>
  </si>
  <si>
    <t xml:space="preserve">27 mandatory documented-information items</t>
  </si>
  <si>
    <t xml:space="preserve">CGI-ISO-001 Part 5 checklist DI-01 to DI-27</t>
  </si>
  <si>
    <t xml:space="preserve">27 (100%)</t>
  </si>
  <si>
    <t xml:space="preserve">Inspection against the control requirements of 7.5.3</t>
  </si>
  <si>
    <t xml:space="preserve">1. Request the ISMS communication plan. 2. For each of the 27 items, test availability, version control, approval and retention. 3. Request the document and record control procedure and the document register.</t>
  </si>
  <si>
    <t xml:space="preserve">CGI-POL-001 to -005 document control blocks (version, owner, review date); CGI-ISO-001 Part 5</t>
  </si>
  <si>
    <t xml:space="preserve">PARTIAL - individual documents carry control blocks. There is no procedure and no register above them.</t>
  </si>
  <si>
    <t xml:space="preserve">FAIL - 4 Have, 11 Partial, 12 Missing of 27. No communication plan exists.</t>
  </si>
  <si>
    <t xml:space="preserve">Document control exists per document but not as a system. No ISMS communication plan defines what is communicated, when, to whom or how.</t>
  </si>
  <si>
    <t xml:space="preserve">NC-16; NC-19</t>
  </si>
  <si>
    <t xml:space="preserve">WP-11</t>
  </si>
  <si>
    <t xml:space="preserve">Clause 8.1-8.3 Operational planning, risk assessment and treatment performance</t>
  </si>
  <si>
    <t xml:space="preserve">Clauses 8.1, 8.2, 8.3</t>
  </si>
  <si>
    <t xml:space="preserve">Determine whether processes are planned and controlled, whether risk assessments are performed and retained, and whether the risk treatment plan is implemented.</t>
  </si>
  <si>
    <t xml:space="preserve">2 risk assessment runs; 10 treatment actions TP-01 to TP-10; 17 externally provided services</t>
  </si>
  <si>
    <t xml:space="preserve">CGI-RSK-001 v1.0 and v1.1; CGI-RSK-001 s5 treatment plan; CGI-TPR-001 inventory</t>
  </si>
  <si>
    <t xml:space="preserve">2 assessment runs (100%); 10 treatment actions (100%); 5 of 17 vendors (Tier 1 judgemental)</t>
  </si>
  <si>
    <t xml:space="preserve">Inspection; re-performance of the aggregate risk arithmetic</t>
  </si>
  <si>
    <t xml:space="preserve">1. Inspect both assessment runs for retained results. 2. Re-perform the v1.1 aggregate arithmetic (213 inherent, 122 residual, 43% reduction, mean 8.71). 3. Test each TP action for status and evidence. 4. Test control of externally provided processes against CGI-TPR-001 Gates A-C.</t>
  </si>
  <si>
    <t xml:space="preserve">CGI-RSK-001 v1.0 (5 risks) and v1.1 (14 risks); CGI-TPR-001 workflow; CG-06 closed</t>
  </si>
  <si>
    <t xml:space="preserve">PASS for 8.2 - the process is defined and has been performed on schedule and on change.</t>
  </si>
  <si>
    <t xml:space="preserve">PASS for 8.2 - results retained and arithmetic re-performed without exception. PARTIAL for 8.1 and 8.3 - Wave 1 treatment actions are not yet due.</t>
  </si>
  <si>
    <t xml:space="preserve">Clause 8.2 is the only requirement in clauses 4-10 fully met. Treatment actions are dated but not yet due at the audit date, so their non-completion is not a nonconformity.</t>
  </si>
  <si>
    <t xml:space="preserve">OFI-13</t>
  </si>
  <si>
    <t xml:space="preserve">WP-12</t>
  </si>
  <si>
    <t xml:space="preserve">Clause 9.1 Monitoring, measurement, analysis and evaluation</t>
  </si>
  <si>
    <t xml:space="preserve">Clause 9.1 a)-f)</t>
  </si>
  <si>
    <t xml:space="preserve">Determine what is monitored and measured, by what methods, when, by whom, and whether results are analysed, evaluated and retained.</t>
  </si>
  <si>
    <t xml:space="preserve">14 KRIs</t>
  </si>
  <si>
    <t xml:space="preserve">CGI-RSK-001 v1.1 (7 original + 7 vendor KRIs)</t>
  </si>
  <si>
    <t xml:space="preserve">14 (100%)</t>
  </si>
  <si>
    <t xml:space="preserve">Inspection; inquiry of the CTO</t>
  </si>
  <si>
    <t xml:space="preserve">1. For each KRI, test whether it has been measured, when, by whom and where the result is retained. 2. Request the monitoring programme and the reporting route.</t>
  </si>
  <si>
    <t xml:space="preserve">KRI-V1 measured once at 65% (6 of 17 vendors without a DPA). No other KRI has ever been measured.</t>
  </si>
  <si>
    <t xml:space="preserve">PARTIAL - indicators are defined with thresholds.</t>
  </si>
  <si>
    <t xml:space="preserve">FAIL - 1 of 14 measured once; 13 never measured; no results reported to anybody.</t>
  </si>
  <si>
    <t xml:space="preserve">Measurement has occurred once, as a by-product of the vendor programme, and has never been reported. There is no monitoring programme and no analysis or evaluation step.</t>
  </si>
  <si>
    <t xml:space="preserve">NC-17</t>
  </si>
  <si>
    <t xml:space="preserve">WP-13</t>
  </si>
  <si>
    <t xml:space="preserve">Clause 9.2 Internal audit, and A.5.35 independent review</t>
  </si>
  <si>
    <t xml:space="preserve">Clauses 9.2.1, 9.2.2; A.5.35</t>
  </si>
  <si>
    <t xml:space="preserve">Determine whether an internal audit programme exists and whether internal audits are conducted at planned intervals by objective and impartial auditors.</t>
  </si>
  <si>
    <t xml:space="preserve">0 internal audits before this engagement; 0 audit programmes</t>
  </si>
  <si>
    <t xml:space="preserve">Inquiry of the CEO; absence from the document set</t>
  </si>
  <si>
    <t xml:space="preserve">Inquiry; search of the document set; self-assessment of this engagement's independence</t>
  </si>
  <si>
    <t xml:space="preserve">1. Request the audit programme (frequency, methods, responsibilities, criteria, scope, reporting). 2. Request prior audit reports. 3. Assess the independence of the present engagement against 9.2.2 c).</t>
  </si>
  <si>
    <t xml:space="preserve">None. This engagement, CGI-IAU-001, is the first.</t>
  </si>
  <si>
    <t xml:space="preserve">FAIL - no audit programme exists.</t>
  </si>
  <si>
    <t xml:space="preserve">FAIL - no audit had ever been performed. This engagement does not close the requirement because the auditor prepared CGI-ISO-001 and is therefore auditing their own work.</t>
  </si>
  <si>
    <t xml:space="preserve">Clause 9.2 is wholly unmet. This dry run gives the organisation the method and the workpapers, not the conformity: the same person prepared the Statement of Applicability under test.</t>
  </si>
  <si>
    <t xml:space="preserve">NC-06; OFI-08</t>
  </si>
  <si>
    <t xml:space="preserve">WP-14</t>
  </si>
  <si>
    <t xml:space="preserve">Clause 9.3 Management review</t>
  </si>
  <si>
    <t xml:space="preserve">Clauses 9.3.1, 9.3.2 a)-g), 9.3.3</t>
  </si>
  <si>
    <t xml:space="preserve">Determine whether top management reviews the ISMS at planned intervals, using the required inputs, with documented results.</t>
  </si>
  <si>
    <t xml:space="preserve">0 management reviews</t>
  </si>
  <si>
    <t xml:space="preserve">Inquiry of the CEO; CGI-GAP-001 GAP-005 records that no security item has reached a leadership agenda</t>
  </si>
  <si>
    <t xml:space="preserve">Inquiry; inspection of leadership meeting records</t>
  </si>
  <si>
    <t xml:space="preserve">1. Request minutes of any management review. 2. Test any leadership agenda for the 9.3.2 a) to g) inputs. 3. Request documented results and decisions.</t>
  </si>
  <si>
    <t xml:space="preserve">None. CGI-GAP-001 REC-10 proposes a quarterly security review from Q1 2027, with an agenda that omits several 9.3.2 inputs.</t>
  </si>
  <si>
    <t xml:space="preserve">No management review has ever been held. The planned REC-10 forum is not yet a clause 9.3 review: its agenda covers KRIs, the scorecard and treatment status, and omits several required inputs.</t>
  </si>
  <si>
    <t xml:space="preserve">NC-07</t>
  </si>
  <si>
    <t xml:space="preserve">WP-15</t>
  </si>
  <si>
    <t xml:space="preserve">Clause 10.1-10.2 Improvement, nonconformity and corrective action</t>
  </si>
  <si>
    <t xml:space="preserve">Clauses 10.1, 10.2 a)-g)</t>
  </si>
  <si>
    <t xml:space="preserve">Determine whether nonconformities are reacted to, root causes evaluated, corrective actions taken and their effectiveness reviewed, with records retained.</t>
  </si>
  <si>
    <t xml:space="preserve">3 policy exceptions (EXC-001 to EXC-003); 0 nonconformity records</t>
  </si>
  <si>
    <t xml:space="preserve">CGI-POL-001 exception register; absence of an NC log</t>
  </si>
  <si>
    <t xml:space="preserve">3 exceptions (100%)</t>
  </si>
  <si>
    <t xml:space="preserve">Inspection; inquiry</t>
  </si>
  <si>
    <t xml:space="preserve">1. Request the nonconformity and corrective action log. 2. Test whether the exception register functions as one. 3. Request the improvement log.</t>
  </si>
  <si>
    <t xml:space="preserve">EXC-001 to EXC-003; CGI-POL-005 s5.7 incident corrective actions (scope limited to incidents)</t>
  </si>
  <si>
    <t xml:space="preserve">FAIL - no nonconformity and corrective action process exists.</t>
  </si>
  <si>
    <t xml:space="preserve">FAIL - the exception register records approved deviations, not nonconformities, and carries no root-cause or effectiveness step.</t>
  </si>
  <si>
    <t xml:space="preserve">An approved exception is a decision to depart from a rule. A nonconformity is a failure to meet a requirement. The organisation has a register for the first and none for the second.</t>
  </si>
  <si>
    <t xml:space="preserve">NC-08; NC-18</t>
  </si>
  <si>
    <t xml:space="preserve">WP-16</t>
  </si>
  <si>
    <t xml:space="preserve">A.5.1, A.5.4, A.5.36, A.5.37 Policy framework and compliance</t>
  </si>
  <si>
    <t xml:space="preserve">Annex A controls A.5.1, A.5.4, A.5.36, A.5.37</t>
  </si>
  <si>
    <t xml:space="preserve">Determine whether topic-specific policies are approved, communicated, reviewed and complied with, and whether operating procedures exist beneath them.</t>
  </si>
  <si>
    <t xml:space="preserve">5 approved policies; 0 compliance checks; 0 documented operating procedures</t>
  </si>
  <si>
    <t xml:space="preserve">CGI-POL-001 to -005; CGI-TRK-001</t>
  </si>
  <si>
    <t xml:space="preserve">5 policies (100%)</t>
  </si>
  <si>
    <t xml:space="preserve">Inspection of approval and review records; inquiry</t>
  </si>
  <si>
    <t xml:space="preserve">1. Test each policy for approval, owner, version and review date. 2. Request the first annual review record. 3. Request compliance-check records against policy. 4. Request the runbooks named in the policies.</t>
  </si>
  <si>
    <t xml:space="preserve">CGI-POL-001 to -005 v1.0, all approved with document control blocks; no annual review has fallen due; no runbooks exist</t>
  </si>
  <si>
    <t xml:space="preserve">PASS for approval and ownership; FAIL for compliance checking and operating procedures.</t>
  </si>
  <si>
    <t xml:space="preserve">FAIL - no compliance check against policy has ever been performed; no procedures exist beneath the policies.</t>
  </si>
  <si>
    <t xml:space="preserve">The policy layer is genuinely strong and is the best-evidenced part of the ISMS. Nothing beneath it has been built, and nothing above it checks it.</t>
  </si>
  <si>
    <t xml:space="preserve">NC-15; OFI-14</t>
  </si>
  <si>
    <t xml:space="preserve">WP-17</t>
  </si>
  <si>
    <t xml:space="preserve">A.5.15-A.5.18, A.6.5, A.8.2, A.8.5 Access control lifecycle</t>
  </si>
  <si>
    <t xml:space="preserve">Annex A controls A.5.15, A.5.16, A.5.17, A.5.18, A.6.5, A.8.2, A.8.5; CGI-POL-003 s4.5.2 (four-hour revocation) and s4.7.1 (quarterly privileged review)</t>
  </si>
  <si>
    <t xml:space="preserve">Determine whether access is granted, reviewed and revoked in accordance with the approved policy.</t>
  </si>
  <si>
    <t xml:space="preserve">Joiners, movers and leavers in the 12 months to 25 Sep 2026: NOT DETERMINABLE. Quarterly privileged access reviews: 0. MFA enrolment: 50 staff.</t>
  </si>
  <si>
    <t xml:space="preserve">No joiner/leaver register or completed offboarding checklist archive exists. CGI-TRK-001 holds five illustrative staff records. The population could not be reconciled to an HR system of record.</t>
  </si>
  <si>
    <t xml:space="preserve">5 staff records (100% of the records that exist); 0 privileged reviews; 50 staff for MFA enrolment (100%, in aggregate only)</t>
  </si>
  <si>
    <t xml:space="preserve">Attribute testing by inspection; population completeness testing (C&amp;A / IPE)</t>
  </si>
  <si>
    <t xml:space="preserve">1. Obtain the joiner/mover/leaver population and reconcile it to HR records. 2. Select leavers and test revocation against the four-hour SLA. 3. Test all quarterly privileged access reviews in the period. 4. Test MFA enrolment against the 100% requirement and against ACC-001.</t>
  </si>
  <si>
    <t xml:space="preserve">CGI-POL-003 v1.0; CGI-TRK-001 (80% MFA enrolled); ACC-001 accepting SMS MFA until 03 Mar 2027; CGI-TPR-001 F-003 (no SCIM on ChatCo, manual leaver removal); one account (Lena Fischer) correctly not yet created under CGI-POL-003 s4.3.3</t>
  </si>
  <si>
    <t xml:space="preserve">PARTIAL - CGI-POL-003 is an approved and complete access control design. It cannot be met on the four non-federated vendors (F-003).</t>
  </si>
  <si>
    <t xml:space="preserve">NOT PERFORMED for joiners/movers/leavers - the population could not be established. FAIL for privileged access review - zero reviews in the period against a quarterly requirement. FAIL for MFA - 10 of 50 not enrolled.</t>
  </si>
  <si>
    <t xml:space="preserve">The most important result in this audit is a negative one: the leaver population cannot be established, so the four-hour revocation control cannot be tested at all. An untestable control is not a passing control.</t>
  </si>
  <si>
    <t xml:space="preserve">OFI-06; OFI-15</t>
  </si>
  <si>
    <t xml:space="preserve">WP-18</t>
  </si>
  <si>
    <t xml:space="preserve">A.5.19-A.5.23 Supplier relationships and cloud services</t>
  </si>
  <si>
    <t xml:space="preserve">Annex A controls A.5.19, A.5.20, A.5.21, A.5.22, A.5.23</t>
  </si>
  <si>
    <t xml:space="preserve">Determine whether supplier security requirements are defined, agreed, monitored and reviewed on the defined cadence.</t>
  </si>
  <si>
    <t xml:space="preserve">17 vendors (Tier 1 = 7, Tier 2 = 6, Tier 3 = 4); 3 completed assessments; 0 scheduled reviews performed</t>
  </si>
  <si>
    <t xml:space="preserve">CGI-TPR-001 inventory CGI-VEN-001 to -017, reconciled to architecture, 12 months of finance transactions and IdP OAuth grants</t>
  </si>
  <si>
    <t xml:space="preserve">11 of 17: all 7 Tier 1 (100%), 3 of 6 Tier 2 (random, seed 20260925), 1 of 4 Tier 3 (random)</t>
  </si>
  <si>
    <t xml:space="preserve">Attribute testing; stratified selection, census of the highest tier</t>
  </si>
  <si>
    <t xml:space="preserve">1. Test each sampled vendor for tier, assessment, DPA, assurance artifact and review date. 2. Test the review cadence (12/18/24 months) for reviews actually performed. 3. Test the CloudCo CUEC acceptance record. 4. Test the sub-processor change feed subscription.</t>
  </si>
  <si>
    <t xml:space="preserve">CGI-TPR-001 v1.0; CGI-TPR-002 (74 questions, 16 domains); VRA-2026-001 CloudCo PASS WITH CONDITIONS 89%; VRA-2026-002 ChatCo FAIL 65%; VRA-2026-003 SchedulerCo ACCEPTED 92%; findings F-001 to F-013</t>
  </si>
  <si>
    <t xml:space="preserve">PASS - the programme is designed, owned and communicated: tiering model, questionnaire, onboarding gates, 18-clause contract checklist, review cadence.</t>
  </si>
  <si>
    <t xml:space="preserve">FAIL - zero scheduled reviews have been performed; the first Tier 1 re-reviews fall due Sep 2027. The four CloudCo CUECs are unaccepted. No sub-processor change feed is subscribed. ChatCo has operated in FAIL status since 15 Sep 2026 with no expiring risk acceptance on file.</t>
  </si>
  <si>
    <t xml:space="preserve">Designed, not cycled. This is the clearest example in the ISMS of the difference between a control that exists and a control that operates.</t>
  </si>
  <si>
    <t xml:space="preserve">OFI-07; OFI-09</t>
  </si>
  <si>
    <t xml:space="preserve">WP-19</t>
  </si>
  <si>
    <t xml:space="preserve">A.5.20, A.5.34 Data processing agreements and protection of PII</t>
  </si>
  <si>
    <t xml:space="preserve">Annex A controls A.5.20, A.5.34; GDPR Articles 28 and 30 as a legal requirement identified under clause 4.2</t>
  </si>
  <si>
    <t xml:space="preserve">Determine whether every vendor processing personal data on the organisation's behalf is bound by a written data processing agreement, and whether a record of processing activities exists.</t>
  </si>
  <si>
    <t xml:space="preserve">17 vendors</t>
  </si>
  <si>
    <t xml:space="preserve">CGI-TPR-001 inventory; KRI-V1 measurement of 15 Sep 2026</t>
  </si>
  <si>
    <t xml:space="preserve">17 (100%) - population below 25, tested in full</t>
  </si>
  <si>
    <t xml:space="preserve">Attribute testing by inspection of executed agreements</t>
  </si>
  <si>
    <t xml:space="preserve">1. For each of the 17 vendors, inspect for an executed DPA. 2. Test whether personal data is in fact processed. 3. Request the GDPR Article 30 record of processing activities. 4. Test for a transfer register covering non-EEA processing.</t>
  </si>
  <si>
    <t xml:space="preserve">11 executed DPAs; 6 vendors with none (KRI-V1 = 65%); CGI-TPR-001 F-001 (ChatCo: no DPA, US-hosted), F-004, O-001; no Article 30 record exists</t>
  </si>
  <si>
    <t xml:space="preserve">PARTIAL - CGI-TPR-001 Gate B forbids onboarding without a DPA. The gate was built after the six were onboarded.</t>
  </si>
  <si>
    <t xml:space="preserve">FAIL - 6 of 17 vendors, 35% of the estate, process data with no data processing agreement.</t>
  </si>
  <si>
    <t xml:space="preserve">This is a present-tense legal non-compliance, not a future roadmap item. GDPR Article 28(3) requires the agreement to be in place before processing begins; the processing is already happening. The finding does not depend on the SoA target date of 31 October 2026.</t>
  </si>
  <si>
    <t xml:space="preserve">NC-09</t>
  </si>
  <si>
    <t xml:space="preserve">WP-20</t>
  </si>
  <si>
    <t xml:space="preserve">A.5.24-A.5.28, A.6.8 Incident management</t>
  </si>
  <si>
    <t xml:space="preserve">Annex A controls A.5.24, A.5.25, A.5.26, A.5.27, A.5.28, A.6.8</t>
  </si>
  <si>
    <t xml:space="preserve">Determine whether incident management is planned, whether events are assessed and responded to, and whether lessons are learned.</t>
  </si>
  <si>
    <t xml:space="preserve">0 incidents recorded in the period; 0 exercises; 0 lessons-learned records</t>
  </si>
  <si>
    <t xml:space="preserve">Inquiry; no incident register entries exist</t>
  </si>
  <si>
    <t xml:space="preserve">0 incidents; 1 plan (100%)</t>
  </si>
  <si>
    <t xml:space="preserve">Inspection of the plan; walkthrough with the CTO; inquiry</t>
  </si>
  <si>
    <t xml:space="preserve">1. Inspect CGI-POL-005 for severity bands, roles, targets and reporting channels. 2. Walk through a hypothetical SEV1 with the CTO. 3. Request incident register entries. 4. Request the tabletop exercise record and lessons learned.</t>
  </si>
  <si>
    <t xml:space="preserve">CGI-POL-005 v1.0 with SEV1-SEV4, s5.2 reporting channels, s5.5 response stages, s5.6.3 GDPR 72-hour duty, s5.7 review; CGI-TPR-001 F-002 (no vendor breach-notification clause), F-008 (no tenant audit log on ChatCo)</t>
  </si>
  <si>
    <t xml:space="preserve">PASS with exceptions - the plan is approved and complete on severity, roles and targets. No containment runbooks exist and no out-of-band communication channel is named.</t>
  </si>
  <si>
    <t xml:space="preserve">NOT PERFORMED - population zero. No incident has occurred and no exercise has been run, so operating effectiveness cannot be tested.</t>
  </si>
  <si>
    <t xml:space="preserve">Design is the strongest of any control family outside the policy pack. Zero occurrences means zero evidence: the walkthrough is all the assurance available, and inquiry plus a walkthrough is not sufficient evidence of operation.</t>
  </si>
  <si>
    <t xml:space="preserve">OFI-16</t>
  </si>
  <si>
    <t xml:space="preserve">WP-21</t>
  </si>
  <si>
    <t xml:space="preserve">A.5.29, A.5.30, A.8.13 Continuity and backup (CG-01)</t>
  </si>
  <si>
    <t xml:space="preserve">Annex A controls A.5.29, A.5.30, A.8.13; CGI-RSK-001 control gap CG-01</t>
  </si>
  <si>
    <t xml:space="preserve">Determine whether backups are performed, protected and tested, and whether ICT continuity objectives are declared.</t>
  </si>
  <si>
    <t xml:space="preserve">Restore tests performed in the period: 0. Declared RTO/RPO values: 0.</t>
  </si>
  <si>
    <t xml:space="preserve">Inquiry of the IT Operations Manager; CGI-TPR-001 F-013</t>
  </si>
  <si>
    <t xml:space="preserve">0 restore tests; 1 backup configuration (100%)</t>
  </si>
  <si>
    <t xml:space="preserve">Inspection of configuration; inquiry; attempted re-performance</t>
  </si>
  <si>
    <t xml:space="preserve">1. Inspect the CloudCo snapshot configuration and schedule. 2. Request declared RTO and RPO. 3. Request restore test reports for the period. 4. Request evidence that the data export path has been exercised.</t>
  </si>
  <si>
    <t xml:space="preserve">CloudCo native snapshots configured (eu-central-1 primary, us-east-1 backup copies); CGI-TPR-001 F-013 (no RTO, no RPO, no restore test, export never exercised); VRA-2026-001 condition C4 due 15 Dec 2026</t>
  </si>
  <si>
    <t xml:space="preserve">FAIL - no CGI-POL-006, no declared recovery objectives, no test schedule. A backup with no restore test and no objective is an assumption, not a control.</t>
  </si>
  <si>
    <t xml:space="preserve">NOT PERFORMED - population zero.</t>
  </si>
  <si>
    <t xml:space="preserve">Backups exist and have never been proven to restore. CGI-RSK-001 correctly takes no credit for them against R-002. The SoA target date of 15 December 2026 has not passed, so this is recorded as an opportunity for improvement that becomes a nonconformity on 16 December 2026.</t>
  </si>
  <si>
    <t xml:space="preserve">OFI-01</t>
  </si>
  <si>
    <t xml:space="preserve">WP-22</t>
  </si>
  <si>
    <t xml:space="preserve">A.8.3, A.8.4, A.8.8, A.8.19, A.8.25, A.8.26, A.8.28, A.8.29, A.8.31, A.8.32 Secure development (CG-02, R-004)</t>
  </si>
  <si>
    <t xml:space="preserve">Ten Annex A controls on the code path; CGI-RSK-001 control gap CG-02 and risk R-004</t>
  </si>
  <si>
    <t xml:space="preserve">Determine whether changes to the platform are authorised, reviewed, tested and separated from production, and whether vulnerabilities are identified and remediated.</t>
  </si>
  <si>
    <t xml:space="preserve">Production releases in the 12 months to 25 Sep 2026: NOT DETERMINABLE. Peer-reviewed merges: NOT DETERMINABLE. Vulnerability scans: 0. Penetration tests: 0.</t>
  </si>
  <si>
    <t xml:space="preserve">No change record, release log or branch-protection configuration exists, so no population can be constructed and no completeness assertion can be made.</t>
  </si>
  <si>
    <t xml:space="preserve">0 - no testable population</t>
  </si>
  <si>
    <t xml:space="preserve">Attempted population construction; inspection of repository configuration; inquiry of the CTO</t>
  </si>
  <si>
    <t xml:space="preserve">1. Request the change record or release log for the period. 2. Request the CodeCo branch-protection configuration export. 3. Request scan reports and remediation tickets. 4. Request the penetration test report. 5. Request the environment separation diagram.</t>
  </si>
  <si>
    <t xml:space="preserve">CGI-POL-002 s4.5.2 secret scanning (a fragment); CGI-VEN-002 CodeCo Tier 1, inherent 15 Critical, no branch protection on the CGI side; CGI-GAP-001 PR.PS = 0</t>
  </si>
  <si>
    <t xml:space="preserve">FAIL - CGI-POL-007 and CGI-POL-008 are unwritten. There is no coding standard, no mandatory peer review, no scanning SLA and no recorded environment separation.</t>
  </si>
  <si>
    <t xml:space="preserve">NOT PERFORMED - no population could be constructed.</t>
  </si>
  <si>
    <t xml:space="preserve">Ten of the eleven code-path controls behind the organisation's joint-highest residual risk are Not started, and an eleventh (A.5.7 threat intelligence) is tested in WP-05. Engineers can commit directly to production with no second person. SoA target dates of 31 March 2027 have not passed, so the finding is recorded as an OFI that becomes a nonconformity on 01 April 2027.</t>
  </si>
  <si>
    <t xml:space="preserve">OFI-02; OFI-17</t>
  </si>
  <si>
    <t xml:space="preserve">WP-23</t>
  </si>
  <si>
    <t xml:space="preserve">A.8.9, A.8.15, A.8.16, A.8.20-A.8.22 Cloud configuration, logging and monitoring (CG-03, R-005)</t>
  </si>
  <si>
    <t xml:space="preserve">Annex A controls A.8.9, A.8.15, A.8.16, A.8.20, A.8.21, A.8.22; control gap CG-03 and risk R-005</t>
  </si>
  <si>
    <t xml:space="preserve">Determine whether cloud configuration is baselined and monitored for drift, and whether logging and alerting are in place.</t>
  </si>
  <si>
    <t xml:space="preserve">Configuration baselines: 0. Drift detection reports: 0. Security alerts raised and handled: 0. Log sources under retention: 0.</t>
  </si>
  <si>
    <t xml:space="preserve">Inquiry of the IT Operations Manager; CGI-TPR-001 F-010; CGI-GAP-001 PR.IR = 0, DE.CM = 1</t>
  </si>
  <si>
    <t xml:space="preserve">0 baselines; 4 CloudCo CUECs (100%)</t>
  </si>
  <si>
    <t xml:space="preserve">Inquiry; inspection of available configuration; attribute testing of the four CUECs</t>
  </si>
  <si>
    <t xml:space="preserve">1. Request the CloudCo configuration baseline. 2. Request drift-detection or posture reports. 3. Test each of the four CloudCo CUECs for acceptance and an assigned owner. 4. Request CloudTrail configuration with log file validation. 5. Request alert rules and handled-alert records.</t>
  </si>
  <si>
    <t xml:space="preserve">VRA-2026-001 F-010: four unaccepted CUECs (organisation-wide CloudTrail with log file validation; MFA on the root account with restricted root use; least-privilege IAM with periodic review; encryption management for customer-controlled data); MonitorCo APM used for engineering, not as a security log source</t>
  </si>
  <si>
    <t xml:space="preserve">FAIL - no baseline, no drift detection, no alert rules and no central security log account exist.</t>
  </si>
  <si>
    <t xml:space="preserve">FAIL on the CUECs: 0 of 4 accepted and assigned. NOT PERFORMED elsewhere - population zero.</t>
  </si>
  <si>
    <t xml:space="preserve">R-005 stays High for exactly this reason: the gap sits on the organisation's side of the shared-responsibility boundary, where no provider certificate reaches. Condition C1 is due 15 December 2026; if it is not met, the CloudCo conditional pass lapses to Fail.</t>
  </si>
  <si>
    <t xml:space="preserve">OFI-03; OFI-07</t>
  </si>
  <si>
    <t xml:space="preserve">WP-24</t>
  </si>
  <si>
    <t xml:space="preserve">A.5.9, A.5.12, A.5.13, A.8.1, A.8.10-A.8.12 Asset, classification and data protection (CG-05)</t>
  </si>
  <si>
    <t xml:space="preserve">Annex A controls A.5.9, A.5.12, A.5.13, A.8.1, A.8.10, A.8.11, A.8.12</t>
  </si>
  <si>
    <t xml:space="preserve">Determine whether information and assets are inventoried, classified, labelled, retained and protected against leakage.</t>
  </si>
  <si>
    <t xml:space="preserve">Asset inventory entries: 0 (a 17-row vendor inventory exists and is not an asset inventory). Endpoints registered: 0 of 50. Deletion certificates: 0. DLP alerts: 0.</t>
  </si>
  <si>
    <t xml:space="preserve">CGI-TPR-001 vendor inventory; CGI-GAP-001 ID.AM = 1</t>
  </si>
  <si>
    <t xml:space="preserve">17 vendor rows (100%, as an input only); 4 classification tiers (100%)</t>
  </si>
  <si>
    <t xml:space="preserve">Inspection; inquiry; attempted reconciliation of assets to classification</t>
  </si>
  <si>
    <t xml:space="preserve">1. Request the asset and SaaS inventory. 2. Test whether the four CGI-POL-004 tiers have been applied to any asset. 3. Request the endpoint register for the 50 BYOD devices. 4. Request retention/deletion records and DLP alert samples.</t>
  </si>
  <si>
    <t xml:space="preserve">CGI-POL-004 v1.0 four tiers and Handling Matrix (approved, never applied); EXC-003 (Restricted data on removable media); CGI-VEN-007 MonitorCo log scrubbing rules unverified</t>
  </si>
  <si>
    <t xml:space="preserve">PARTIAL - the classification scheme and handling matrix are approved and complete. No inventory exists for them to be applied to, and no DLP capability is designed.</t>
  </si>
  <si>
    <t xml:space="preserve">FAIL - the scheme has been applied to zero assets. No endpoint register exists for a 50-device BYOD estate.</t>
  </si>
  <si>
    <t xml:space="preserve">A classification scheme with nothing classified is a document, not a control. The vendor inventory delivered by CGI-TPR-001 is an input to the asset inventory and is frequently mistaken for it.</t>
  </si>
  <si>
    <t xml:space="preserve">OFI-05; OFI-18</t>
  </si>
  <si>
    <t xml:space="preserve">Part 5 - findings register. Ratings: Major / Minor / OFI.</t>
  </si>
  <si>
    <t xml:space="preserve">Finding ID</t>
  </si>
  <si>
    <t xml:space="preserve">Rating</t>
  </si>
  <si>
    <t xml:space="preserve">Clause or control</t>
  </si>
  <si>
    <t xml:space="preserve">Owner (job title)</t>
  </si>
  <si>
    <t xml:space="preserve">Management response / corrective action</t>
  </si>
  <si>
    <t xml:space="preserve">Due</t>
  </si>
  <si>
    <t xml:space="preserve">Roadmap link</t>
  </si>
  <si>
    <t xml:space="preserve">NC-01</t>
  </si>
  <si>
    <t xml:space="preserve">Major</t>
  </si>
  <si>
    <t xml:space="preserve">Clause 5.2</t>
  </si>
  <si>
    <t xml:space="preserve">No information security policy at ISMS level</t>
  </si>
  <si>
    <t xml:space="preserve">Five approved topic-specific policies (CGI-POL-001 to -005) do not together satisfy clause 5.2 a) to d): none is appropriate to the purpose of the ISMS as a whole, provides a framework for setting objectives, or commits to continual improvement of the ISMS.</t>
  </si>
  <si>
    <t xml:space="preserve">Chief Executive Officer</t>
  </si>
  <si>
    <t xml:space="preserve">Issue ISMS policy v1.0 meeting 5.2 a) to d); communicate and record acknowledgement.</t>
  </si>
  <si>
    <t xml:space="preserve">ISO-03</t>
  </si>
  <si>
    <t xml:space="preserve">NC-02</t>
  </si>
  <si>
    <t xml:space="preserve">Clause 6.1.2 a)</t>
  </si>
  <si>
    <t xml:space="preserve">No risk acceptance criteria</t>
  </si>
  <si>
    <t xml:space="preserve">The risk assessment method is documented and has operated twice, but no risk acceptance criteria or appetite exist. ACC-001 and ACC-V01 are in force and were therefore accepted against nothing.</t>
  </si>
  <si>
    <t xml:space="preserve">Approve risk acceptance criteria and appetite; re-ratify ACC-001 and ACC-V01 against them.</t>
  </si>
  <si>
    <t xml:space="preserve">ISO-05 (= REC-13 pulled forward)</t>
  </si>
  <si>
    <t xml:space="preserve">Clause 6.1.3 d)-f)</t>
  </si>
  <si>
    <t xml:space="preserve">SoA unapproved and residual risks unaccepted</t>
  </si>
  <si>
    <t xml:space="preserve">The Statement of Applicability exists in draft, is complete and traceable, and has not been approved. No single consolidated risk treatment plan exists, and the risk owners have not accepted the residual risk on R-004, R-005 or VR-004.</t>
  </si>
  <si>
    <t xml:space="preserve">Approve SoA v1.0 and one consolidated RTP; obtain signed residual acceptance for the three High residual risks.</t>
  </si>
  <si>
    <t xml:space="preserve">2026-11-30</t>
  </si>
  <si>
    <t xml:space="preserve">ISO-06</t>
  </si>
  <si>
    <t xml:space="preserve">Clause 6.2</t>
  </si>
  <si>
    <t xml:space="preserve">No information security objectives</t>
  </si>
  <si>
    <t xml:space="preserve">Fourteen key risk indicators exist. None carries a target, an owner, a timescale, a resourcing plan or an evaluation method, so none is an objective under 6.2 a) to j).</t>
  </si>
  <si>
    <t xml:space="preserve">Chief Technology Officer</t>
  </si>
  <si>
    <t xml:space="preserve">Set ISMS objectives built on the 14 KRIs, with targets, owners, dates and an evaluation method.</t>
  </si>
  <si>
    <t xml:space="preserve">ISO-07</t>
  </si>
  <si>
    <t xml:space="preserve">NC-05</t>
  </si>
  <si>
    <t xml:space="preserve">Clause 7.2</t>
  </si>
  <si>
    <t xml:space="preserve">No competence requirements or evidence</t>
  </si>
  <si>
    <t xml:space="preserve">No competence requirement is defined for any ISMS role and no documented evidence of competence is retained, as required by 7.2 d).</t>
  </si>
  <si>
    <t xml:space="preserve">Head of People and Operations</t>
  </si>
  <si>
    <t xml:space="preserve">Publish a role competence matrix; retain training, qualification and experience records.</t>
  </si>
  <si>
    <t xml:space="preserve">ISO-10</t>
  </si>
  <si>
    <t xml:space="preserve">NC-06</t>
  </si>
  <si>
    <t xml:space="preserve">Clause 9.2.1, 9.2.2</t>
  </si>
  <si>
    <t xml:space="preserve">No internal audit programme and no internal audit performed</t>
  </si>
  <si>
    <t xml:space="preserve">No audit programme exists (frequency, methods, responsibilities, criteria, scope, reporting) and no internal audit had been conducted before this engagement. This engagement does not close the requirement: the auditor prepared the Statement of Applicability under test.</t>
  </si>
  <si>
    <t xml:space="preserve">Approve an internal audit programme; commission an independent internal audit covering clauses 4-10 and the applicable controls.</t>
  </si>
  <si>
    <t xml:space="preserve">ISO-12</t>
  </si>
  <si>
    <t xml:space="preserve">Clause 9.3.1, 9.3.2, 9.3.3</t>
  </si>
  <si>
    <t xml:space="preserve">No management review has ever been held</t>
  </si>
  <si>
    <t xml:space="preserve">Top management has never reviewed the ISMS. No agenda covers the 9.3.2 a) to g) inputs and no documented results or decisions exist.</t>
  </si>
  <si>
    <t xml:space="preserve">Hold management review #1 (Mar 2027) and #2 (Jun 2027) on an agenda covering 9.3.2 a) to g); minute the decisions.</t>
  </si>
  <si>
    <t xml:space="preserve">ISO-13 (extends REC-10)</t>
  </si>
  <si>
    <t xml:space="preserve">NC-08</t>
  </si>
  <si>
    <t xml:space="preserve">Clause 10.2</t>
  </si>
  <si>
    <t xml:space="preserve">No nonconformity and corrective action process</t>
  </si>
  <si>
    <t xml:space="preserve">No process or log exists for reacting to nonconformity, evaluating root cause, taking corrective action and reviewing its effectiveness. The exception register (EXC-001 to EXC-003) records approved deviations, which are a different object.</t>
  </si>
  <si>
    <t xml:space="preserve">Publish an NC and corrective action procedure; open the log with the 19 nonconformities in this report.</t>
  </si>
  <si>
    <t xml:space="preserve">ISO-08</t>
  </si>
  <si>
    <t xml:space="preserve">A.5.20, A.5.34; GDPR Art. 28</t>
  </si>
  <si>
    <t xml:space="preserve">Six of seventeen vendors process data with no DPA</t>
  </si>
  <si>
    <t xml:space="preserve">Six vendors, 35% of the estate, process personal data on the organisation's behalf with no executed data processing agreement (KRI-V1 = 65%). Article 28(3) requires the agreement before processing begins and the processing is already happening, so the finding is independent of the SoA target date.</t>
  </si>
  <si>
    <t xml:space="preserve">Execute the six outstanding DPAs; build the GDPR Article 30 record of processing.</t>
  </si>
  <si>
    <t xml:space="preserve">ISO-09</t>
  </si>
  <si>
    <t xml:space="preserve">Minor</t>
  </si>
  <si>
    <t xml:space="preserve">Clause 4.1, 4.2</t>
  </si>
  <si>
    <t xml:space="preserve">Context and interested parties not documented</t>
  </si>
  <si>
    <t xml:space="preserve">Context survives only as six risk-register assumptions. No interested-parties register exists and the climate-change relevance decision required by Amd 1:2024 has never been made.</t>
  </si>
  <si>
    <t xml:space="preserve">Approve a context, interested-parties and obligations register including the climate-change decision.</t>
  </si>
  <si>
    <t xml:space="preserve">ISO-01</t>
  </si>
  <si>
    <t xml:space="preserve">NC-11</t>
  </si>
  <si>
    <t xml:space="preserve">Clause 4.3</t>
  </si>
  <si>
    <t xml:space="preserve">ISMS scope drafted but not approved</t>
  </si>
  <si>
    <t xml:space="preserve">The scope statement is complete and names interfaces and dependencies, but has not been approved by top management. This escalates to a major nonconformity if it is still unapproved at Stage 1.</t>
  </si>
  <si>
    <t xml:space="preserve">Approve the ISMS scope and boundary, including the CloudCo shared-responsibility statement.</t>
  </si>
  <si>
    <t xml:space="preserve">ISO-02</t>
  </si>
  <si>
    <t xml:space="preserve">NC-12</t>
  </si>
  <si>
    <t xml:space="preserve">Clause 5.1, 7.1</t>
  </si>
  <si>
    <t xml:space="preserve">ISMS budget and time allocation unapproved</t>
  </si>
  <si>
    <t xml:space="preserve">The USD 32,100 year-one budget is costed in CGI-RSK-001 and has not been approved, and no staff time is allocated to the ISMS.</t>
  </si>
  <si>
    <t xml:space="preserve">WP-03; WP-08</t>
  </si>
  <si>
    <t xml:space="preserve">Approve the year-one budget and a named time allocation for ISMS work.</t>
  </si>
  <si>
    <t xml:space="preserve">NC-13</t>
  </si>
  <si>
    <t xml:space="preserve">Clause 5.3</t>
  </si>
  <si>
    <t xml:space="preserve">No ISMS lead assigned and no RACI</t>
  </si>
  <si>
    <t xml:space="preserve">Document owners exist, but nobody is assigned responsibility for ensuring the ISMS conforms to the standard or for reporting its performance to top management.</t>
  </si>
  <si>
    <t xml:space="preserve">Assign the ISMS lead in writing; publish the ISMS RACI across the SoA controls.</t>
  </si>
  <si>
    <t xml:space="preserve">ISO-04</t>
  </si>
  <si>
    <t xml:space="preserve">Clause 6.1.1, 6.3</t>
  </si>
  <si>
    <t xml:space="preserve">ISMS risks, opportunities and change planning absent</t>
  </si>
  <si>
    <t xml:space="preserve">Risks and opportunities for the ISMS itself have never been determined, and there is no rule for making changes to the ISMS in a planned manner.</t>
  </si>
  <si>
    <t xml:space="preserve">Record ISMS risks and opportunities; add a change-planning step to the ISMS procedure.</t>
  </si>
  <si>
    <t xml:space="preserve">NC-15</t>
  </si>
  <si>
    <t xml:space="preserve">Clause 7.3; A.5.4, A.6.3</t>
  </si>
  <si>
    <t xml:space="preserve">Forty per cent of staff have not acknowledged the policy pack</t>
  </si>
  <si>
    <t xml:space="preserve">CGI-TRK-001 shows 30 of 50 staff acknowledged. Approximately 20 people are bound by rules they have not read, and there is no recurring or role-based awareness programme.</t>
  </si>
  <si>
    <t xml:space="preserve">WP-09; WP-16</t>
  </si>
  <si>
    <t xml:space="preserve">Drive acknowledgement to 100%; add a joiner acknowledgement gate; publish the annual curriculum.</t>
  </si>
  <si>
    <t xml:space="preserve">REC-04; REC-09</t>
  </si>
  <si>
    <t xml:space="preserve">NC-16</t>
  </si>
  <si>
    <t xml:space="preserve">Clause 7.5</t>
  </si>
  <si>
    <t xml:space="preserve">No documented-information control procedure or register</t>
  </si>
  <si>
    <t xml:space="preserve">Individual documents carry control blocks. There is no procedure controlling creation, update, approval, distribution and retention, and no ISMS document register.</t>
  </si>
  <si>
    <t xml:space="preserve">Publish the document and record control procedure and the ISMS document register.</t>
  </si>
  <si>
    <t xml:space="preserve">Clause 9.1</t>
  </si>
  <si>
    <t xml:space="preserve">Monitoring defined but not performed or reported</t>
  </si>
  <si>
    <t xml:space="preserve">One of fourteen indicators has been measured once, as a by-product of the vendor programme. There is no monitoring programme, no analysis or evaluation step and no reporting route.</t>
  </si>
  <si>
    <t xml:space="preserve">Publish a quarterly monitoring report covering all 14 KRIs and the ISMS objectives.</t>
  </si>
  <si>
    <t xml:space="preserve">ISO-07; REC-10</t>
  </si>
  <si>
    <t xml:space="preserve">NC-18</t>
  </si>
  <si>
    <t xml:space="preserve">Clause 4.4, 10.1</t>
  </si>
  <si>
    <t xml:space="preserve">The ISMS does not yet operate as one system</t>
  </si>
  <si>
    <t xml:space="preserve">Policies, register, gap assessment, vendor programme and SoA exist as separate deliverables with no process map linking them and no improvement loop fed by audits, indicators, incidents and exceptions.</t>
  </si>
  <si>
    <t xml:space="preserve">WP-02; WP-15</t>
  </si>
  <si>
    <t xml:space="preserve">Publish an ISMS overview linking the clause 4-10 processes; open the improvement log.</t>
  </si>
  <si>
    <t xml:space="preserve">NC-19</t>
  </si>
  <si>
    <t xml:space="preserve">Clause 7.4</t>
  </si>
  <si>
    <t xml:space="preserve">No ISMS communication plan</t>
  </si>
  <si>
    <t xml:space="preserve">Policies are published and incident communications are defined, but nothing states what ISMS information is communicated, when, to whom, by whom and how.</t>
  </si>
  <si>
    <t xml:space="preserve">Publish the ISMS communication plan.</t>
  </si>
  <si>
    <t xml:space="preserve">OFI</t>
  </si>
  <si>
    <t xml:space="preserve">A.5.30, A.8.13 (CG-01)</t>
  </si>
  <si>
    <t xml:space="preserve">Backups have never been restore-tested and no RTO or RPO is declared</t>
  </si>
  <si>
    <t xml:space="preserve">CloudCo snapshots are configured. No restore has been performed, no recovery objectives are declared and the data export path has never been exercised. The SoA target date is 15 Dec 2026 and has not passed, so this is not yet a nonconformity. It becomes one on 16 Dec 2026.</t>
  </si>
  <si>
    <t xml:space="preserve">IT Operations Manager</t>
  </si>
  <si>
    <t xml:space="preserve">Approve CGI-POL-006 with RTO and RPO; evidence one restore to a clean environment (this is REC-03 and VRA-2026-001 C4 - run it once).</t>
  </si>
  <si>
    <t xml:space="preserve">REC-03; ISO-11</t>
  </si>
  <si>
    <t xml:space="preserve">OFI-02</t>
  </si>
  <si>
    <t xml:space="preserve">CG-02, ten Annex A controls</t>
  </si>
  <si>
    <t xml:space="preserve">The code path behind R-004 is unprotected</t>
  </si>
  <si>
    <t xml:space="preserve">Ten controls tested in WP-22 are Not started: no secure development lifecycle, no coding standard, no mandatory peer review, no branch protection, no scanning, no penetration test, no environment separation, no change record. SoA target dates of 31 Mar 2027 have not passed; this becomes a nonconformity on 01 Apr 2027.</t>
  </si>
  <si>
    <t xml:space="preserve">Approve CGI-POL-007 and CGI-POL-008; enable branch protection requiring a second reviewer; start authenticated scanning.</t>
  </si>
  <si>
    <t xml:space="preserve">REC-06; REC-08</t>
  </si>
  <si>
    <t xml:space="preserve">OFI-03</t>
  </si>
  <si>
    <t xml:space="preserve">CG-03, A.8.9, A.8.20-A.8.22</t>
  </si>
  <si>
    <t xml:space="preserve">No cloud configuration baseline or drift detection</t>
  </si>
  <si>
    <t xml:space="preserve">No baseline, no posture monitoring, no network security baseline and no documented segmentation. This is the documented reason R-005 remains High.</t>
  </si>
  <si>
    <t xml:space="preserve">Implement a CIS AWS Foundations baseline with posture monitoring (Project 7 delivers this).</t>
  </si>
  <si>
    <t xml:space="preserve">REC-11</t>
  </si>
  <si>
    <t xml:space="preserve">OFI-04</t>
  </si>
  <si>
    <t xml:space="preserve">CG-04, A.6.3</t>
  </si>
  <si>
    <t xml:space="preserve">Awareness is induction-only</t>
  </si>
  <si>
    <t xml:space="preserve">No recurring curriculum, no role-based training, no phishing simulation and no module on the CGI-POL-001 s4.5 AI-use rules that two shadow-IT tools already breach.</t>
  </si>
  <si>
    <t xml:space="preserve">Publish the annual curriculum with a phishing simulation and an AI-use module.</t>
  </si>
  <si>
    <t xml:space="preserve">REC-09</t>
  </si>
  <si>
    <t xml:space="preserve">OFI-05</t>
  </si>
  <si>
    <t xml:space="preserve">CG-05, A.8.10-A.8.12</t>
  </si>
  <si>
    <t xml:space="preserve">No data loss prevention and no retention execution</t>
  </si>
  <si>
    <t xml:space="preserve">Monitoring is metadata-only. Retention limits are designed in CGI-POL-004 and have never been executed, and no masking exists for logs or lower environments.</t>
  </si>
  <si>
    <t xml:space="preserve">Implement egress and DLP rules on OfficeCo and CodeCo; execute the retention and deletion schedule.</t>
  </si>
  <si>
    <t xml:space="preserve">REC-17</t>
  </si>
  <si>
    <t xml:space="preserve">OFI-06</t>
  </si>
  <si>
    <t xml:space="preserve">Population completeness (IPE)</t>
  </si>
  <si>
    <t xml:space="preserve">The joiner, mover and leaver population cannot be established</t>
  </si>
  <si>
    <t xml:space="preserve">No joiner/leaver register and no archive of completed offboarding checklists exists, so the population for the four-hour revocation control could not be constructed or reconciled to an HR system of record. Five illustrative records in CGI-TRK-001 are not a population. Any future audit or SOC 2 examination will stop at the same point.</t>
  </si>
  <si>
    <t xml:space="preserve">WP-09; WP-17</t>
  </si>
  <si>
    <t xml:space="preserve">Maintain a joiner/mover/leaver register reconciled monthly to the HR system; retain completed offboarding checklists.</t>
  </si>
  <si>
    <t xml:space="preserve">ISO-11; REC-02</t>
  </si>
  <si>
    <t xml:space="preserve">OFI-07</t>
  </si>
  <si>
    <t xml:space="preserve">A.5.23; VRA-2026-001 C1</t>
  </si>
  <si>
    <t xml:space="preserve">Four CloudCo complementary user entity controls are unaccepted</t>
  </si>
  <si>
    <t xml:space="preserve">Organisation-wide CloudTrail with log file validation, MFA on the root account with restricted root use, least-privilege IAM with periodic review, and encryption management are all assumed by the provider's report and performed by nobody. If C1 is not met by 15 Dec 2026 the conditional pass lapses to Fail.</t>
  </si>
  <si>
    <t xml:space="preserve">WP-18; WP-23</t>
  </si>
  <si>
    <t xml:space="preserve">Sign the CUEC acceptance record naming four owners; publish the shared-responsibility statement.</t>
  </si>
  <si>
    <t xml:space="preserve">ISO-02; VRA-2026-001 C1</t>
  </si>
  <si>
    <t xml:space="preserve">OFI-08</t>
  </si>
  <si>
    <t xml:space="preserve">A.5.35; Clause 9.2.2 c)</t>
  </si>
  <si>
    <t xml:space="preserve">This engagement is not independent</t>
  </si>
  <si>
    <t xml:space="preserve">The auditor prepared CGI-ISO-001, including the Statement of Applicability tested in WP-06. Clause 9.2.2 c) requires auditor selection to ensure objectivity and impartiality. The limitation is declared in the audit plan and the affected workpapers are named.</t>
  </si>
  <si>
    <t xml:space="preserve">Appoint an auditor independent of the preparer for ISO-12; have the CEO review the WP-06 and WP-13 conclusions in the interim.</t>
  </si>
  <si>
    <t xml:space="preserve">OFI-09</t>
  </si>
  <si>
    <t xml:space="preserve">A.5.22; VRA-2026-002</t>
  </si>
  <si>
    <t xml:space="preserve">A Tier 1 vendor is operating in FAIL status with no risk acceptance</t>
  </si>
  <si>
    <t xml:space="preserve">ChatCo (CGI-VEN-004) scored 65% and failed on 15 Sep 2026. No CEO-approved, expiring risk acceptance on the ACC-001 pattern is on file. Re-assessment is due 15 Dec 2026.</t>
  </si>
  <si>
    <t xml:space="preserve">Remediate to a pass, or record a CEO-approved expiring acceptance, before Stage 1.</t>
  </si>
  <si>
    <t xml:space="preserve">VRA-2026-002 R1-R8</t>
  </si>
  <si>
    <t xml:space="preserve">OFI-10</t>
  </si>
  <si>
    <t xml:space="preserve">SOC 2 CC2.3</t>
  </si>
  <si>
    <t xml:space="preserve">No system description and no CUECs communicated to customers</t>
  </si>
  <si>
    <t xml:space="preserve">Approximately 200 customers have never been told which controls they must perform for the platform's controls to work. Nothing in ISO-01 to ISO-17 or REC-01 to REC-18 creates this artefact, because ISO 27001 does not require it.</t>
  </si>
  <si>
    <t xml:space="preserve">Approve the system description and the CUEC schedule (CGI-SOC-001 Part 3); publish the CUECs in the customer agreement and the trust page.</t>
  </si>
  <si>
    <t xml:space="preserve">SOC-02</t>
  </si>
  <si>
    <t xml:space="preserve">OFI-11</t>
  </si>
  <si>
    <t xml:space="preserve">SOC 2 CC3.3</t>
  </si>
  <si>
    <t xml:space="preserve">Fraud has never been considered as a risk category</t>
  </si>
  <si>
    <t xml:space="preserve">CGI-RSK-001 covers phishing, ransomware, insider exfiltration, an authorisation flaw and cloud misconfiguration. It does not consider fraudulent reporting, misappropriation of assets or corruption. ISO/IEC 27001 Annex A has no fraud control, so no ISO action would ever surface this.</t>
  </si>
  <si>
    <t xml:space="preserve">Add a fraud consideration to the next CGI-RSK-001 review, covering incentives, pressures, opportunities and rationalisations.</t>
  </si>
  <si>
    <t xml:space="preserve">SOC-04</t>
  </si>
  <si>
    <t xml:space="preserve">OFI-12</t>
  </si>
  <si>
    <t xml:space="preserve">SOC 2 A1 Availability</t>
  </si>
  <si>
    <t xml:space="preserve">No service commitments are published</t>
  </si>
  <si>
    <t xml:space="preserve">No SLA, uptime target or recovery commitment exists (assumption ISO-A04). The Availability category asks whether the system is available 'as committed'; with no commitment there is nothing to test against.</t>
  </si>
  <si>
    <t xml:space="preserve">Publish service commitments (uptime target, support response, recovery objectives) before any SOC 2 engagement includes Availability.</t>
  </si>
  <si>
    <t xml:space="preserve">SOC-05</t>
  </si>
  <si>
    <t xml:space="preserve">Clause 8.3</t>
  </si>
  <si>
    <t xml:space="preserve">Treatment actions are dated but unevidenced</t>
  </si>
  <si>
    <t xml:space="preserve">Wave 1 of the treatment plan is not yet due at the audit date, so non-completion is not a nonconformity. No status tracker with evidence per action exists, which will make the position untestable when the dates do pass.</t>
  </si>
  <si>
    <t xml:space="preserve">Open a treatment status tracker carrying evidence per action.</t>
  </si>
  <si>
    <t xml:space="preserve">OFI-14</t>
  </si>
  <si>
    <t xml:space="preserve">A.5.36, A.5.37</t>
  </si>
  <si>
    <t xml:space="preserve">No compliance checking and no procedures beneath the policies</t>
  </si>
  <si>
    <t xml:space="preserve">No compliance check against policy has ever run, and the runbooks the policies rely on do not exist. The planned runbook location shares CloudCo with the platform it would be used to recover.</t>
  </si>
  <si>
    <t xml:space="preserve">Add a quarterly compliance check to the management review agenda; write runbooks and store them outside the platform's own dependency.</t>
  </si>
  <si>
    <t xml:space="preserve">REC-12</t>
  </si>
  <si>
    <t xml:space="preserve">OFI-15</t>
  </si>
  <si>
    <t xml:space="preserve">A.5.18, A.8.2</t>
  </si>
  <si>
    <t xml:space="preserve">No privileged access review has ever been performed</t>
  </si>
  <si>
    <t xml:space="preserve">CGI-POL-003 s4.7.1 mandates a quarterly privileged access review. Zero have been performed. Four quarterly records are needed before a Stage 2 audit and before any SOC 2 Type II period.</t>
  </si>
  <si>
    <t xml:space="preserve">Perform and retain the first quarterly privileged access review.</t>
  </si>
  <si>
    <t xml:space="preserve">REC-02</t>
  </si>
  <si>
    <t xml:space="preserve">A.5.24-A.5.27</t>
  </si>
  <si>
    <t xml:space="preserve">Incident response has never been exercised</t>
  </si>
  <si>
    <t xml:space="preserve">The plan is approved and complete on severity, roles and targets. No containment runbooks exist, no out-of-band channel is named, and no exercise has been held, so there is no evidence of operation at all.</t>
  </si>
  <si>
    <t xml:space="preserve">Run a SEV1 tabletop; record lessons learned; name an out-of-band channel.</t>
  </si>
  <si>
    <t xml:space="preserve">OFI-17</t>
  </si>
  <si>
    <t xml:space="preserve">Segregation of duties on the code path</t>
  </si>
  <si>
    <t xml:space="preserve">Engineers can commit directly to production with no second person. This is the duty conflict behind R-004 and it is also the CC8.1 point of focus an examiner would test first.</t>
  </si>
  <si>
    <t xml:space="preserve">Publish a segregation-of-duties matrix; require a second reviewer in branch protection.</t>
  </si>
  <si>
    <t xml:space="preserve">REC-06</t>
  </si>
  <si>
    <t xml:space="preserve">OFI-18</t>
  </si>
  <si>
    <t xml:space="preserve">A.5.9, A.8.1</t>
  </si>
  <si>
    <t xml:space="preserve">No asset inventory and no endpoint register</t>
  </si>
  <si>
    <t xml:space="preserve">The 17-row vendor inventory is an input to an asset inventory and is frequently mistaken for one. Fifty BYOD endpoints are unregistered and unmanaged, and the four classification tiers have been applied to zero assets.</t>
  </si>
  <si>
    <t xml:space="preserve">Build the asset and SaaS inventory with an owner and a classification per asset; register the 50 endpoints.</t>
  </si>
  <si>
    <t xml:space="preserve">REC-05</t>
  </si>
  <si>
    <t xml:space="preserve">Major nonconformities</t>
  </si>
  <si>
    <t xml:space="preserve">Minor nonconformities</t>
  </si>
  <si>
    <t xml:space="preserve">Opportunities for improvement</t>
  </si>
  <si>
    <t xml:space="preserve">Total findings</t>
  </si>
  <si>
    <t xml:space="preserve">Part 6 - provided-by-client evidence request list.</t>
  </si>
  <si>
    <t xml:space="preserve">PBC ID</t>
  </si>
  <si>
    <t xml:space="preserve">Evidence requested</t>
  </si>
  <si>
    <t xml:space="preserve">Format</t>
  </si>
  <si>
    <t xml:space="preserve">Period</t>
  </si>
  <si>
    <t xml:space="preserve">Status</t>
  </si>
  <si>
    <t xml:space="preserve">Feeds workpaper</t>
  </si>
  <si>
    <t xml:space="preserve">PBC-01</t>
  </si>
  <si>
    <t xml:space="preserve">Governance</t>
  </si>
  <si>
    <t xml:space="preserve">Approved ISMS scope statement signed by the CEO</t>
  </si>
  <si>
    <t xml:space="preserve">PDF</t>
  </si>
  <si>
    <t xml:space="preserve">As at request</t>
  </si>
  <si>
    <t xml:space="preserve">2026-10-09</t>
  </si>
  <si>
    <t xml:space="preserve">Not available - draft only</t>
  </si>
  <si>
    <t xml:space="preserve">PBC-02</t>
  </si>
  <si>
    <t xml:space="preserve">Top-level information security policy meeting clause 5.2</t>
  </si>
  <si>
    <t xml:space="preserve">Current version</t>
  </si>
  <si>
    <t xml:space="preserve">Not available - does not exist</t>
  </si>
  <si>
    <t xml:space="preserve">PBC-03</t>
  </si>
  <si>
    <t xml:space="preserve">Context, interested parties and legal obligations register</t>
  </si>
  <si>
    <t xml:space="preserve">XLSX</t>
  </si>
  <si>
    <t xml:space="preserve">PBC-04</t>
  </si>
  <si>
    <t xml:space="preserve">Approved ISMS budget and allocated time</t>
  </si>
  <si>
    <t xml:space="preserve">PDF or email approval</t>
  </si>
  <si>
    <t xml:space="preserve">FY2027</t>
  </si>
  <si>
    <t xml:space="preserve">Not available - unapproved</t>
  </si>
  <si>
    <t xml:space="preserve">PBC-05</t>
  </si>
  <si>
    <t xml:space="preserve">Written assignment of the ISMS lead and the ISMS RACI</t>
  </si>
  <si>
    <t xml:space="preserve">PBC-06</t>
  </si>
  <si>
    <t xml:space="preserve">Risk</t>
  </si>
  <si>
    <t xml:space="preserve">Documented risk assessment method including acceptance criteria</t>
  </si>
  <si>
    <t xml:space="preserve">Partial - method held, acceptance criteria missing</t>
  </si>
  <si>
    <t xml:space="preserve">PBC-07</t>
  </si>
  <si>
    <t xml:space="preserve">Risk register with inherent and residual scores and owners</t>
  </si>
  <si>
    <t xml:space="preserve">v1.0 and v1.1</t>
  </si>
  <si>
    <t xml:space="preserve">Received - CGI-RSK-001 v1.1, 14 risks</t>
  </si>
  <si>
    <t xml:space="preserve">WP-05; WP-11</t>
  </si>
  <si>
    <t xml:space="preserve">PBC-08</t>
  </si>
  <si>
    <t xml:space="preserve">Signed risk acceptance records</t>
  </si>
  <si>
    <t xml:space="preserve">In force at request</t>
  </si>
  <si>
    <t xml:space="preserve">Received - ACC-001, ACC-V01, AVD-001</t>
  </si>
  <si>
    <t xml:space="preserve">PBC-09</t>
  </si>
  <si>
    <t xml:space="preserve">Statement of Applicability, approved</t>
  </si>
  <si>
    <t xml:space="preserve">XLSX or PDF</t>
  </si>
  <si>
    <t xml:space="preserve">Partial - draft held, approval missing</t>
  </si>
  <si>
    <t xml:space="preserve">PBC-10</t>
  </si>
  <si>
    <t xml:space="preserve">Consolidated risk treatment plan with residual acceptance by risk owners</t>
  </si>
  <si>
    <t xml:space="preserve">Not available - not consolidated</t>
  </si>
  <si>
    <t xml:space="preserve">PBC-11</t>
  </si>
  <si>
    <t xml:space="preserve">Information security objectives with targets, owners and dates</t>
  </si>
  <si>
    <t xml:space="preserve">PBC-12</t>
  </si>
  <si>
    <t xml:space="preserve">Headcount reconciliation: joiners, movers and leavers</t>
  </si>
  <si>
    <t xml:space="preserve">XLSX from the HR system</t>
  </si>
  <si>
    <t xml:space="preserve">12 months to the request date</t>
  </si>
  <si>
    <t xml:space="preserve">Not available - no register maintained</t>
  </si>
  <si>
    <t xml:space="preserve">PBC-13</t>
  </si>
  <si>
    <t xml:space="preserve">Policy acknowledgement report, per person</t>
  </si>
  <si>
    <t xml:space="preserve">XLSX export</t>
  </si>
  <si>
    <t xml:space="preserve">Current</t>
  </si>
  <si>
    <t xml:space="preserve">Partial - aggregate 60% held; per-person detail for 5 of 50</t>
  </si>
  <si>
    <t xml:space="preserve">PBC-14</t>
  </si>
  <si>
    <t xml:space="preserve">Completed offboarding checklists for all leavers in the period</t>
  </si>
  <si>
    <t xml:space="preserve">PDF set</t>
  </si>
  <si>
    <t xml:space="preserve">Not available - none retained</t>
  </si>
  <si>
    <t xml:space="preserve">PBC-15</t>
  </si>
  <si>
    <t xml:space="preserve">Competence matrix and training or certification records per ISMS role</t>
  </si>
  <si>
    <t xml:space="preserve">XLSX + PDF</t>
  </si>
  <si>
    <t xml:space="preserve">PBC-16</t>
  </si>
  <si>
    <t xml:space="preserve">Signed confidentiality or non-disclosure agreements</t>
  </si>
  <si>
    <t xml:space="preserve">All staff and contractors</t>
  </si>
  <si>
    <t xml:space="preserve">Not available - none on file</t>
  </si>
  <si>
    <t xml:space="preserve">PBC-17</t>
  </si>
  <si>
    <t xml:space="preserve">Access</t>
  </si>
  <si>
    <t xml:space="preserve">MFA enrolment report from the identity provider</t>
  </si>
  <si>
    <t xml:space="preserve">CSV export</t>
  </si>
  <si>
    <t xml:space="preserve">Partial - aggregate 80% held; no per-account export</t>
  </si>
  <si>
    <t xml:space="preserve">PBC-18</t>
  </si>
  <si>
    <t xml:space="preserve">Quarterly privileged access review records</t>
  </si>
  <si>
    <t xml:space="preserve">4 most recent quarters</t>
  </si>
  <si>
    <t xml:space="preserve">Not available - none performed</t>
  </si>
  <si>
    <t xml:space="preserve">PBC-19</t>
  </si>
  <si>
    <t xml:space="preserve">Privileged account list with business justification</t>
  </si>
  <si>
    <t xml:space="preserve">PBC-20</t>
  </si>
  <si>
    <t xml:space="preserve">SSO and SCIM coverage list by vendor</t>
  </si>
  <si>
    <t xml:space="preserve">Partial - identity provider known; 4 vendors not federated</t>
  </si>
  <si>
    <t xml:space="preserve">WP-17; WP-18</t>
  </si>
  <si>
    <t xml:space="preserve">PBC-21</t>
  </si>
  <si>
    <t xml:space="preserve">Vendor</t>
  </si>
  <si>
    <t xml:space="preserve">Vendor inventory with tier, owner, DPA status and review date</t>
  </si>
  <si>
    <t xml:space="preserve">Received - CGI-TPR-001, 17 vendors</t>
  </si>
  <si>
    <t xml:space="preserve">WP-18; WP-19</t>
  </si>
  <si>
    <t xml:space="preserve">PBC-22</t>
  </si>
  <si>
    <t xml:space="preserve">Executed data processing agreements</t>
  </si>
  <si>
    <t xml:space="preserve">All vendors processing personal data</t>
  </si>
  <si>
    <t xml:space="preserve">Partial - 11 of 17 executed</t>
  </si>
  <si>
    <t xml:space="preserve">PBC-23</t>
  </si>
  <si>
    <t xml:space="preserve">Completed vendor assessments for the period</t>
  </si>
  <si>
    <t xml:space="preserve">Received - VRA-2026-001, -002, -003</t>
  </si>
  <si>
    <t xml:space="preserve">PBC-24</t>
  </si>
  <si>
    <t xml:space="preserve">Signed CUEC acceptance record for the cloud provider</t>
  </si>
  <si>
    <t xml:space="preserve">Not available - four CUECs unaccepted</t>
  </si>
  <si>
    <t xml:space="preserve">PBC-25</t>
  </si>
  <si>
    <t xml:space="preserve">Sub-processor change feed subscription and first reconciliation</t>
  </si>
  <si>
    <t xml:space="preserve">Screenshot + PDF</t>
  </si>
  <si>
    <t xml:space="preserve">Not available - not subscribed</t>
  </si>
  <si>
    <t xml:space="preserve">PBC-26</t>
  </si>
  <si>
    <t xml:space="preserve">Operations</t>
  </si>
  <si>
    <t xml:space="preserve">Change or release record for the platform</t>
  </si>
  <si>
    <t xml:space="preserve">Not available - no change record exists</t>
  </si>
  <si>
    <t xml:space="preserve">PBC-27</t>
  </si>
  <si>
    <t xml:space="preserve">Branch protection configuration export</t>
  </si>
  <si>
    <t xml:space="preserve">JSON or screenshot</t>
  </si>
  <si>
    <t xml:space="preserve">Not available - not enabled</t>
  </si>
  <si>
    <t xml:space="preserve">PBC-28</t>
  </si>
  <si>
    <t xml:space="preserve">Vulnerability scan reports and remediation tickets</t>
  </si>
  <si>
    <t xml:space="preserve">PDF + CSV</t>
  </si>
  <si>
    <t xml:space="preserve">Not available - no scanning performed</t>
  </si>
  <si>
    <t xml:space="preserve">PBC-29</t>
  </si>
  <si>
    <t xml:space="preserve">Penetration test report</t>
  </si>
  <si>
    <t xml:space="preserve">Most recent</t>
  </si>
  <si>
    <t xml:space="preserve">Not available - never performed</t>
  </si>
  <si>
    <t xml:space="preserve">PBC-30</t>
  </si>
  <si>
    <t xml:space="preserve">Cloud configuration baseline and drift or posture reports</t>
  </si>
  <si>
    <t xml:space="preserve">Current + 12 months</t>
  </si>
  <si>
    <t xml:space="preserve">Not available - no baseline exists</t>
  </si>
  <si>
    <t xml:space="preserve">PBC-31</t>
  </si>
  <si>
    <t xml:space="preserve">CloudTrail configuration showing organisation-wide trail and log file validation</t>
  </si>
  <si>
    <t xml:space="preserve">Screenshot or CLI output</t>
  </si>
  <si>
    <t xml:space="preserve">Not available - unverified</t>
  </si>
  <si>
    <t xml:space="preserve">PBC-32</t>
  </si>
  <si>
    <t xml:space="preserve">Security alert rules and a sample of handled alerts</t>
  </si>
  <si>
    <t xml:space="preserve">Screenshot + ticket export</t>
  </si>
  <si>
    <t xml:space="preserve">Not available - no alert rules exist</t>
  </si>
  <si>
    <t xml:space="preserve">PBC-33</t>
  </si>
  <si>
    <t xml:space="preserve">Resilience</t>
  </si>
  <si>
    <t xml:space="preserve">Backup configuration and schedule</t>
  </si>
  <si>
    <t xml:space="preserve">Screenshot</t>
  </si>
  <si>
    <t xml:space="preserve">Received - CloudCo snapshot configuration</t>
  </si>
  <si>
    <t xml:space="preserve">PBC-34</t>
  </si>
  <si>
    <t xml:space="preserve">Declared RTO and RPO, approved</t>
  </si>
  <si>
    <t xml:space="preserve">Not available - not declared</t>
  </si>
  <si>
    <t xml:space="preserve">PBC-35</t>
  </si>
  <si>
    <t xml:space="preserve">Restore test reports</t>
  </si>
  <si>
    <t xml:space="preserve">Not available - no restore has been tested</t>
  </si>
  <si>
    <t xml:space="preserve">PBC-36</t>
  </si>
  <si>
    <t xml:space="preserve">Incident</t>
  </si>
  <si>
    <t xml:space="preserve">Incident register entries with severity and timeline</t>
  </si>
  <si>
    <t xml:space="preserve">Not available - no entries; no incidents recorded</t>
  </si>
  <si>
    <t xml:space="preserve">PBC-37</t>
  </si>
  <si>
    <t xml:space="preserve">Tabletop exercise record and lessons learned</t>
  </si>
  <si>
    <t xml:space="preserve">Not available - never exercised</t>
  </si>
  <si>
    <t xml:space="preserve">PBC-38</t>
  </si>
  <si>
    <t xml:space="preserve">Data</t>
  </si>
  <si>
    <t xml:space="preserve">Asset and SaaS inventory with owner and classification</t>
  </si>
  <si>
    <t xml:space="preserve">Not available - only the vendor inventory exists</t>
  </si>
  <si>
    <t xml:space="preserve">PBC-39</t>
  </si>
  <si>
    <t xml:space="preserve">Endpoint register with encryption and screen-lock compliance</t>
  </si>
  <si>
    <t xml:space="preserve">Not available - 50 BYOD endpoints unregistered</t>
  </si>
  <si>
    <t xml:space="preserve">PBC-40</t>
  </si>
  <si>
    <t xml:space="preserve">GDPR Article 30 record of processing activities</t>
  </si>
  <si>
    <t xml:space="preserve">PBC-41</t>
  </si>
  <si>
    <t xml:space="preserve">Monitoring</t>
  </si>
  <si>
    <t xml:space="preserve">KRI measurement results</t>
  </si>
  <si>
    <t xml:space="preserve">Partial - KRI-V1 measured once at 65%</t>
  </si>
  <si>
    <t xml:space="preserve">PBC-42</t>
  </si>
  <si>
    <t xml:space="preserve">Internal audit programme and prior audit reports</t>
  </si>
  <si>
    <t xml:space="preserve">Current + prior year</t>
  </si>
  <si>
    <t xml:space="preserve">Not available - none exist</t>
  </si>
  <si>
    <t xml:space="preserve">PBC-43</t>
  </si>
  <si>
    <t xml:space="preserve">Management review minutes with 9.3.2 inputs and decisions</t>
  </si>
  <si>
    <t xml:space="preserve">2 most recent</t>
  </si>
  <si>
    <t xml:space="preserve">Not available - never held</t>
  </si>
  <si>
    <t xml:space="preserve">PBC-44</t>
  </si>
  <si>
    <t xml:space="preserve">Nonconformity and corrective action log</t>
  </si>
  <si>
    <t xml:space="preserve">PBC-45</t>
  </si>
  <si>
    <t xml:space="preserve">SOC 2</t>
  </si>
  <si>
    <t xml:space="preserve">Draft system description and management assertion</t>
  </si>
  <si>
    <t xml:space="preserve">DOCX</t>
  </si>
  <si>
    <t xml:space="preserve">Not available - drafted in CGI-SOC-001 Part 3, unapproved</t>
  </si>
  <si>
    <t xml:space="preserve">PBC-46</t>
  </si>
  <si>
    <t xml:space="preserve">Published service commitments and system requirements (SLA)</t>
  </si>
  <si>
    <t xml:space="preserve">PDF or URL</t>
  </si>
  <si>
    <t xml:space="preserve">Not available - no SLA exists</t>
  </si>
  <si>
    <t xml:space="preserve">PBC-47</t>
  </si>
  <si>
    <t xml:space="preserve">Customer agreement clauses communicating CUECs</t>
  </si>
  <si>
    <t xml:space="preserve">Current template</t>
  </si>
  <si>
    <t xml:space="preserve">Head of Customer Success</t>
  </si>
  <si>
    <t xml:space="preserve">Not available - no CUECs communicated</t>
  </si>
  <si>
    <t xml:space="preserve">PBC-48</t>
  </si>
  <si>
    <t xml:space="preserve">Documentation</t>
  </si>
  <si>
    <t xml:space="preserve">Document and record control procedure and the ISMS document register</t>
  </si>
  <si>
    <t xml:space="preserve">PDF + XLSX</t>
  </si>
  <si>
    <t xml:space="preserve">PBC-49</t>
  </si>
  <si>
    <t xml:space="preserve">Approved topic-specific policies with approval records</t>
  </si>
  <si>
    <t xml:space="preserve">Current versions</t>
  </si>
  <si>
    <t xml:space="preserve">Received - CGI-POL-001 to -005 v1.0</t>
  </si>
  <si>
    <t xml:space="preserve">PBC-50</t>
  </si>
  <si>
    <t xml:space="preserve">Policy exception register</t>
  </si>
  <si>
    <t xml:space="preserve">Received - EXC-001 to EXC-003</t>
  </si>
  <si>
    <t xml:space="preserve">Received</t>
  </si>
  <si>
    <t xml:space="preserve">Partial</t>
  </si>
  <si>
    <t xml:space="preserve">Not available</t>
  </si>
  <si>
    <t xml:space="preserve">Total requests</t>
  </si>
  <si>
    <t xml:space="preserve">% of requested evidence that does not exist</t>
  </si>
  <si>
    <t xml:space="preserve">Part 7 - the SOC 2 path, reconciled against ISO-01 to ISO-17 and REC-01 to REC-18.</t>
  </si>
  <si>
    <t xml:space="preserve">ID</t>
  </si>
  <si>
    <t xml:space="preserve">Action</t>
  </si>
  <si>
    <t xml:space="preserve">Criteria served</t>
  </si>
  <si>
    <t xml:space="preserve">Start</t>
  </si>
  <si>
    <t xml:space="preserve">Phase</t>
  </si>
  <si>
    <t xml:space="preserve">Est. cost (USD)</t>
  </si>
  <si>
    <t xml:space="preserve">Dependency</t>
  </si>
  <si>
    <t xml:space="preserve">Note</t>
  </si>
  <si>
    <t xml:space="preserve">SOC-01</t>
  </si>
  <si>
    <t xml:space="preserve">Decide the report strategy and confirm the scope: Security + Availability + Confidentiality, CloudCo carved out, one system (the platform)</t>
  </si>
  <si>
    <t xml:space="preserve">All</t>
  </si>
  <si>
    <t xml:space="preserve">2026-10-01</t>
  </si>
  <si>
    <t xml:space="preserve">Phase 0 - Decide</t>
  </si>
  <si>
    <t xml:space="preserve">Runs with ISO-02: one scope decision serves both frameworks</t>
  </si>
  <si>
    <t xml:space="preserve">Approve the system description and the CUEC schedule; publish the CUECs in the customer agreement and on the trust page</t>
  </si>
  <si>
    <t xml:space="preserve">2027-01-01</t>
  </si>
  <si>
    <t xml:space="preserve">Phase 1 - Build</t>
  </si>
  <si>
    <t xml:space="preserve">No ISO action creates this. Closes OFI-10</t>
  </si>
  <si>
    <t xml:space="preserve">SOC-03</t>
  </si>
  <si>
    <t xml:space="preserve">Establish an oversight arrangement independent of management: an advisory board seat, or a documented CEO-plus-external-adviser review of the system of internal control</t>
  </si>
  <si>
    <t xml:space="preserve">ISO-13</t>
  </si>
  <si>
    <t xml:space="preserve">No ISO clause requires an independent governing body. Closes gate SG-2</t>
  </si>
  <si>
    <t xml:space="preserve">Add a fraud consideration to the risk assessment: fraudulent reporting, misappropriation of assets and corruption, with incentives, pressures, opportunities and rationalisations</t>
  </si>
  <si>
    <t xml:space="preserve">ISO-05</t>
  </si>
  <si>
    <t xml:space="preserve">ISO/IEC 27001 Annex A has no fraud control. Closes OFI-11</t>
  </si>
  <si>
    <t xml:space="preserve">Publish service commitments and system requirements: uptime target, support response times and recovery objectives</t>
  </si>
  <si>
    <t xml:space="preserve">A1.1, A1.2, A1.3</t>
  </si>
  <si>
    <t xml:space="preserve">Without a commitment, Availability has nothing to be tested against. Closes OFI-12</t>
  </si>
  <si>
    <t xml:space="preserve">SOC-06</t>
  </si>
  <si>
    <t xml:space="preserve">Map each control in the SoA to the criteria it serves and maintain the crosswalk as one control set</t>
  </si>
  <si>
    <t xml:space="preserve">2026-11-01</t>
  </si>
  <si>
    <t xml:space="preserve">Delivered in draft by CGI-SOC-001 Part 2; becomes a maintained artefact</t>
  </si>
  <si>
    <t xml:space="preserve">SOC-07</t>
  </si>
  <si>
    <t xml:space="preserve">Stand up evidence capture: ticketing for access reviews, change approvals, incident records, restore tests and vendor reviews, so that a population exists to sample</t>
  </si>
  <si>
    <t xml:space="preserve">REC-06; REC-07</t>
  </si>
  <si>
    <t xml:space="preserve">The single highest-value SOC 2 action. Closes OFI-06</t>
  </si>
  <si>
    <t xml:space="preserve">SOC-08</t>
  </si>
  <si>
    <t xml:space="preserve">Select a CPA firm for the examination. It must be independent of whoever performed the readiness work, and different from the ISO certification body</t>
  </si>
  <si>
    <t xml:space="preserve">2027-09-01</t>
  </si>
  <si>
    <t xml:space="preserve">2027-11-30</t>
  </si>
  <si>
    <t xml:space="preserve">Phase 2 - Engage</t>
  </si>
  <si>
    <t xml:space="preserve">ISO-14</t>
  </si>
  <si>
    <t xml:space="preserve">AICPA independence: the firm that builds controls cannot examine them</t>
  </si>
  <si>
    <t xml:space="preserve">SOC-09</t>
  </si>
  <si>
    <t xml:space="preserve">Readiness re-assessment against the 38 criteria using this workbook</t>
  </si>
  <si>
    <t xml:space="preserve">2027-11-01</t>
  </si>
  <si>
    <t xml:space="preserve">Re-run the scoring; target every gate PASS</t>
  </si>
  <si>
    <t xml:space="preserve">SOC-10</t>
  </si>
  <si>
    <t xml:space="preserve">Type I examination as of 31 March 2028</t>
  </si>
  <si>
    <t xml:space="preserve">2028-02-01</t>
  </si>
  <si>
    <t xml:space="preserve">2028-04-30</t>
  </si>
  <si>
    <t xml:space="preserve">Phase 3 - Report</t>
  </si>
  <si>
    <t xml:space="preserve">Planning estimate for a 50-person single-system scope</t>
  </si>
  <si>
    <t xml:space="preserve">SOC-11</t>
  </si>
  <si>
    <t xml:space="preserve">Type II observation period: 1 April 2028 to 30 September 2028</t>
  </si>
  <si>
    <t xml:space="preserve">2028-04-01</t>
  </si>
  <si>
    <t xml:space="preserve">2028-09-30</t>
  </si>
  <si>
    <t xml:space="preserve">Six months is the market norm for a first Type II</t>
  </si>
  <si>
    <t xml:space="preserve">SOC-12</t>
  </si>
  <si>
    <t xml:space="preserve">Type II examination and report issue</t>
  </si>
  <si>
    <t xml:space="preserve">2028-10-01</t>
  </si>
  <si>
    <t xml:space="preserve">2028-11-30</t>
  </si>
  <si>
    <t xml:space="preserve">Planning estimate. Certificate equivalent: the report, issued ~Nov 2028</t>
  </si>
  <si>
    <t xml:space="preserve">SOC-13</t>
  </si>
  <si>
    <t xml:space="preserve">Publish a trust page carrying the ISO certificate, the SOC 2 status and the CUEC schedule</t>
  </si>
  <si>
    <t xml:space="preserve">Answers the buyers who are asking today</t>
  </si>
  <si>
    <t xml:space="preserve">SOC-14</t>
  </si>
  <si>
    <t xml:space="preserve">Bridge statement covering the gap between the Type II period end and a buyer's due diligence date</t>
  </si>
  <si>
    <t xml:space="preserve">2028-12-01</t>
  </si>
  <si>
    <t xml:space="preserve">2029-01-31</t>
  </si>
  <si>
    <t xml:space="preserve">Phase 4 - Sustain</t>
  </si>
  <si>
    <t xml:space="preserve">The gap CGI itself found in a vendor (F-006, stale ChatCo SOC 2) - do not repeat it</t>
  </si>
  <si>
    <t xml:space="preserve">SOC 2-specific cost, planning estimate</t>
  </si>
  <si>
    <t xml:space="preserve">Additional to the ISO programme. ISO-12 is shared (see SC-07).</t>
  </si>
  <si>
    <t xml:space="preserve">Part 7 - conflicts stated explicitly, as required by the quality gates.</t>
  </si>
  <si>
    <t xml:space="preserve">Conflict</t>
  </si>
  <si>
    <t xml:space="preserve">Why it matters</t>
  </si>
  <si>
    <t xml:space="preserve">Resolution</t>
  </si>
  <si>
    <t xml:space="preserve">SC-01</t>
  </si>
  <si>
    <t xml:space="preserve">Two counts of the Statement of Applicability are in circulation: an earlier 0 Implemented / 44 Partial / 44 Not started, and the CGI-ISO-001 v1.2 figure of 0 / 45 / 43 after A.7.7 was corrected from 'Held: none' to Partial.</t>
  </si>
  <si>
    <t xml:space="preserve">Every criterion score in Part 2 is derived from the per-control maturities. A one-control difference changes the Annex A base and therefore the crosswalk.</t>
  </si>
  <si>
    <t xml:space="preserve">The canonical v1.2 figures are used throughout: 88 applicable, 0 Implemented, 45 Partial, 43 Not started, maturity distribution 43 / 23 / 22.</t>
  </si>
  <si>
    <t xml:space="preserve">SC-02</t>
  </si>
  <si>
    <t xml:space="preserve">Two certification-readiness figures are in circulation, 30.4% and 30.6%. CGI-ISO-001 Part 6 and its verification appendix both record 30.6%.</t>
  </si>
  <si>
    <t xml:space="preserve">A published readiness figure that differs between two documents is itself an audit finding.</t>
  </si>
  <si>
    <t xml:space="preserve">30.6% is used throughout. The 30.4% reference is corrected at source.</t>
  </si>
  <si>
    <t xml:space="preserve">SC-03</t>
  </si>
  <si>
    <t xml:space="preserve">No action anywhere in ISO-01 to ISO-17 or REC-01 to REC-18 produces a system description or a set of complementary user entity controls.</t>
  </si>
  <si>
    <t xml:space="preserve">ISO/IEC 27001 requires neither, so no ISO-driven plan would ever create them. Without them there is no SOC 2 engagement at all (gate SG-3, and the report has no Section 3).</t>
  </si>
  <si>
    <t xml:space="preserve">New action SOC-02. Mirrors RC-03 in CGI-ISO-001, where the internal audit was missing for the same structural reason.</t>
  </si>
  <si>
    <t xml:space="preserve">SC-04</t>
  </si>
  <si>
    <t xml:space="preserve">CC1.2 requires a governing body independent of management that exercises oversight of the system of internal control. ISO-13 creates management reviews chaired by the CEO, who is management.</t>
  </si>
  <si>
    <t xml:space="preserve">Gate SG-2 fails and cannot be closed by any ISO action. A 50-person founder-led company has no board.</t>
  </si>
  <si>
    <t xml:space="preserve">New action SOC-03: an advisory board seat or a documented CEO-plus-external-adviser review. State the arrangement in the system description rather than claiming a board that does not exist.</t>
  </si>
  <si>
    <t xml:space="preserve">SC-05</t>
  </si>
  <si>
    <t xml:space="preserve">CC3.3 requires the potential for fraud to be considered in assessing risks. ISO/IEC 27001:2022 Annex A contains no fraud control and CGI-RSK-001 v1.1 contains no fraud risk.</t>
  </si>
  <si>
    <t xml:space="preserve">A criterion with no ISO counterpart will never be surfaced by an ISO-driven roadmap.</t>
  </si>
  <si>
    <t xml:space="preserve">New action SOC-04. Recorded as OFI-11 in the internal audit so it enters the ISO improvement loop as well.</t>
  </si>
  <si>
    <t xml:space="preserve">SC-06</t>
  </si>
  <si>
    <t xml:space="preserve">The Availability category asks whether the system is available 'as committed'. Assumption ISO-A04 records that no contractual SLA figure exists anywhere in Projects 1-4. REC-14 delivers a status page, not a commitment.</t>
  </si>
  <si>
    <t xml:space="preserve">Availability cannot be examined against a commitment that has never been made.</t>
  </si>
  <si>
    <t xml:space="preserve">New action SOC-05: publish service commitments before any engagement includes A1. Until then, A1 is in scope for readiness planning only.</t>
  </si>
  <si>
    <t xml:space="preserve">SC-07</t>
  </si>
  <si>
    <t xml:space="preserve">ISO-12 budgets USD 6,000 for an independent internal audit in May 2027. The SOC 2 readiness work covers much of the same evidence.</t>
  </si>
  <si>
    <t xml:space="preserve">Paying twice for one walk through the same controls is waste, and two uncoordinated engagements produce two different views of the same facts.</t>
  </si>
  <si>
    <t xml:space="preserve">Combine them: one engagement in May 2027 delivering the ISO clause 9.2 internal audit and the SOC 2 readiness re-assessment. The independent auditor uses this workbook. No change to the ISO-12 budget.</t>
  </si>
  <si>
    <t xml:space="preserve">SC-08</t>
  </si>
  <si>
    <t xml:space="preserve">ISO-14 selects an accredited certification body. SOC 2 needs a CPA firm, and under the AICPA Code of Professional Conduct the firm that designs or implements controls cannot examine them.</t>
  </si>
  <si>
    <t xml:space="preserve">Appointing the readiness adviser as the examiner would void the report.</t>
  </si>
  <si>
    <t xml:space="preserve">New action SOC-08, with an explicit instruction that the readiness provider and the examining CPA firm must be different organisations.</t>
  </si>
  <si>
    <t xml:space="preserve">CGI-GAP-001 maturity projection</t>
  </si>
  <si>
    <t xml:space="preserve">Point in time</t>
  </si>
  <si>
    <t xml:space="preserve">Sum / Categories</t>
  </si>
  <si>
    <t xml:space="preserve">Overall score</t>
  </si>
  <si>
    <t xml:space="preserve">Categories that move</t>
  </si>
  <si>
    <t xml:space="preserve">Why</t>
  </si>
  <si>
    <t xml:space="preserve">Today, on delivery of CGI-SOC-001 and CGI-IAU-001</t>
  </si>
  <si>
    <t xml:space="preserve">29 / 22</t>
  </si>
  <si>
    <t xml:space="preserve">1.32</t>
  </si>
  <si>
    <t xml:space="preserve">No Category moves.</t>
  </si>
  <si>
    <t xml:space="preserve">A crosswalk maps controls and a dry-run audit tests them. Neither implements anything. The same restraint that held for Project 5 holds here: a prerequisite is not a score.</t>
  </si>
  <si>
    <t xml:space="preserve">After ISO-01 and ISO-02 are approved (Oct 2026)</t>
  </si>
  <si>
    <t xml:space="preserve">30 / 22</t>
  </si>
  <si>
    <t xml:space="preserve">1.36</t>
  </si>
  <si>
    <t xml:space="preserve">GV.OC 1 -&gt; 2</t>
  </si>
  <si>
    <t xml:space="preserve">Context, interested parties, obligations and the approved scope are the documented outputs GV.OC asks for.</t>
  </si>
  <si>
    <t xml:space="preserve">After the independent ISO-12 audit and management review #2 (Jun 2027)</t>
  </si>
  <si>
    <t xml:space="preserve">32 / 22</t>
  </si>
  <si>
    <t xml:space="preserve">1.45</t>
  </si>
  <si>
    <t xml:space="preserve">GV.OV 1 -&gt; 3, with GV.OC already at 2</t>
  </si>
  <si>
    <t xml:space="preserve">A completed, independent internal audit whose results are reported to top management and whose findings enter a corrective action log IS operating evidence of oversight. A.5.35 moves from Not started to Implemented at the same moment.</t>
  </si>
  <si>
    <t xml:space="preserve">Every row must read PASS before this workbook is published.</t>
  </si>
  <si>
    <t xml:space="preserve">#</t>
  </si>
  <si>
    <t xml:space="preserve">Check</t>
  </si>
  <si>
    <t xml:space="preserve">Expected</t>
  </si>
  <si>
    <t xml:space="preserve">Actual (formula)</t>
  </si>
  <si>
    <t xml:space="preserve">Every criterion has at least one mapped requirement</t>
  </si>
  <si>
    <t xml:space="preserve">38 rows with items &gt; 0</t>
  </si>
  <si>
    <t xml:space="preserve">Criteria counted</t>
  </si>
  <si>
    <t xml:space="preserve">38</t>
  </si>
  <si>
    <t xml:space="preserve">Security criteria counted</t>
  </si>
  <si>
    <t xml:space="preserve">33</t>
  </si>
  <si>
    <t xml:space="preserve">Availability + Confidentiality criteria</t>
  </si>
  <si>
    <t xml:space="preserve">5</t>
  </si>
  <si>
    <t xml:space="preserve">Annex A controls in the source sheet</t>
  </si>
  <si>
    <t xml:space="preserve">93</t>
  </si>
  <si>
    <t xml:space="preserve">Applicable Annex A controls</t>
  </si>
  <si>
    <t xml:space="preserve">88</t>
  </si>
  <si>
    <t xml:space="preserve">Excluded Annex A controls</t>
  </si>
  <si>
    <t xml:space="preserve">Annex A Implemented</t>
  </si>
  <si>
    <t xml:space="preserve">Annex A Partial</t>
  </si>
  <si>
    <t xml:space="preserve">45</t>
  </si>
  <si>
    <t xml:space="preserve">Annex A Not started</t>
  </si>
  <si>
    <t xml:space="preserve">43</t>
  </si>
  <si>
    <t xml:space="preserve">Clause requirements assessed</t>
  </si>
  <si>
    <t xml:space="preserve">28</t>
  </si>
  <si>
    <t xml:space="preserve">Clause score total</t>
  </si>
  <si>
    <t xml:space="preserve">19</t>
  </si>
  <si>
    <t xml:space="preserve">Clause requirements fully met</t>
  </si>
  <si>
    <t xml:space="preserve">1</t>
  </si>
  <si>
    <t xml:space="preserve">ISO Stage 1 gates that fail</t>
  </si>
  <si>
    <t xml:space="preserve">8</t>
  </si>
  <si>
    <t xml:space="preserve">SOC 2 gate failures</t>
  </si>
  <si>
    <t xml:space="preserve">6</t>
  </si>
  <si>
    <t xml:space="preserve">Type I readiness</t>
  </si>
  <si>
    <t xml:space="preserve">53.9%</t>
  </si>
  <si>
    <t xml:space="preserve">Type II readiness</t>
  </si>
  <si>
    <t xml:space="preserve">36.0%</t>
  </si>
  <si>
    <t xml:space="preserve">Workpapers</t>
  </si>
  <si>
    <t xml:space="preserve">24</t>
  </si>
  <si>
    <t xml:space="preserve">9</t>
  </si>
  <si>
    <t xml:space="preserve">10</t>
  </si>
  <si>
    <t xml:space="preserve">18</t>
  </si>
  <si>
    <t xml:space="preserve">37</t>
  </si>
  <si>
    <t xml:space="preserve">Every finding carries an owner and a due date</t>
  </si>
  <si>
    <t xml:space="preserve">0 blanks</t>
  </si>
  <si>
    <t xml:space="preserve">PBC requests</t>
  </si>
  <si>
    <t xml:space="preserve">50</t>
  </si>
  <si>
    <t xml:space="preserve">SOC 2 roadmap actions</t>
  </si>
  <si>
    <t xml:space="preserve">14</t>
  </si>
  <si>
    <t xml:space="preserve">Reconciliation conflicts stated</t>
  </si>
  <si>
    <t xml:space="preserve">CUECs written for customers</t>
  </si>
  <si>
    <t xml:space="preserve">CSOCs relied on from the carved-out provider</t>
  </si>
  <si>
    <t xml:space="preserve">ALL CHECKS</t>
  </si>
  <si>
    <t xml:space="preserve">30 PASS</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</si>
</sst>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9"/>
      <name val="Arial"/>
      <family val="0"/>
      <charset val="1"/>
    </font>
    <font>
      <sz val="9"/>
      <name val="Arial"/>
      <family val="0"/>
      <charset val="1"/>
    </font>
    <font>
      <b val="true"/>
      <sz val="12"/>
      <color rgb="FF1F3864"/>
      <name val="Arial"/>
      <family val="0"/>
      <charset val="1"/>
    </font>
    <font>
      <b val="true"/>
      <sz val="9"/>
      <color rgb="FFFFFFFF"/>
      <name val="Arial"/>
      <family val="0"/>
      <charset val="1"/>
    </font>
    <font>
      <b val="true"/>
      <sz val="10"/>
      <color rgb="FFC00000"/>
      <name val="Arial"/>
      <family val="0"/>
      <charset val="1"/>
    </font>
    <font>
      <b val="true"/>
      <sz val="10"/>
      <color rgb="FF1F3864"/>
      <name val="Arial"/>
      <family val="0"/>
      <charset val="1"/>
    </font>
  </fonts>
  <fills count="8">
    <fill>
      <patternFill patternType="none"/>
    </fill>
    <fill>
      <patternFill patternType="gray125"/>
    </fill>
    <fill>
      <patternFill patternType="solid">
        <fgColor rgb="FFFCE4C4"/>
        <bgColor rgb="FFFFF2CC"/>
      </patternFill>
    </fill>
    <fill>
      <patternFill patternType="solid">
        <fgColor rgb="FFFFF2CC"/>
        <bgColor rgb="FFFCE4C4"/>
      </patternFill>
    </fill>
    <fill>
      <patternFill patternType="solid">
        <fgColor rgb="FFE8E8E8"/>
        <bgColor rgb="FFD5EAD5"/>
      </patternFill>
    </fill>
    <fill>
      <patternFill patternType="solid">
        <fgColor rgb="FFD5EAD5"/>
        <bgColor rgb="FFE8E8E8"/>
      </patternFill>
    </fill>
    <fill>
      <patternFill patternType="solid">
        <fgColor rgb="FFF8D2D2"/>
        <bgColor rgb="FFFCE4C4"/>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xf numFmtId="165" fontId="5" fillId="6"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5" fontId="4"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6" fontId="5" fillId="2" borderId="1" xfId="0" applyFont="true" applyBorder="true" applyAlignment="true" applyProtection="false">
      <alignment horizontal="general" vertical="top" textRotation="0" wrapText="true" indent="0" shrinkToFit="false"/>
      <protection locked="true" hidden="false"/>
    </xf>
    <xf numFmtId="165" fontId="4" fillId="6"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top" textRotation="0" wrapText="true" indent="0" shrinkToFit="false"/>
      <protection locked="true" hidden="false"/>
    </xf>
    <xf numFmtId="166" fontId="4"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4"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8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EAD5"/>
      <rgbColor rgb="FFFCE4C4"/>
      <rgbColor rgb="FF99CCFF"/>
      <rgbColor rgb="FFFF99CC"/>
      <rgbColor rgb="FFCC99FF"/>
      <rgbColor rgb="FFF8D2D2"/>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8"/>
  </cols>
  <sheetData>
    <row r="1" customFormat="false" ht="13.5" hidden="false" customHeight="true" outlineLevel="0" collapsed="false">
      <c r="A1" s="2" t="inlineStr">
        <is>
          <t xml:space="preserve">CGI-SOC-001 / CGI-IAU-001</t>
        </is>
      </c>
      <c r="B1" s="3" t="inlineStr">
        <is>
          <t xml:space="preserve">SOC 2 Type II Readiness Assessment and ISO 27001 Internal Audit Workpapers</t>
        </is>
      </c>
    </row>
    <row r="2" customFormat="false" ht="13.5" hidden="false" customHeight="true" outlineLevel="0" collapsed="false">
      <c r="A2" s="2" t="inlineStr">
        <is>
          <t xml:space="preserve">Organisation</t>
        </is>
      </c>
      <c r="B2" s="3" t="inlineStr">
        <is>
          <t xml:space="preserve">Cypher Group Inc. (SIMULATED) - 50 employees, B2B SaaS project-management platform, ~200 SMB customers</t>
        </is>
      </c>
    </row>
    <row r="3" customFormat="false" ht="60" hidden="false" customHeight="true" outlineLevel="0" collapsed="false">
      <c r="A3" s="2" t="inlineStr">
        <is>
          <t xml:space="preserve">CASE STUDY NOTICE</t>
        </is>
      </c>
      <c r="B3" s="4" t="inlineStr">
        <is>
          <t xml:space="preserve">Cypher Group Inc. is a simulated company. Every finding, score, date, cost and figure was created to demonstrate applied GRC methodology. This is a portfolio artifact, not evidence of employment or of a real engagement.</t>
        </is>
      </c>
    </row>
    <row r="4" customFormat="false" ht="30" hidden="false" customHeight="true" outlineLevel="0" collapsed="false">
      <c r="A4" s="2" t="inlineStr">
        <is>
          <t xml:space="preserve">Criteria version</t>
        </is>
      </c>
      <c r="B4" s="3" t="inlineStr">
        <is>
          <t xml:space="preserve">AICPA 2017 Trust Services Criteria with the 2022 revised points of focus. Security (CC1-CC9), Availability (A1), Confidentiality (C1). Criteria wording is paraphrased; obtain the criteria from the AICPA.</t>
        </is>
      </c>
    </row>
    <row r="5" customFormat="false" ht="30" hidden="false" customHeight="true" outlineLevel="0" collapsed="false">
      <c r="A5" s="2" t="inlineStr">
        <is>
          <t xml:space="preserve">Standard version</t>
        </is>
      </c>
      <c r="B5" s="3" t="inlineStr">
        <is>
          <t xml:space="preserve">ISO/IEC 27001:2022 including Amd 1:2024. Requirement wording is paraphrased; obtain the standard from ISO or a national body.</t>
        </is>
      </c>
    </row>
    <row r="6" customFormat="false" ht="13.5" hidden="false" customHeight="true" outlineLevel="0" collapsed="false">
      <c r="A6" s="2" t="inlineStr">
        <is>
          <t xml:space="preserve">Prepared by</t>
        </is>
      </c>
      <c r="B6" s="3" t="inlineStr">
        <is>
          <t xml:space="preserve">O.S (assessor and internal auditor)</t>
        </is>
      </c>
    </row>
    <row r="7" customFormat="false" ht="13.5" hidden="false" customHeight="true" outlineLevel="0" collapsed="false">
      <c r="A7" s="2" t="inlineStr">
        <is>
          <t xml:space="preserve">Approved by</t>
        </is>
      </c>
      <c r="B7" s="3" t="inlineStr">
        <is>
          <t xml:space="preserve">Jerry Olugboye, Chief Executive Officer</t>
        </is>
      </c>
    </row>
    <row r="8" customFormat="false" ht="13.5" hidden="false" customHeight="true" outlineLevel="0" collapsed="false">
      <c r="A8" s="2" t="inlineStr">
        <is>
          <t xml:space="preserve">Date</t>
        </is>
      </c>
      <c r="B8" s="3" t="inlineStr">
        <is>
          <t xml:space="preserve">25 September 2026</t>
        </is>
      </c>
    </row>
    <row r="9" customFormat="false" ht="30" hidden="false" customHeight="true" outlineLevel="0" collapsed="false">
      <c r="A9" s="2" t="inlineStr">
        <is>
          <t xml:space="preserve">Inputs consumed</t>
        </is>
      </c>
      <c r="B9" s="3" t="inlineStr">
        <is>
          <t xml:space="preserve">CGI-POL-001 to -005 v1.0 | CGI-TRK-001 | EXC-001 to -003 | CGI-RSK-001 v1.1 (14 risks) | CGI-GAP-001 v1.0 (as updated by Project 4) | CGI-TPR-001 / -002 (17 vendors) | CGI-ISO-001 v1.0 draft (93-control SoA)</t>
        </is>
      </c>
    </row>
    <row r="10" customFormat="false" ht="60" hidden="false" customHeight="true" outlineLevel="0" collapsed="false">
      <c r="A10" s="2" t="inlineStr">
        <is>
          <t xml:space="preserve">INDEPENDENCE LIMITATION</t>
        </is>
      </c>
      <c r="B10" s="4" t="inlineStr">
        <is>
          <t xml:space="preserve">The auditor prepared CGI-ISO-001, including the Statement of Applicability tested in WP-06. ISO/IEC 27001 clause 9.2.2 c) requires auditor objectivity and impartiality. This engagement is therefore a DRY RUN: it delivers the method and the workpapers, not conformity with clause 9.2. See finding OFI-08.</t>
        </is>
      </c>
    </row>
    <row r="11" customFormat="false" ht="13.5" hidden="false" customHeight="true" outlineLevel="0" collapsed="false">
      <c r="A11" s="2" t="inlineStr">
        <is>
          <t xml:space="preserve">COLOUR LEGEND</t>
        </is>
      </c>
      <c r="B11" s="3"/>
    </row>
    <row r="12" customFormat="false" ht="13.5" hidden="false" customHeight="true" outlineLevel="0" collapsed="false">
      <c r="A12" s="2" t="inlineStr">
        <is>
          <t xml:space="preserve">  Yellow</t>
        </is>
      </c>
      <c r="B12" s="5" t="inlineStr">
        <is>
          <t xml:space="preserve">User input - replace with your own data</t>
        </is>
      </c>
    </row>
    <row r="13" customFormat="false" ht="13.5" hidden="false" customHeight="true" outlineLevel="0" collapsed="false">
      <c r="A13" s="2" t="inlineStr">
        <is>
          <t xml:space="preserve">  Grey</t>
        </is>
      </c>
      <c r="B13" s="6" t="inlineStr">
        <is>
          <t xml:space="preserve">Formula - do not overtype</t>
        </is>
      </c>
    </row>
    <row r="14" customFormat="false" ht="13.5" hidden="false" customHeight="true" outlineLevel="0" collapsed="false">
      <c r="A14" s="2" t="inlineStr">
        <is>
          <t xml:space="preserve">  Green</t>
        </is>
      </c>
      <c r="B14" s="7" t="inlineStr">
        <is>
          <t xml:space="preserve">Pass / worked example</t>
        </is>
      </c>
    </row>
    <row r="15" customFormat="false" ht="13.5" hidden="false" customHeight="true" outlineLevel="0" collapsed="false">
      <c r="A15" s="2" t="inlineStr">
        <is>
          <t xml:space="preserve">  Red</t>
        </is>
      </c>
      <c r="B15" s="8" t="inlineStr">
        <is>
          <t xml:space="preserve">Fail / zero</t>
        </is>
      </c>
    </row>
    <row r="16" customFormat="false" ht="13.5" hidden="false" customHeight="true" outlineLevel="0" collapsed="false">
      <c r="A16" s="2" t="inlineStr">
        <is>
          <t xml:space="preserve">  Amber</t>
        </is>
      </c>
      <c r="B16" s="4" t="inlineStr">
        <is>
          <t xml:space="preserve">Partial / conditional</t>
        </is>
      </c>
    </row>
    <row r="17" customFormat="false" ht="90" hidden="false" customHeight="true" outlineLevel="0" collapsed="false">
      <c r="A17" s="2" t="inlineStr">
        <is>
          <t xml:space="preserve">SCORING METHOD</t>
        </is>
      </c>
      <c r="B17" s="3" t="inlineStr">
        <is>
          <t xml:space="preserve">Criterion Readiness Level (CRL) = mean of the mapped item maturities, banded: &lt;0.5=0, 0.5-1.49=1, 1.5-2.49=2, &gt;=2.5=3. Management-system requirements score 0-2 and convert 0-&gt;0, 1-&gt;2, 2-&gt;3. Design is Adequate only when CRL&gt;=2 AND no mapped control sits at maturity 0. Operating is Evidenced only at CRL 3. Type I readiness = SUM(MIN(CRL,2))/(38x2). Type II readiness = SUM(CRL)/(38x3). Gate override: any failed gate = NO-GO whatever the percentage.</t>
        </is>
      </c>
    </row>
    <row r="18" customFormat="false" ht="60" hidden="false" customHeight="true" outlineLevel="0" collapsed="false">
      <c r="A18" s="2" t="inlineStr">
        <is>
          <t xml:space="preserve">HOW TO USE</t>
        </is>
      </c>
      <c r="B18" s="3" t="inlineStr">
        <is>
          <t xml:space="preserve">1. Replace 03_AnnexA_Maturity and 04_Clause_Readiness with your own assessment. 2. Adjust 02_Crosswalk_Map if your control set differs. 3. Everything on 01_TSC_Crosswalk, 06_Readiness_Score and 07_Gates recalculates. 4. Recalculate the whole workbook before you publish: LibreOffice Ctrl+Shift+F9, Excel Ctrl+Alt+F9.</t>
        </is>
      </c>
    </row>
    <row r="19" customFormat="false" ht="30" hidden="false" customHeight="true" outlineLevel="0" collapsed="false">
      <c r="A19" s="2" t="inlineStr">
        <is>
          <t xml:space="preserve">GITHUB</t>
        </is>
      </c>
      <c r="B19" s="3" t="inlineStr">
        <is>
          <t xml:space="preserve">Upload to grc-portfolio/06-soc2-readiness-internal-audit/. Create folders by typing 06-soc2-readiness-internal-audit/filename as the file path; GitHub has no 'new folder' button.</t>
        </is>
      </c>
    </row>
    <row r="20" customFormat="false" ht="30" hidden="false" customHeight="true" outlineLevel="0" collapsed="false">
      <c r="A20" s="2" t="inlineStr">
        <is>
          <t xml:space="preserve">NOTION</t>
        </is>
      </c>
      <c r="B20" s="3" t="inlineStr">
        <is>
          <t xml:space="preserve">Import each data/*.csv as a database. Set Rating, Status, Design verdict and Owner to Select; CRL, Mean and Maturity to Number; dates to Date.</t>
        </is>
      </c>
    </row>
    <row r="21" customFormat="false" ht="13.5" hidden="false" customHeight="true" outlineLevel="0" collapsed="false">
      <c r="A21" s="2" t="inlineStr">
        <is>
          <t xml:space="preserve">VERIFICATION</t>
        </is>
      </c>
      <c r="B21" s="3" t="inlineStr">
        <is>
          <t xml:space="preserve">16_Issue_Checklist must read PASS on every row before this workbook is published.</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30"/>
    <col collapsed="false" customWidth="true" hidden="false" outlineLevel="0" max="5" min="4" style="1" width="56"/>
    <col collapsed="false" customWidth="true" hidden="false" outlineLevel="0" max="6" min="6" style="1" width="34"/>
    <col collapsed="false" customWidth="true" hidden="false" outlineLevel="0" max="7" min="7" style="1" width="18"/>
    <col collapsed="false" customWidth="true" hidden="false" outlineLevel="0" max="8" min="8" style="1" width="10"/>
    <col collapsed="false" customWidth="true" hidden="false" outlineLevel="0" max="10" min="9" style="1" width="13"/>
    <col collapsed="false" customWidth="true" hidden="false" outlineLevel="0" max="11" min="11" style="1" width="9"/>
    <col collapsed="false" customWidth="true" hidden="false" outlineLevel="0" max="12" min="12" style="1" width="11"/>
    <col collapsed="false" customWidth="true" hidden="false" outlineLevel="0" max="13" min="13" style="1" width="32"/>
    <col collapsed="false" customWidth="true" hidden="false" outlineLevel="0" max="14" min="14" style="1" width="13"/>
    <col collapsed="false" customWidth="true" hidden="false" outlineLevel="0" max="15" min="15" style="1" width="14"/>
    <col collapsed="false" customWidth="true" hidden="false" outlineLevel="0" max="16" min="16" style="1" width="32"/>
    <col collapsed="false" customWidth="true" hidden="false" outlineLevel="0" max="17" min="17" style="1" width="40"/>
    <col collapsed="false" customWidth="true" hidden="false" outlineLevel="0" max="18" min="18" style="1" width="8"/>
  </cols>
  <sheetData>
    <row r="1" customFormat="false" ht="15" hidden="false" customHeight="true" outlineLevel="0" collapsed="false">
      <c r="A1" s="9" t="s">
        <v>41</v>
      </c>
    </row>
    <row r="3" customFormat="false" ht="42" hidden="false" customHeight="true" outlineLevel="0" collapsed="false">
      <c r="A3" s="10" t="s">
        <v>42</v>
      </c>
      <c r="B3" s="10" t="s">
        <v>43</v>
      </c>
      <c r="C3" s="10" t="s">
        <v>44</v>
      </c>
      <c r="D3" s="10" t="s">
        <v>45</v>
      </c>
      <c r="E3" s="10" t="s">
        <v>46</v>
      </c>
      <c r="F3" s="10" t="s">
        <v>47</v>
      </c>
      <c r="G3" s="10" t="s">
        <v>48</v>
      </c>
      <c r="H3" s="10" t="s">
        <v>49</v>
      </c>
      <c r="I3" s="10" t="s">
        <v>50</v>
      </c>
      <c r="J3" s="10" t="s">
        <v>51</v>
      </c>
      <c r="K3" s="10" t="s">
        <v>52</v>
      </c>
      <c r="L3" s="10" t="s">
        <v>53</v>
      </c>
      <c r="M3" s="10" t="s">
        <v>54</v>
      </c>
      <c r="N3" s="10" t="s">
        <v>55</v>
      </c>
      <c r="O3" s="10" t="s">
        <v>56</v>
      </c>
      <c r="P3" s="10" t="s">
        <v>57</v>
      </c>
      <c r="Q3" s="10" t="s">
        <v>58</v>
      </c>
      <c r="R3" s="10" t="s">
        <v>59</v>
      </c>
    </row>
    <row r="4" customFormat="false" ht="21.75" hidden="false" customHeight="true" outlineLevel="0" collapsed="false">
      <c r="A4" s="11" t="s">
        <v>60</v>
      </c>
      <c r="B4" s="11" t="s">
        <v>61</v>
      </c>
      <c r="C4" s="11" t="s">
        <v>62</v>
      </c>
      <c r="D4" s="11" t="s">
        <v>63</v>
      </c>
      <c r="E4" s="11" t="s">
        <v>64</v>
      </c>
      <c r="F4" s="11" t="s">
        <v>65</v>
      </c>
      <c r="G4" s="11" t="s">
        <v>66</v>
      </c>
      <c r="H4" s="12" t="n">
        <f aca="false">COUNTIF(02_Crosswalk_Map!$A$4:$A$177,A4)</f>
        <v>7</v>
      </c>
      <c r="I4" s="12" t="n">
        <f aca="false">ROUND(AVERAGEIF(02_Crosswalk_Map!$A$4:$A$177,A4,02_Crosswalk_Map!$D$4:$D$177),2)</f>
        <v>1</v>
      </c>
      <c r="J4" s="12" t="n">
        <f aca="false">COUNTIFS(02_Crosswalk_Map!$A$4:$A$177,A4,02_Crosswalk_Map!$D$4:$D$177,0)</f>
        <v>3</v>
      </c>
      <c r="K4" s="12" t="n">
        <f aca="false">IF(I4&lt;0.5,0,IF(I4&lt;1.5,1,IF(I4&lt;2.5,2,3)))</f>
        <v>1</v>
      </c>
      <c r="L4" s="12" t="n">
        <f aca="false">MIN(K4,2)</f>
        <v>1</v>
      </c>
      <c r="M4" s="12" t="str">
        <f aca="false">CHOOSE(K4+1,"0 Absent","1 Documented only","2 Designed and implemented, no operating evidence","3 Operating with evidence")</f>
        <v>1 Documented only</v>
      </c>
      <c r="N4" s="13" t="str">
        <f aca="false">IF(AND(K4&gt;=2,J4=0),"Adequate","Deficient")</f>
        <v>Deficient</v>
      </c>
      <c r="O4" s="13" t="str">
        <f aca="false">IF(K4=3,"Evidenced","Not evidenced")</f>
        <v>Not evidenced</v>
      </c>
      <c r="P4" s="11" t="s">
        <v>67</v>
      </c>
      <c r="Q4" s="11" t="s">
        <v>68</v>
      </c>
      <c r="R4" s="11" t="s">
        <v>69</v>
      </c>
    </row>
    <row r="5" customFormat="false" ht="21.75" hidden="false" customHeight="true" outlineLevel="0" collapsed="false">
      <c r="A5" s="11" t="s">
        <v>70</v>
      </c>
      <c r="B5" s="11" t="s">
        <v>61</v>
      </c>
      <c r="C5" s="11" t="s">
        <v>62</v>
      </c>
      <c r="D5" s="11" t="s">
        <v>71</v>
      </c>
      <c r="E5" s="11" t="s">
        <v>72</v>
      </c>
      <c r="F5" s="11" t="s">
        <v>73</v>
      </c>
      <c r="G5" s="11" t="s">
        <v>74</v>
      </c>
      <c r="H5" s="12" t="n">
        <f aca="false">COUNTIF(02_Crosswalk_Map!$A$4:$A$177,A5)</f>
        <v>5</v>
      </c>
      <c r="I5" s="12" t="n">
        <f aca="false">ROUND(AVERAGEIF(02_Crosswalk_Map!$A$4:$A$177,A5,02_Crosswalk_Map!$D$4:$D$177),2)</f>
        <v>1</v>
      </c>
      <c r="J5" s="12" t="n">
        <f aca="false">COUNTIFS(02_Crosswalk_Map!$A$4:$A$177,A5,02_Crosswalk_Map!$D$4:$D$177,0)</f>
        <v>2</v>
      </c>
      <c r="K5" s="12" t="n">
        <f aca="false">IF(I5&lt;0.5,0,IF(I5&lt;1.5,1,IF(I5&lt;2.5,2,3)))</f>
        <v>1</v>
      </c>
      <c r="L5" s="12" t="n">
        <f aca="false">MIN(K5,2)</f>
        <v>1</v>
      </c>
      <c r="M5" s="12" t="str">
        <f aca="false">CHOOSE(K5+1,"0 Absent","1 Documented only","2 Designed and implemented, no operating evidence","3 Operating with evidence")</f>
        <v>1 Documented only</v>
      </c>
      <c r="N5" s="13" t="str">
        <f aca="false">IF(AND(K5&gt;=2,J5=0),"Adequate","Deficient")</f>
        <v>Deficient</v>
      </c>
      <c r="O5" s="13" t="str">
        <f aca="false">IF(K5=3,"Evidenced","Not evidenced")</f>
        <v>Not evidenced</v>
      </c>
      <c r="P5" s="11" t="s">
        <v>75</v>
      </c>
      <c r="Q5" s="11" t="s">
        <v>68</v>
      </c>
      <c r="R5" s="14" t="s">
        <v>76</v>
      </c>
    </row>
    <row r="6" customFormat="false" ht="21.75" hidden="false" customHeight="true" outlineLevel="0" collapsed="false">
      <c r="A6" s="11" t="s">
        <v>77</v>
      </c>
      <c r="B6" s="11" t="s">
        <v>61</v>
      </c>
      <c r="C6" s="11" t="s">
        <v>62</v>
      </c>
      <c r="D6" s="11" t="s">
        <v>78</v>
      </c>
      <c r="E6" s="11" t="s">
        <v>79</v>
      </c>
      <c r="F6" s="11" t="s">
        <v>80</v>
      </c>
      <c r="G6" s="11" t="s">
        <v>81</v>
      </c>
      <c r="H6" s="12" t="n">
        <f aca="false">COUNTIF(02_Crosswalk_Map!$A$4:$A$177,A6)</f>
        <v>4</v>
      </c>
      <c r="I6" s="12" t="n">
        <f aca="false">ROUND(AVERAGEIF(02_Crosswalk_Map!$A$4:$A$177,A6,02_Crosswalk_Map!$D$4:$D$177),2)</f>
        <v>1.75</v>
      </c>
      <c r="J6" s="12" t="n">
        <f aca="false">COUNTIFS(02_Crosswalk_Map!$A$4:$A$177,A6,02_Crosswalk_Map!$D$4:$D$177,0)</f>
        <v>0</v>
      </c>
      <c r="K6" s="12" t="n">
        <f aca="false">IF(I6&lt;0.5,0,IF(I6&lt;1.5,1,IF(I6&lt;2.5,2,3)))</f>
        <v>2</v>
      </c>
      <c r="L6" s="12" t="n">
        <f aca="false">MIN(K6,2)</f>
        <v>2</v>
      </c>
      <c r="M6" s="12" t="str">
        <f aca="false">CHOOSE(K6+1,"0 Absent","1 Documented only","2 Designed and implemented, no operating evidence","3 Operating with evidence")</f>
        <v>2 Designed and implemented, no operating evidence</v>
      </c>
      <c r="N6" s="15" t="str">
        <f aca="false">IF(AND(K6&gt;=2,J6=0),"Adequate","Deficient")</f>
        <v>Adequate</v>
      </c>
      <c r="O6" s="13" t="str">
        <f aca="false">IF(K6=3,"Evidenced","Not evidenced")</f>
        <v>Not evidenced</v>
      </c>
      <c r="P6" s="11" t="s">
        <v>82</v>
      </c>
      <c r="Q6" s="11" t="s">
        <v>83</v>
      </c>
      <c r="R6" s="11" t="s">
        <v>69</v>
      </c>
    </row>
    <row r="7" customFormat="false" ht="21.75" hidden="false" customHeight="true" outlineLevel="0" collapsed="false">
      <c r="A7" s="11" t="s">
        <v>84</v>
      </c>
      <c r="B7" s="11" t="s">
        <v>61</v>
      </c>
      <c r="C7" s="11" t="s">
        <v>62</v>
      </c>
      <c r="D7" s="11" t="s">
        <v>85</v>
      </c>
      <c r="E7" s="11" t="s">
        <v>86</v>
      </c>
      <c r="F7" s="11" t="s">
        <v>87</v>
      </c>
      <c r="G7" s="11" t="s">
        <v>88</v>
      </c>
      <c r="H7" s="12" t="n">
        <f aca="false">COUNTIF(02_Crosswalk_Map!$A$4:$A$177,A7)</f>
        <v>4</v>
      </c>
      <c r="I7" s="12" t="n">
        <f aca="false">ROUND(AVERAGEIF(02_Crosswalk_Map!$A$4:$A$177,A7,02_Crosswalk_Map!$D$4:$D$177),2)</f>
        <v>1</v>
      </c>
      <c r="J7" s="12" t="n">
        <f aca="false">COUNTIFS(02_Crosswalk_Map!$A$4:$A$177,A7,02_Crosswalk_Map!$D$4:$D$177,0)</f>
        <v>1</v>
      </c>
      <c r="K7" s="12" t="n">
        <f aca="false">IF(I7&lt;0.5,0,IF(I7&lt;1.5,1,IF(I7&lt;2.5,2,3)))</f>
        <v>1</v>
      </c>
      <c r="L7" s="12" t="n">
        <f aca="false">MIN(K7,2)</f>
        <v>1</v>
      </c>
      <c r="M7" s="12" t="str">
        <f aca="false">CHOOSE(K7+1,"0 Absent","1 Documented only","2 Designed and implemented, no operating evidence","3 Operating with evidence")</f>
        <v>1 Documented only</v>
      </c>
      <c r="N7" s="13" t="str">
        <f aca="false">IF(AND(K7&gt;=2,J7=0),"Adequate","Deficient")</f>
        <v>Deficient</v>
      </c>
      <c r="O7" s="13" t="str">
        <f aca="false">IF(K7=3,"Evidenced","Not evidenced")</f>
        <v>Not evidenced</v>
      </c>
      <c r="P7" s="11" t="s">
        <v>89</v>
      </c>
      <c r="Q7" s="11" t="s">
        <v>68</v>
      </c>
      <c r="R7" s="11" t="s">
        <v>69</v>
      </c>
    </row>
    <row r="8" customFormat="false" ht="21.75" hidden="false" customHeight="true" outlineLevel="0" collapsed="false">
      <c r="A8" s="11" t="s">
        <v>90</v>
      </c>
      <c r="B8" s="11" t="s">
        <v>61</v>
      </c>
      <c r="C8" s="11" t="s">
        <v>62</v>
      </c>
      <c r="D8" s="11" t="s">
        <v>91</v>
      </c>
      <c r="E8" s="11" t="s">
        <v>92</v>
      </c>
      <c r="F8" s="11" t="s">
        <v>93</v>
      </c>
      <c r="G8" s="11" t="s">
        <v>94</v>
      </c>
      <c r="H8" s="12" t="n">
        <f aca="false">COUNTIF(02_Crosswalk_Map!$A$4:$A$177,A8)</f>
        <v>4</v>
      </c>
      <c r="I8" s="12" t="n">
        <f aca="false">ROUND(AVERAGEIF(02_Crosswalk_Map!$A$4:$A$177,A8,02_Crosswalk_Map!$D$4:$D$177),2)</f>
        <v>1</v>
      </c>
      <c r="J8" s="12" t="n">
        <f aca="false">COUNTIFS(02_Crosswalk_Map!$A$4:$A$177,A8,02_Crosswalk_Map!$D$4:$D$177,0)</f>
        <v>1</v>
      </c>
      <c r="K8" s="12" t="n">
        <f aca="false">IF(I8&lt;0.5,0,IF(I8&lt;1.5,1,IF(I8&lt;2.5,2,3)))</f>
        <v>1</v>
      </c>
      <c r="L8" s="12" t="n">
        <f aca="false">MIN(K8,2)</f>
        <v>1</v>
      </c>
      <c r="M8" s="12" t="str">
        <f aca="false">CHOOSE(K8+1,"0 Absent","1 Documented only","2 Designed and implemented, no operating evidence","3 Operating with evidence")</f>
        <v>1 Documented only</v>
      </c>
      <c r="N8" s="13" t="str">
        <f aca="false">IF(AND(K8&gt;=2,J8=0),"Adequate","Deficient")</f>
        <v>Deficient</v>
      </c>
      <c r="O8" s="13" t="str">
        <f aca="false">IF(K8=3,"Evidenced","Not evidenced")</f>
        <v>Not evidenced</v>
      </c>
      <c r="P8" s="11" t="s">
        <v>95</v>
      </c>
      <c r="Q8" s="11" t="s">
        <v>68</v>
      </c>
      <c r="R8" s="11" t="s">
        <v>69</v>
      </c>
    </row>
    <row r="9" customFormat="false" ht="21.75" hidden="false" customHeight="true" outlineLevel="0" collapsed="false">
      <c r="A9" s="11" t="s">
        <v>96</v>
      </c>
      <c r="B9" s="11" t="s">
        <v>61</v>
      </c>
      <c r="C9" s="11" t="s">
        <v>97</v>
      </c>
      <c r="D9" s="11" t="s">
        <v>98</v>
      </c>
      <c r="E9" s="11" t="s">
        <v>99</v>
      </c>
      <c r="F9" s="11" t="s">
        <v>100</v>
      </c>
      <c r="G9" s="11" t="s">
        <v>101</v>
      </c>
      <c r="H9" s="12" t="n">
        <f aca="false">COUNTIF(02_Crosswalk_Map!$A$4:$A$177,A9)</f>
        <v>4</v>
      </c>
      <c r="I9" s="12" t="n">
        <f aca="false">ROUND(AVERAGEIF(02_Crosswalk_Map!$A$4:$A$177,A9,02_Crosswalk_Map!$D$4:$D$177),2)</f>
        <v>1</v>
      </c>
      <c r="J9" s="12" t="n">
        <f aca="false">COUNTIFS(02_Crosswalk_Map!$A$4:$A$177,A9,02_Crosswalk_Map!$D$4:$D$177,0)</f>
        <v>1</v>
      </c>
      <c r="K9" s="12" t="n">
        <f aca="false">IF(I9&lt;0.5,0,IF(I9&lt;1.5,1,IF(I9&lt;2.5,2,3)))</f>
        <v>1</v>
      </c>
      <c r="L9" s="12" t="n">
        <f aca="false">MIN(K9,2)</f>
        <v>1</v>
      </c>
      <c r="M9" s="12" t="str">
        <f aca="false">CHOOSE(K9+1,"0 Absent","1 Documented only","2 Designed and implemented, no operating evidence","3 Operating with evidence")</f>
        <v>1 Documented only</v>
      </c>
      <c r="N9" s="13" t="str">
        <f aca="false">IF(AND(K9&gt;=2,J9=0),"Adequate","Deficient")</f>
        <v>Deficient</v>
      </c>
      <c r="O9" s="13" t="str">
        <f aca="false">IF(K9=3,"Evidenced","Not evidenced")</f>
        <v>Not evidenced</v>
      </c>
      <c r="P9" s="11" t="s">
        <v>102</v>
      </c>
      <c r="Q9" s="11" t="s">
        <v>68</v>
      </c>
      <c r="R9" s="11" t="s">
        <v>69</v>
      </c>
    </row>
    <row r="10" customFormat="false" ht="21.75" hidden="false" customHeight="true" outlineLevel="0" collapsed="false">
      <c r="A10" s="11" t="s">
        <v>103</v>
      </c>
      <c r="B10" s="11" t="s">
        <v>61</v>
      </c>
      <c r="C10" s="11" t="s">
        <v>97</v>
      </c>
      <c r="D10" s="11" t="s">
        <v>104</v>
      </c>
      <c r="E10" s="11" t="s">
        <v>105</v>
      </c>
      <c r="F10" s="11" t="s">
        <v>106</v>
      </c>
      <c r="G10" s="11" t="s">
        <v>107</v>
      </c>
      <c r="H10" s="12" t="n">
        <f aca="false">COUNTIF(02_Crosswalk_Map!$A$4:$A$177,A10)</f>
        <v>6</v>
      </c>
      <c r="I10" s="12" t="n">
        <f aca="false">ROUND(AVERAGEIF(02_Crosswalk_Map!$A$4:$A$177,A10,02_Crosswalk_Map!$D$4:$D$177),2)</f>
        <v>1.83</v>
      </c>
      <c r="J10" s="12" t="n">
        <f aca="false">COUNTIFS(02_Crosswalk_Map!$A$4:$A$177,A10,02_Crosswalk_Map!$D$4:$D$177,0)</f>
        <v>0</v>
      </c>
      <c r="K10" s="12" t="n">
        <f aca="false">IF(I10&lt;0.5,0,IF(I10&lt;1.5,1,IF(I10&lt;2.5,2,3)))</f>
        <v>2</v>
      </c>
      <c r="L10" s="12" t="n">
        <f aca="false">MIN(K10,2)</f>
        <v>2</v>
      </c>
      <c r="M10" s="12" t="str">
        <f aca="false">CHOOSE(K10+1,"0 Absent","1 Documented only","2 Designed and implemented, no operating evidence","3 Operating with evidence")</f>
        <v>2 Designed and implemented, no operating evidence</v>
      </c>
      <c r="N10" s="15" t="str">
        <f aca="false">IF(AND(K10&gt;=2,J10=0),"Adequate","Deficient")</f>
        <v>Adequate</v>
      </c>
      <c r="O10" s="13" t="str">
        <f aca="false">IF(K10=3,"Evidenced","Not evidenced")</f>
        <v>Not evidenced</v>
      </c>
      <c r="P10" s="11" t="s">
        <v>82</v>
      </c>
      <c r="Q10" s="11" t="s">
        <v>83</v>
      </c>
      <c r="R10" s="11" t="s">
        <v>69</v>
      </c>
    </row>
    <row r="11" customFormat="false" ht="21.75" hidden="false" customHeight="true" outlineLevel="0" collapsed="false">
      <c r="A11" s="11" t="s">
        <v>108</v>
      </c>
      <c r="B11" s="11" t="s">
        <v>61</v>
      </c>
      <c r="C11" s="11" t="s">
        <v>97</v>
      </c>
      <c r="D11" s="11" t="s">
        <v>109</v>
      </c>
      <c r="E11" s="11" t="s">
        <v>110</v>
      </c>
      <c r="F11" s="11" t="s">
        <v>111</v>
      </c>
      <c r="G11" s="11" t="s">
        <v>112</v>
      </c>
      <c r="H11" s="12" t="n">
        <f aca="false">COUNTIF(02_Crosswalk_Map!$A$4:$A$177,A11)</f>
        <v>6</v>
      </c>
      <c r="I11" s="12" t="n">
        <f aca="false">ROUND(AVERAGEIF(02_Crosswalk_Map!$A$4:$A$177,A11,02_Crosswalk_Map!$D$4:$D$177),2)</f>
        <v>1.5</v>
      </c>
      <c r="J11" s="12" t="n">
        <f aca="false">COUNTIFS(02_Crosswalk_Map!$A$4:$A$177,A11,02_Crosswalk_Map!$D$4:$D$177,0)</f>
        <v>1</v>
      </c>
      <c r="K11" s="12" t="n">
        <f aca="false">IF(I11&lt;0.5,0,IF(I11&lt;1.5,1,IF(I11&lt;2.5,2,3)))</f>
        <v>2</v>
      </c>
      <c r="L11" s="12" t="n">
        <f aca="false">MIN(K11,2)</f>
        <v>2</v>
      </c>
      <c r="M11" s="12" t="str">
        <f aca="false">CHOOSE(K11+1,"0 Absent","1 Documented only","2 Designed and implemented, no operating evidence","3 Operating with evidence")</f>
        <v>2 Designed and implemented, no operating evidence</v>
      </c>
      <c r="N11" s="13" t="str">
        <f aca="false">IF(AND(K11&gt;=2,J11=0),"Adequate","Deficient")</f>
        <v>Deficient</v>
      </c>
      <c r="O11" s="13" t="str">
        <f aca="false">IF(K11=3,"Evidenced","Not evidenced")</f>
        <v>Not evidenced</v>
      </c>
      <c r="P11" s="11" t="s">
        <v>113</v>
      </c>
      <c r="Q11" s="11" t="s">
        <v>68</v>
      </c>
      <c r="R11" s="14" t="s">
        <v>114</v>
      </c>
    </row>
    <row r="12" customFormat="false" ht="21.75" hidden="false" customHeight="true" outlineLevel="0" collapsed="false">
      <c r="A12" s="11" t="s">
        <v>115</v>
      </c>
      <c r="B12" s="11" t="s">
        <v>61</v>
      </c>
      <c r="C12" s="11" t="s">
        <v>116</v>
      </c>
      <c r="D12" s="11" t="s">
        <v>117</v>
      </c>
      <c r="E12" s="11" t="s">
        <v>118</v>
      </c>
      <c r="F12" s="11" t="s">
        <v>119</v>
      </c>
      <c r="G12" s="11" t="s">
        <v>120</v>
      </c>
      <c r="H12" s="12" t="n">
        <f aca="false">COUNTIF(02_Crosswalk_Map!$A$4:$A$177,A12)</f>
        <v>3</v>
      </c>
      <c r="I12" s="12" t="n">
        <f aca="false">ROUND(AVERAGEIF(02_Crosswalk_Map!$A$4:$A$177,A12,02_Crosswalk_Map!$D$4:$D$177),2)</f>
        <v>1.33</v>
      </c>
      <c r="J12" s="12" t="n">
        <f aca="false">COUNTIFS(02_Crosswalk_Map!$A$4:$A$177,A12,02_Crosswalk_Map!$D$4:$D$177,0)</f>
        <v>1</v>
      </c>
      <c r="K12" s="12" t="n">
        <f aca="false">IF(I12&lt;0.5,0,IF(I12&lt;1.5,1,IF(I12&lt;2.5,2,3)))</f>
        <v>1</v>
      </c>
      <c r="L12" s="12" t="n">
        <f aca="false">MIN(K12,2)</f>
        <v>1</v>
      </c>
      <c r="M12" s="12" t="str">
        <f aca="false">CHOOSE(K12+1,"0 Absent","1 Documented only","2 Designed and implemented, no operating evidence","3 Operating with evidence")</f>
        <v>1 Documented only</v>
      </c>
      <c r="N12" s="13" t="str">
        <f aca="false">IF(AND(K12&gt;=2,J12=0),"Adequate","Deficient")</f>
        <v>Deficient</v>
      </c>
      <c r="O12" s="13" t="str">
        <f aca="false">IF(K12=3,"Evidenced","Not evidenced")</f>
        <v>Not evidenced</v>
      </c>
      <c r="P12" s="11" t="s">
        <v>121</v>
      </c>
      <c r="Q12" s="11" t="s">
        <v>68</v>
      </c>
      <c r="R12" s="11" t="s">
        <v>69</v>
      </c>
    </row>
    <row r="13" customFormat="false" ht="32.25" hidden="false" customHeight="true" outlineLevel="0" collapsed="false">
      <c r="A13" s="11" t="s">
        <v>122</v>
      </c>
      <c r="B13" s="11" t="s">
        <v>61</v>
      </c>
      <c r="C13" s="11" t="s">
        <v>116</v>
      </c>
      <c r="D13" s="11" t="s">
        <v>123</v>
      </c>
      <c r="E13" s="11" t="s">
        <v>124</v>
      </c>
      <c r="F13" s="11" t="s">
        <v>125</v>
      </c>
      <c r="G13" s="11" t="s">
        <v>126</v>
      </c>
      <c r="H13" s="12" t="n">
        <f aca="false">COUNTIF(02_Crosswalk_Map!$A$4:$A$177,A13)</f>
        <v>4</v>
      </c>
      <c r="I13" s="12" t="n">
        <f aca="false">ROUND(AVERAGEIF(02_Crosswalk_Map!$A$4:$A$177,A13,02_Crosswalk_Map!$D$4:$D$177),2)</f>
        <v>1.25</v>
      </c>
      <c r="J13" s="12" t="n">
        <f aca="false">COUNTIFS(02_Crosswalk_Map!$A$4:$A$177,A13,02_Crosswalk_Map!$D$4:$D$177,0)</f>
        <v>2</v>
      </c>
      <c r="K13" s="12" t="n">
        <f aca="false">IF(I13&lt;0.5,0,IF(I13&lt;1.5,1,IF(I13&lt;2.5,2,3)))</f>
        <v>1</v>
      </c>
      <c r="L13" s="12" t="n">
        <f aca="false">MIN(K13,2)</f>
        <v>1</v>
      </c>
      <c r="M13" s="12" t="str">
        <f aca="false">CHOOSE(K13+1,"0 Absent","1 Documented only","2 Designed and implemented, no operating evidence","3 Operating with evidence")</f>
        <v>1 Documented only</v>
      </c>
      <c r="N13" s="13" t="str">
        <f aca="false">IF(AND(K13&gt;=2,J13=0),"Adequate","Deficient")</f>
        <v>Deficient</v>
      </c>
      <c r="O13" s="13" t="str">
        <f aca="false">IF(K13=3,"Evidenced","Not evidenced")</f>
        <v>Not evidenced</v>
      </c>
      <c r="P13" s="11" t="s">
        <v>125</v>
      </c>
      <c r="Q13" s="11" t="s">
        <v>68</v>
      </c>
      <c r="R13" s="14" t="s">
        <v>127</v>
      </c>
    </row>
    <row r="14" customFormat="false" ht="32.25" hidden="false" customHeight="true" outlineLevel="0" collapsed="false">
      <c r="A14" s="11" t="s">
        <v>128</v>
      </c>
      <c r="B14" s="11" t="s">
        <v>61</v>
      </c>
      <c r="C14" s="11" t="s">
        <v>116</v>
      </c>
      <c r="D14" s="11" t="s">
        <v>129</v>
      </c>
      <c r="E14" s="11" t="s">
        <v>130</v>
      </c>
      <c r="F14" s="11" t="s">
        <v>131</v>
      </c>
      <c r="G14" s="11" t="s">
        <v>132</v>
      </c>
      <c r="H14" s="12" t="n">
        <f aca="false">COUNTIF(02_Crosswalk_Map!$A$4:$A$177,A14)</f>
        <v>5</v>
      </c>
      <c r="I14" s="12" t="n">
        <f aca="false">ROUND(AVERAGEIF(02_Crosswalk_Map!$A$4:$A$177,A14,02_Crosswalk_Map!$D$4:$D$177),2)</f>
        <v>1.2</v>
      </c>
      <c r="J14" s="12" t="n">
        <f aca="false">COUNTIFS(02_Crosswalk_Map!$A$4:$A$177,A14,02_Crosswalk_Map!$D$4:$D$177,0)</f>
        <v>1</v>
      </c>
      <c r="K14" s="12" t="n">
        <f aca="false">IF(I14&lt;0.5,0,IF(I14&lt;1.5,1,IF(I14&lt;2.5,2,3)))</f>
        <v>1</v>
      </c>
      <c r="L14" s="12" t="n">
        <f aca="false">MIN(K14,2)</f>
        <v>1</v>
      </c>
      <c r="M14" s="12" t="str">
        <f aca="false">CHOOSE(K14+1,"0 Absent","1 Documented only","2 Designed and implemented, no operating evidence","3 Operating with evidence")</f>
        <v>1 Documented only</v>
      </c>
      <c r="N14" s="13" t="str">
        <f aca="false">IF(AND(K14&gt;=2,J14=0),"Adequate","Deficient")</f>
        <v>Deficient</v>
      </c>
      <c r="O14" s="13" t="str">
        <f aca="false">IF(K14=3,"Evidenced","Not evidenced")</f>
        <v>Not evidenced</v>
      </c>
      <c r="P14" s="11" t="s">
        <v>133</v>
      </c>
      <c r="Q14" s="11" t="s">
        <v>68</v>
      </c>
      <c r="R14" s="11" t="s">
        <v>69</v>
      </c>
    </row>
    <row r="15" customFormat="false" ht="21.75" hidden="false" customHeight="true" outlineLevel="0" collapsed="false">
      <c r="A15" s="11" t="s">
        <v>134</v>
      </c>
      <c r="B15" s="11" t="s">
        <v>61</v>
      </c>
      <c r="C15" s="11" t="s">
        <v>116</v>
      </c>
      <c r="D15" s="11" t="s">
        <v>135</v>
      </c>
      <c r="E15" s="11" t="s">
        <v>136</v>
      </c>
      <c r="F15" s="11" t="s">
        <v>137</v>
      </c>
      <c r="G15" s="11" t="s">
        <v>138</v>
      </c>
      <c r="H15" s="12" t="n">
        <f aca="false">COUNTIF(02_Crosswalk_Map!$A$4:$A$177,A15)</f>
        <v>4</v>
      </c>
      <c r="I15" s="12" t="n">
        <f aca="false">ROUND(AVERAGEIF(02_Crosswalk_Map!$A$4:$A$177,A15,02_Crosswalk_Map!$D$4:$D$177),2)</f>
        <v>0.75</v>
      </c>
      <c r="J15" s="12" t="n">
        <f aca="false">COUNTIFS(02_Crosswalk_Map!$A$4:$A$177,A15,02_Crosswalk_Map!$D$4:$D$177,0)</f>
        <v>3</v>
      </c>
      <c r="K15" s="12" t="n">
        <f aca="false">IF(I15&lt;0.5,0,IF(I15&lt;1.5,1,IF(I15&lt;2.5,2,3)))</f>
        <v>1</v>
      </c>
      <c r="L15" s="12" t="n">
        <f aca="false">MIN(K15,2)</f>
        <v>1</v>
      </c>
      <c r="M15" s="12" t="str">
        <f aca="false">CHOOSE(K15+1,"0 Absent","1 Documented only","2 Designed and implemented, no operating evidence","3 Operating with evidence")</f>
        <v>1 Documented only</v>
      </c>
      <c r="N15" s="13" t="str">
        <f aca="false">IF(AND(K15&gt;=2,J15=0),"Adequate","Deficient")</f>
        <v>Deficient</v>
      </c>
      <c r="O15" s="13" t="str">
        <f aca="false">IF(K15=3,"Evidenced","Not evidenced")</f>
        <v>Not evidenced</v>
      </c>
      <c r="P15" s="11" t="s">
        <v>139</v>
      </c>
      <c r="Q15" s="11" t="s">
        <v>68</v>
      </c>
      <c r="R15" s="11" t="s">
        <v>69</v>
      </c>
    </row>
    <row r="16" customFormat="false" ht="21.75" hidden="false" customHeight="true" outlineLevel="0" collapsed="false">
      <c r="A16" s="11" t="s">
        <v>140</v>
      </c>
      <c r="B16" s="11" t="s">
        <v>61</v>
      </c>
      <c r="C16" s="11" t="s">
        <v>141</v>
      </c>
      <c r="D16" s="11" t="s">
        <v>142</v>
      </c>
      <c r="E16" s="11" t="s">
        <v>143</v>
      </c>
      <c r="F16" s="11" t="s">
        <v>144</v>
      </c>
      <c r="G16" s="11" t="s">
        <v>145</v>
      </c>
      <c r="H16" s="12" t="n">
        <f aca="false">COUNTIF(02_Crosswalk_Map!$A$4:$A$177,A16)</f>
        <v>6</v>
      </c>
      <c r="I16" s="12" t="n">
        <f aca="false">ROUND(AVERAGEIF(02_Crosswalk_Map!$A$4:$A$177,A16,02_Crosswalk_Map!$D$4:$D$177),2)</f>
        <v>0.5</v>
      </c>
      <c r="J16" s="12" t="n">
        <f aca="false">COUNTIFS(02_Crosswalk_Map!$A$4:$A$177,A16,02_Crosswalk_Map!$D$4:$D$177,0)</f>
        <v>4</v>
      </c>
      <c r="K16" s="12" t="n">
        <f aca="false">IF(I16&lt;0.5,0,IF(I16&lt;1.5,1,IF(I16&lt;2.5,2,3)))</f>
        <v>1</v>
      </c>
      <c r="L16" s="12" t="n">
        <f aca="false">MIN(K16,2)</f>
        <v>1</v>
      </c>
      <c r="M16" s="12" t="str">
        <f aca="false">CHOOSE(K16+1,"0 Absent","1 Documented only","2 Designed and implemented, no operating evidence","3 Operating with evidence")</f>
        <v>1 Documented only</v>
      </c>
      <c r="N16" s="13" t="str">
        <f aca="false">IF(AND(K16&gt;=2,J16=0),"Adequate","Deficient")</f>
        <v>Deficient</v>
      </c>
      <c r="O16" s="13" t="str">
        <f aca="false">IF(K16=3,"Evidenced","Not evidenced")</f>
        <v>Not evidenced</v>
      </c>
      <c r="P16" s="11" t="s">
        <v>146</v>
      </c>
      <c r="Q16" s="11" t="s">
        <v>68</v>
      </c>
      <c r="R16" s="11" t="s">
        <v>69</v>
      </c>
    </row>
    <row r="17" customFormat="false" ht="21.75" hidden="false" customHeight="true" outlineLevel="0" collapsed="false">
      <c r="A17" s="11" t="s">
        <v>147</v>
      </c>
      <c r="B17" s="11" t="s">
        <v>61</v>
      </c>
      <c r="C17" s="11" t="s">
        <v>141</v>
      </c>
      <c r="D17" s="11" t="s">
        <v>148</v>
      </c>
      <c r="E17" s="11" t="s">
        <v>149</v>
      </c>
      <c r="F17" s="11" t="s">
        <v>150</v>
      </c>
      <c r="G17" s="11" t="s">
        <v>151</v>
      </c>
      <c r="H17" s="12" t="n">
        <f aca="false">COUNTIF(02_Crosswalk_Map!$A$4:$A$177,A17)</f>
        <v>4</v>
      </c>
      <c r="I17" s="12" t="n">
        <f aca="false">ROUND(AVERAGEIF(02_Crosswalk_Map!$A$4:$A$177,A17,02_Crosswalk_Map!$D$4:$D$177),2)</f>
        <v>0.5</v>
      </c>
      <c r="J17" s="12" t="n">
        <f aca="false">COUNTIFS(02_Crosswalk_Map!$A$4:$A$177,A17,02_Crosswalk_Map!$D$4:$D$177,0)</f>
        <v>2</v>
      </c>
      <c r="K17" s="12" t="n">
        <f aca="false">IF(I17&lt;0.5,0,IF(I17&lt;1.5,1,IF(I17&lt;2.5,2,3)))</f>
        <v>1</v>
      </c>
      <c r="L17" s="12" t="n">
        <f aca="false">MIN(K17,2)</f>
        <v>1</v>
      </c>
      <c r="M17" s="12" t="str">
        <f aca="false">CHOOSE(K17+1,"0 Absent","1 Documented only","2 Designed and implemented, no operating evidence","3 Operating with evidence")</f>
        <v>1 Documented only</v>
      </c>
      <c r="N17" s="13" t="str">
        <f aca="false">IF(AND(K17&gt;=2,J17=0),"Adequate","Deficient")</f>
        <v>Deficient</v>
      </c>
      <c r="O17" s="13" t="str">
        <f aca="false">IF(K17=3,"Evidenced","Not evidenced")</f>
        <v>Not evidenced</v>
      </c>
      <c r="P17" s="11" t="s">
        <v>151</v>
      </c>
      <c r="Q17" s="11" t="s">
        <v>68</v>
      </c>
      <c r="R17" s="11" t="s">
        <v>69</v>
      </c>
    </row>
    <row r="18" customFormat="false" ht="21.75" hidden="false" customHeight="true" outlineLevel="0" collapsed="false">
      <c r="A18" s="11" t="s">
        <v>152</v>
      </c>
      <c r="B18" s="11" t="s">
        <v>61</v>
      </c>
      <c r="C18" s="11" t="s">
        <v>153</v>
      </c>
      <c r="D18" s="11" t="s">
        <v>154</v>
      </c>
      <c r="E18" s="11" t="s">
        <v>155</v>
      </c>
      <c r="F18" s="11" t="s">
        <v>119</v>
      </c>
      <c r="G18" s="11" t="s">
        <v>156</v>
      </c>
      <c r="H18" s="12" t="n">
        <f aca="false">COUNTIF(02_Crosswalk_Map!$A$4:$A$177,A18)</f>
        <v>2</v>
      </c>
      <c r="I18" s="12" t="n">
        <f aca="false">ROUND(AVERAGEIF(02_Crosswalk_Map!$A$4:$A$177,A18,02_Crosswalk_Map!$D$4:$D$177),2)</f>
        <v>2</v>
      </c>
      <c r="J18" s="12" t="n">
        <f aca="false">COUNTIFS(02_Crosswalk_Map!$A$4:$A$177,A18,02_Crosswalk_Map!$D$4:$D$177,0)</f>
        <v>0</v>
      </c>
      <c r="K18" s="12" t="n">
        <f aca="false">IF(I18&lt;0.5,0,IF(I18&lt;1.5,1,IF(I18&lt;2.5,2,3)))</f>
        <v>2</v>
      </c>
      <c r="L18" s="12" t="n">
        <f aca="false">MIN(K18,2)</f>
        <v>2</v>
      </c>
      <c r="M18" s="12" t="str">
        <f aca="false">CHOOSE(K18+1,"0 Absent","1 Documented only","2 Designed and implemented, no operating evidence","3 Operating with evidence")</f>
        <v>2 Designed and implemented, no operating evidence</v>
      </c>
      <c r="N18" s="15" t="str">
        <f aca="false">IF(AND(K18&gt;=2,J18=0),"Adequate","Deficient")</f>
        <v>Adequate</v>
      </c>
      <c r="O18" s="13" t="str">
        <f aca="false">IF(K18=3,"Evidenced","Not evidenced")</f>
        <v>Not evidenced</v>
      </c>
      <c r="P18" s="11" t="s">
        <v>82</v>
      </c>
      <c r="Q18" s="11" t="s">
        <v>83</v>
      </c>
      <c r="R18" s="11" t="s">
        <v>69</v>
      </c>
    </row>
    <row r="19" customFormat="false" ht="32.25" hidden="false" customHeight="true" outlineLevel="0" collapsed="false">
      <c r="A19" s="11" t="s">
        <v>157</v>
      </c>
      <c r="B19" s="11" t="s">
        <v>61</v>
      </c>
      <c r="C19" s="11" t="s">
        <v>153</v>
      </c>
      <c r="D19" s="11" t="s">
        <v>158</v>
      </c>
      <c r="E19" s="11" t="s">
        <v>159</v>
      </c>
      <c r="F19" s="11" t="s">
        <v>160</v>
      </c>
      <c r="G19" s="11" t="s">
        <v>161</v>
      </c>
      <c r="H19" s="12" t="n">
        <f aca="false">COUNTIF(02_Crosswalk_Map!$A$4:$A$177,A19)</f>
        <v>4</v>
      </c>
      <c r="I19" s="12" t="n">
        <f aca="false">ROUND(AVERAGEIF(02_Crosswalk_Map!$A$4:$A$177,A19,02_Crosswalk_Map!$D$4:$D$177),2)</f>
        <v>0.5</v>
      </c>
      <c r="J19" s="12" t="n">
        <f aca="false">COUNTIFS(02_Crosswalk_Map!$A$4:$A$177,A19,02_Crosswalk_Map!$D$4:$D$177,0)</f>
        <v>3</v>
      </c>
      <c r="K19" s="12" t="n">
        <f aca="false">IF(I19&lt;0.5,0,IF(I19&lt;1.5,1,IF(I19&lt;2.5,2,3)))</f>
        <v>1</v>
      </c>
      <c r="L19" s="12" t="n">
        <f aca="false">MIN(K19,2)</f>
        <v>1</v>
      </c>
      <c r="M19" s="12" t="str">
        <f aca="false">CHOOSE(K19+1,"0 Absent","1 Documented only","2 Designed and implemented, no operating evidence","3 Operating with evidence")</f>
        <v>1 Documented only</v>
      </c>
      <c r="N19" s="13" t="str">
        <f aca="false">IF(AND(K19&gt;=2,J19=0),"Adequate","Deficient")</f>
        <v>Deficient</v>
      </c>
      <c r="O19" s="13" t="str">
        <f aca="false">IF(K19=3,"Evidenced","Not evidenced")</f>
        <v>Not evidenced</v>
      </c>
      <c r="P19" s="11" t="s">
        <v>160</v>
      </c>
      <c r="Q19" s="11" t="s">
        <v>68</v>
      </c>
      <c r="R19" s="11" t="s">
        <v>69</v>
      </c>
    </row>
    <row r="20" customFormat="false" ht="32.25" hidden="false" customHeight="true" outlineLevel="0" collapsed="false">
      <c r="A20" s="11" t="s">
        <v>162</v>
      </c>
      <c r="B20" s="11" t="s">
        <v>61</v>
      </c>
      <c r="C20" s="11" t="s">
        <v>153</v>
      </c>
      <c r="D20" s="11" t="s">
        <v>163</v>
      </c>
      <c r="E20" s="11" t="s">
        <v>164</v>
      </c>
      <c r="F20" s="11" t="s">
        <v>165</v>
      </c>
      <c r="G20" s="11" t="s">
        <v>166</v>
      </c>
      <c r="H20" s="12" t="n">
        <f aca="false">COUNTIF(02_Crosswalk_Map!$A$4:$A$177,A20)</f>
        <v>5</v>
      </c>
      <c r="I20" s="12" t="n">
        <f aca="false">ROUND(AVERAGEIF(02_Crosswalk_Map!$A$4:$A$177,A20,02_Crosswalk_Map!$D$4:$D$177),2)</f>
        <v>1.6</v>
      </c>
      <c r="J20" s="12" t="n">
        <f aca="false">COUNTIFS(02_Crosswalk_Map!$A$4:$A$177,A20,02_Crosswalk_Map!$D$4:$D$177,0)</f>
        <v>0</v>
      </c>
      <c r="K20" s="12" t="n">
        <f aca="false">IF(I20&lt;0.5,0,IF(I20&lt;1.5,1,IF(I20&lt;2.5,2,3)))</f>
        <v>2</v>
      </c>
      <c r="L20" s="12" t="n">
        <f aca="false">MIN(K20,2)</f>
        <v>2</v>
      </c>
      <c r="M20" s="12" t="str">
        <f aca="false">CHOOSE(K20+1,"0 Absent","1 Documented only","2 Designed and implemented, no operating evidence","3 Operating with evidence")</f>
        <v>2 Designed and implemented, no operating evidence</v>
      </c>
      <c r="N20" s="15" t="str">
        <f aca="false">IF(AND(K20&gt;=2,J20=0),"Adequate","Deficient")</f>
        <v>Adequate</v>
      </c>
      <c r="O20" s="13" t="str">
        <f aca="false">IF(K20=3,"Evidenced","Not evidenced")</f>
        <v>Not evidenced</v>
      </c>
      <c r="P20" s="11" t="s">
        <v>82</v>
      </c>
      <c r="Q20" s="11" t="s">
        <v>83</v>
      </c>
      <c r="R20" s="11" t="s">
        <v>69</v>
      </c>
    </row>
    <row r="21" customFormat="false" ht="32.25" hidden="false" customHeight="true" outlineLevel="0" collapsed="false">
      <c r="A21" s="11" t="s">
        <v>167</v>
      </c>
      <c r="B21" s="11" t="s">
        <v>61</v>
      </c>
      <c r="C21" s="11" t="s">
        <v>168</v>
      </c>
      <c r="D21" s="11" t="s">
        <v>169</v>
      </c>
      <c r="E21" s="11" t="s">
        <v>170</v>
      </c>
      <c r="F21" s="11" t="s">
        <v>171</v>
      </c>
      <c r="G21" s="11" t="s">
        <v>161</v>
      </c>
      <c r="H21" s="12" t="n">
        <f aca="false">COUNTIF(02_Crosswalk_Map!$A$4:$A$177,A21)</f>
        <v>8</v>
      </c>
      <c r="I21" s="12" t="n">
        <f aca="false">ROUND(AVERAGEIF(02_Crosswalk_Map!$A$4:$A$177,A21,02_Crosswalk_Map!$D$4:$D$177),2)</f>
        <v>1.25</v>
      </c>
      <c r="J21" s="12" t="n">
        <f aca="false">COUNTIFS(02_Crosswalk_Map!$A$4:$A$177,A21,02_Crosswalk_Map!$D$4:$D$177,0)</f>
        <v>3</v>
      </c>
      <c r="K21" s="12" t="n">
        <f aca="false">IF(I21&lt;0.5,0,IF(I21&lt;1.5,1,IF(I21&lt;2.5,2,3)))</f>
        <v>1</v>
      </c>
      <c r="L21" s="12" t="n">
        <f aca="false">MIN(K21,2)</f>
        <v>1</v>
      </c>
      <c r="M21" s="12" t="str">
        <f aca="false">CHOOSE(K21+1,"0 Absent","1 Documented only","2 Designed and implemented, no operating evidence","3 Operating with evidence")</f>
        <v>1 Documented only</v>
      </c>
      <c r="N21" s="13" t="str">
        <f aca="false">IF(AND(K21&gt;=2,J21=0),"Adequate","Deficient")</f>
        <v>Deficient</v>
      </c>
      <c r="O21" s="13" t="str">
        <f aca="false">IF(K21=3,"Evidenced","Not evidenced")</f>
        <v>Not evidenced</v>
      </c>
      <c r="P21" s="11" t="s">
        <v>172</v>
      </c>
      <c r="Q21" s="11" t="s">
        <v>68</v>
      </c>
      <c r="R21" s="14" t="s">
        <v>173</v>
      </c>
    </row>
    <row r="22" customFormat="false" ht="21.75" hidden="false" customHeight="true" outlineLevel="0" collapsed="false">
      <c r="A22" s="11" t="s">
        <v>174</v>
      </c>
      <c r="B22" s="11" t="s">
        <v>61</v>
      </c>
      <c r="C22" s="11" t="s">
        <v>168</v>
      </c>
      <c r="D22" s="11" t="s">
        <v>175</v>
      </c>
      <c r="E22" s="11" t="s">
        <v>176</v>
      </c>
      <c r="F22" s="11" t="s">
        <v>177</v>
      </c>
      <c r="G22" s="11" t="s">
        <v>69</v>
      </c>
      <c r="H22" s="12" t="n">
        <f aca="false">COUNTIF(02_Crosswalk_Map!$A$4:$A$177,A22)</f>
        <v>4</v>
      </c>
      <c r="I22" s="12" t="n">
        <f aca="false">ROUND(AVERAGEIF(02_Crosswalk_Map!$A$4:$A$177,A22,02_Crosswalk_Map!$D$4:$D$177),2)</f>
        <v>1.75</v>
      </c>
      <c r="J22" s="12" t="n">
        <f aca="false">COUNTIFS(02_Crosswalk_Map!$A$4:$A$177,A22,02_Crosswalk_Map!$D$4:$D$177,0)</f>
        <v>0</v>
      </c>
      <c r="K22" s="12" t="n">
        <f aca="false">IF(I22&lt;0.5,0,IF(I22&lt;1.5,1,IF(I22&lt;2.5,2,3)))</f>
        <v>2</v>
      </c>
      <c r="L22" s="12" t="n">
        <f aca="false">MIN(K22,2)</f>
        <v>2</v>
      </c>
      <c r="M22" s="12" t="str">
        <f aca="false">CHOOSE(K22+1,"0 Absent","1 Documented only","2 Designed and implemented, no operating evidence","3 Operating with evidence")</f>
        <v>2 Designed and implemented, no operating evidence</v>
      </c>
      <c r="N22" s="15" t="str">
        <f aca="false">IF(AND(K22&gt;=2,J22=0),"Adequate","Deficient")</f>
        <v>Adequate</v>
      </c>
      <c r="O22" s="13" t="str">
        <f aca="false">IF(K22=3,"Evidenced","Not evidenced")</f>
        <v>Not evidenced</v>
      </c>
      <c r="P22" s="11" t="s">
        <v>82</v>
      </c>
      <c r="Q22" s="11" t="s">
        <v>83</v>
      </c>
      <c r="R22" s="14" t="s">
        <v>173</v>
      </c>
    </row>
    <row r="23" customFormat="false" ht="21.75" hidden="false" customHeight="true" outlineLevel="0" collapsed="false">
      <c r="A23" s="11" t="s">
        <v>178</v>
      </c>
      <c r="B23" s="11" t="s">
        <v>61</v>
      </c>
      <c r="C23" s="11" t="s">
        <v>168</v>
      </c>
      <c r="D23" s="11" t="s">
        <v>179</v>
      </c>
      <c r="E23" s="11" t="s">
        <v>180</v>
      </c>
      <c r="F23" s="11" t="s">
        <v>181</v>
      </c>
      <c r="G23" s="11" t="s">
        <v>69</v>
      </c>
      <c r="H23" s="12" t="n">
        <f aca="false">COUNTIF(02_Crosswalk_Map!$A$4:$A$177,A23)</f>
        <v>7</v>
      </c>
      <c r="I23" s="12" t="n">
        <f aca="false">ROUND(AVERAGEIF(02_Crosswalk_Map!$A$4:$A$177,A23,02_Crosswalk_Map!$D$4:$D$177),2)</f>
        <v>1.43</v>
      </c>
      <c r="J23" s="12" t="n">
        <f aca="false">COUNTIFS(02_Crosswalk_Map!$A$4:$A$177,A23,02_Crosswalk_Map!$D$4:$D$177,0)</f>
        <v>1</v>
      </c>
      <c r="K23" s="12" t="n">
        <f aca="false">IF(I23&lt;0.5,0,IF(I23&lt;1.5,1,IF(I23&lt;2.5,2,3)))</f>
        <v>1</v>
      </c>
      <c r="L23" s="12" t="n">
        <f aca="false">MIN(K23,2)</f>
        <v>1</v>
      </c>
      <c r="M23" s="12" t="str">
        <f aca="false">CHOOSE(K23+1,"0 Absent","1 Documented only","2 Designed and implemented, no operating evidence","3 Operating with evidence")</f>
        <v>1 Documented only</v>
      </c>
      <c r="N23" s="13" t="str">
        <f aca="false">IF(AND(K23&gt;=2,J23=0),"Adequate","Deficient")</f>
        <v>Deficient</v>
      </c>
      <c r="O23" s="13" t="str">
        <f aca="false">IF(K23=3,"Evidenced","Not evidenced")</f>
        <v>Not evidenced</v>
      </c>
      <c r="P23" s="11" t="s">
        <v>182</v>
      </c>
      <c r="Q23" s="11" t="s">
        <v>68</v>
      </c>
      <c r="R23" s="14" t="s">
        <v>173</v>
      </c>
    </row>
    <row r="24" customFormat="false" ht="21.75" hidden="false" customHeight="true" outlineLevel="0" collapsed="false">
      <c r="A24" s="11" t="s">
        <v>183</v>
      </c>
      <c r="B24" s="11" t="s">
        <v>61</v>
      </c>
      <c r="C24" s="11" t="s">
        <v>168</v>
      </c>
      <c r="D24" s="11" t="s">
        <v>184</v>
      </c>
      <c r="E24" s="11" t="s">
        <v>185</v>
      </c>
      <c r="F24" s="11" t="s">
        <v>186</v>
      </c>
      <c r="G24" s="11" t="s">
        <v>69</v>
      </c>
      <c r="H24" s="12" t="n">
        <f aca="false">COUNTIF(02_Crosswalk_Map!$A$4:$A$177,A24)</f>
        <v>3</v>
      </c>
      <c r="I24" s="12" t="n">
        <f aca="false">ROUND(AVERAGEIF(02_Crosswalk_Map!$A$4:$A$177,A24,02_Crosswalk_Map!$D$4:$D$177),2)</f>
        <v>0</v>
      </c>
      <c r="J24" s="12" t="n">
        <f aca="false">COUNTIFS(02_Crosswalk_Map!$A$4:$A$177,A24,02_Crosswalk_Map!$D$4:$D$177,0)</f>
        <v>3</v>
      </c>
      <c r="K24" s="12" t="n">
        <f aca="false">IF(I24&lt;0.5,0,IF(I24&lt;1.5,1,IF(I24&lt;2.5,2,3)))</f>
        <v>0</v>
      </c>
      <c r="L24" s="12" t="n">
        <f aca="false">MIN(K24,2)</f>
        <v>0</v>
      </c>
      <c r="M24" s="12" t="str">
        <f aca="false">CHOOSE(K24+1,"0 Absent","1 Documented only","2 Designed and implemented, no operating evidence","3 Operating with evidence")</f>
        <v>0 Absent</v>
      </c>
      <c r="N24" s="13" t="str">
        <f aca="false">IF(AND(K24&gt;=2,J24=0),"Adequate","Deficient")</f>
        <v>Deficient</v>
      </c>
      <c r="O24" s="13" t="str">
        <f aca="false">IF(K24=3,"Evidenced","Not evidenced")</f>
        <v>Not evidenced</v>
      </c>
      <c r="P24" s="11" t="s">
        <v>186</v>
      </c>
      <c r="Q24" s="11" t="s">
        <v>187</v>
      </c>
      <c r="R24" s="11" t="s">
        <v>69</v>
      </c>
    </row>
    <row r="25" customFormat="false" ht="21.75" hidden="false" customHeight="true" outlineLevel="0" collapsed="false">
      <c r="A25" s="11" t="s">
        <v>188</v>
      </c>
      <c r="B25" s="11" t="s">
        <v>61</v>
      </c>
      <c r="C25" s="11" t="s">
        <v>168</v>
      </c>
      <c r="D25" s="11" t="s">
        <v>189</v>
      </c>
      <c r="E25" s="11" t="s">
        <v>190</v>
      </c>
      <c r="F25" s="11" t="s">
        <v>191</v>
      </c>
      <c r="G25" s="11" t="s">
        <v>69</v>
      </c>
      <c r="H25" s="12" t="n">
        <f aca="false">COUNTIF(02_Crosswalk_Map!$A$4:$A$177,A25)</f>
        <v>2</v>
      </c>
      <c r="I25" s="12" t="n">
        <f aca="false">ROUND(AVERAGEIF(02_Crosswalk_Map!$A$4:$A$177,A25,02_Crosswalk_Map!$D$4:$D$177),2)</f>
        <v>1</v>
      </c>
      <c r="J25" s="12" t="n">
        <f aca="false">COUNTIFS(02_Crosswalk_Map!$A$4:$A$177,A25,02_Crosswalk_Map!$D$4:$D$177,0)</f>
        <v>1</v>
      </c>
      <c r="K25" s="12" t="n">
        <f aca="false">IF(I25&lt;0.5,0,IF(I25&lt;1.5,1,IF(I25&lt;2.5,2,3)))</f>
        <v>1</v>
      </c>
      <c r="L25" s="12" t="n">
        <f aca="false">MIN(K25,2)</f>
        <v>1</v>
      </c>
      <c r="M25" s="12" t="str">
        <f aca="false">CHOOSE(K25+1,"0 Absent","1 Documented only","2 Designed and implemented, no operating evidence","3 Operating with evidence")</f>
        <v>1 Documented only</v>
      </c>
      <c r="N25" s="13" t="str">
        <f aca="false">IF(AND(K25&gt;=2,J25=0),"Adequate","Deficient")</f>
        <v>Deficient</v>
      </c>
      <c r="O25" s="13" t="str">
        <f aca="false">IF(K25=3,"Evidenced","Not evidenced")</f>
        <v>Not evidenced</v>
      </c>
      <c r="P25" s="11" t="s">
        <v>192</v>
      </c>
      <c r="Q25" s="11" t="s">
        <v>68</v>
      </c>
      <c r="R25" s="11" t="s">
        <v>69</v>
      </c>
    </row>
    <row r="26" customFormat="false" ht="21.75" hidden="false" customHeight="true" outlineLevel="0" collapsed="false">
      <c r="A26" s="11" t="s">
        <v>193</v>
      </c>
      <c r="B26" s="11" t="s">
        <v>61</v>
      </c>
      <c r="C26" s="11" t="s">
        <v>168</v>
      </c>
      <c r="D26" s="11" t="s">
        <v>194</v>
      </c>
      <c r="E26" s="11" t="s">
        <v>195</v>
      </c>
      <c r="F26" s="11" t="s">
        <v>196</v>
      </c>
      <c r="G26" s="11" t="s">
        <v>69</v>
      </c>
      <c r="H26" s="12" t="n">
        <f aca="false">COUNTIF(02_Crosswalk_Map!$A$4:$A$177,A26)</f>
        <v>5</v>
      </c>
      <c r="I26" s="12" t="n">
        <f aca="false">ROUND(AVERAGEIF(02_Crosswalk_Map!$A$4:$A$177,A26,02_Crosswalk_Map!$D$4:$D$177),2)</f>
        <v>0.4</v>
      </c>
      <c r="J26" s="12" t="n">
        <f aca="false">COUNTIFS(02_Crosswalk_Map!$A$4:$A$177,A26,02_Crosswalk_Map!$D$4:$D$177,0)</f>
        <v>4</v>
      </c>
      <c r="K26" s="12" t="n">
        <f aca="false">IF(I26&lt;0.5,0,IF(I26&lt;1.5,1,IF(I26&lt;2.5,2,3)))</f>
        <v>0</v>
      </c>
      <c r="L26" s="12" t="n">
        <f aca="false">MIN(K26,2)</f>
        <v>0</v>
      </c>
      <c r="M26" s="12" t="str">
        <f aca="false">CHOOSE(K26+1,"0 Absent","1 Documented only","2 Designed and implemented, no operating evidence","3 Operating with evidence")</f>
        <v>0 Absent</v>
      </c>
      <c r="N26" s="13" t="str">
        <f aca="false">IF(AND(K26&gt;=2,J26=0),"Adequate","Deficient")</f>
        <v>Deficient</v>
      </c>
      <c r="O26" s="13" t="str">
        <f aca="false">IF(K26=3,"Evidenced","Not evidenced")</f>
        <v>Not evidenced</v>
      </c>
      <c r="P26" s="11" t="s">
        <v>197</v>
      </c>
      <c r="Q26" s="11" t="s">
        <v>187</v>
      </c>
      <c r="R26" s="11" t="s">
        <v>69</v>
      </c>
    </row>
    <row r="27" customFormat="false" ht="21.75" hidden="false" customHeight="true" outlineLevel="0" collapsed="false">
      <c r="A27" s="11" t="s">
        <v>198</v>
      </c>
      <c r="B27" s="11" t="s">
        <v>61</v>
      </c>
      <c r="C27" s="11" t="s">
        <v>168</v>
      </c>
      <c r="D27" s="11" t="s">
        <v>199</v>
      </c>
      <c r="E27" s="11" t="s">
        <v>200</v>
      </c>
      <c r="F27" s="11" t="s">
        <v>201</v>
      </c>
      <c r="G27" s="11" t="s">
        <v>69</v>
      </c>
      <c r="H27" s="12" t="n">
        <f aca="false">COUNTIF(02_Crosswalk_Map!$A$4:$A$177,A27)</f>
        <v>6</v>
      </c>
      <c r="I27" s="12" t="n">
        <f aca="false">ROUND(AVERAGEIF(02_Crosswalk_Map!$A$4:$A$177,A27,02_Crosswalk_Map!$D$4:$D$177),2)</f>
        <v>0.83</v>
      </c>
      <c r="J27" s="12" t="n">
        <f aca="false">COUNTIFS(02_Crosswalk_Map!$A$4:$A$177,A27,02_Crosswalk_Map!$D$4:$D$177,0)</f>
        <v>3</v>
      </c>
      <c r="K27" s="12" t="n">
        <f aca="false">IF(I27&lt;0.5,0,IF(I27&lt;1.5,1,IF(I27&lt;2.5,2,3)))</f>
        <v>1</v>
      </c>
      <c r="L27" s="12" t="n">
        <f aca="false">MIN(K27,2)</f>
        <v>1</v>
      </c>
      <c r="M27" s="12" t="str">
        <f aca="false">CHOOSE(K27+1,"0 Absent","1 Documented only","2 Designed and implemented, no operating evidence","3 Operating with evidence")</f>
        <v>1 Documented only</v>
      </c>
      <c r="N27" s="13" t="str">
        <f aca="false">IF(AND(K27&gt;=2,J27=0),"Adequate","Deficient")</f>
        <v>Deficient</v>
      </c>
      <c r="O27" s="13" t="str">
        <f aca="false">IF(K27=3,"Evidenced","Not evidenced")</f>
        <v>Not evidenced</v>
      </c>
      <c r="P27" s="11" t="s">
        <v>202</v>
      </c>
      <c r="Q27" s="11" t="s">
        <v>68</v>
      </c>
      <c r="R27" s="11" t="s">
        <v>69</v>
      </c>
    </row>
    <row r="28" customFormat="false" ht="21.75" hidden="false" customHeight="true" outlineLevel="0" collapsed="false">
      <c r="A28" s="11" t="s">
        <v>203</v>
      </c>
      <c r="B28" s="11" t="s">
        <v>61</v>
      </c>
      <c r="C28" s="11" t="s">
        <v>168</v>
      </c>
      <c r="D28" s="11" t="s">
        <v>204</v>
      </c>
      <c r="E28" s="11" t="s">
        <v>205</v>
      </c>
      <c r="F28" s="11" t="s">
        <v>206</v>
      </c>
      <c r="G28" s="11" t="s">
        <v>69</v>
      </c>
      <c r="H28" s="12" t="n">
        <f aca="false">COUNTIF(02_Crosswalk_Map!$A$4:$A$177,A28)</f>
        <v>3</v>
      </c>
      <c r="I28" s="12" t="n">
        <f aca="false">ROUND(AVERAGEIF(02_Crosswalk_Map!$A$4:$A$177,A28,02_Crosswalk_Map!$D$4:$D$177),2)</f>
        <v>0</v>
      </c>
      <c r="J28" s="12" t="n">
        <f aca="false">COUNTIFS(02_Crosswalk_Map!$A$4:$A$177,A28,02_Crosswalk_Map!$D$4:$D$177,0)</f>
        <v>3</v>
      </c>
      <c r="K28" s="12" t="n">
        <f aca="false">IF(I28&lt;0.5,0,IF(I28&lt;1.5,1,IF(I28&lt;2.5,2,3)))</f>
        <v>0</v>
      </c>
      <c r="L28" s="12" t="n">
        <f aca="false">MIN(K28,2)</f>
        <v>0</v>
      </c>
      <c r="M28" s="12" t="str">
        <f aca="false">CHOOSE(K28+1,"0 Absent","1 Documented only","2 Designed and implemented, no operating evidence","3 Operating with evidence")</f>
        <v>0 Absent</v>
      </c>
      <c r="N28" s="13" t="str">
        <f aca="false">IF(AND(K28&gt;=2,J28=0),"Adequate","Deficient")</f>
        <v>Deficient</v>
      </c>
      <c r="O28" s="13" t="str">
        <f aca="false">IF(K28=3,"Evidenced","Not evidenced")</f>
        <v>Not evidenced</v>
      </c>
      <c r="P28" s="11" t="s">
        <v>206</v>
      </c>
      <c r="Q28" s="11" t="s">
        <v>187</v>
      </c>
      <c r="R28" s="11" t="s">
        <v>69</v>
      </c>
    </row>
    <row r="29" customFormat="false" ht="21.75" hidden="false" customHeight="true" outlineLevel="0" collapsed="false">
      <c r="A29" s="11" t="s">
        <v>207</v>
      </c>
      <c r="B29" s="11" t="s">
        <v>61</v>
      </c>
      <c r="C29" s="11" t="s">
        <v>208</v>
      </c>
      <c r="D29" s="11" t="s">
        <v>209</v>
      </c>
      <c r="E29" s="11" t="s">
        <v>210</v>
      </c>
      <c r="F29" s="11" t="s">
        <v>211</v>
      </c>
      <c r="G29" s="11" t="s">
        <v>69</v>
      </c>
      <c r="H29" s="12" t="n">
        <f aca="false">COUNTIF(02_Crosswalk_Map!$A$4:$A$177,A29)</f>
        <v>3</v>
      </c>
      <c r="I29" s="12" t="n">
        <f aca="false">ROUND(AVERAGEIF(02_Crosswalk_Map!$A$4:$A$177,A29,02_Crosswalk_Map!$D$4:$D$177),2)</f>
        <v>0</v>
      </c>
      <c r="J29" s="12" t="n">
        <f aca="false">COUNTIFS(02_Crosswalk_Map!$A$4:$A$177,A29,02_Crosswalk_Map!$D$4:$D$177,0)</f>
        <v>3</v>
      </c>
      <c r="K29" s="12" t="n">
        <f aca="false">IF(I29&lt;0.5,0,IF(I29&lt;1.5,1,IF(I29&lt;2.5,2,3)))</f>
        <v>0</v>
      </c>
      <c r="L29" s="12" t="n">
        <f aca="false">MIN(K29,2)</f>
        <v>0</v>
      </c>
      <c r="M29" s="12" t="str">
        <f aca="false">CHOOSE(K29+1,"0 Absent","1 Documented only","2 Designed and implemented, no operating evidence","3 Operating with evidence")</f>
        <v>0 Absent</v>
      </c>
      <c r="N29" s="13" t="str">
        <f aca="false">IF(AND(K29&gt;=2,J29=0),"Adequate","Deficient")</f>
        <v>Deficient</v>
      </c>
      <c r="O29" s="13" t="str">
        <f aca="false">IF(K29=3,"Evidenced","Not evidenced")</f>
        <v>Not evidenced</v>
      </c>
      <c r="P29" s="11" t="s">
        <v>211</v>
      </c>
      <c r="Q29" s="11" t="s">
        <v>187</v>
      </c>
      <c r="R29" s="11" t="s">
        <v>69</v>
      </c>
    </row>
    <row r="30" customFormat="false" ht="21.75" hidden="false" customHeight="true" outlineLevel="0" collapsed="false">
      <c r="A30" s="11" t="s">
        <v>212</v>
      </c>
      <c r="B30" s="11" t="s">
        <v>61</v>
      </c>
      <c r="C30" s="11" t="s">
        <v>208</v>
      </c>
      <c r="D30" s="11" t="s">
        <v>213</v>
      </c>
      <c r="E30" s="11" t="s">
        <v>214</v>
      </c>
      <c r="F30" s="11" t="s">
        <v>215</v>
      </c>
      <c r="G30" s="11" t="s">
        <v>101</v>
      </c>
      <c r="H30" s="12" t="n">
        <f aca="false">COUNTIF(02_Crosswalk_Map!$A$4:$A$177,A30)</f>
        <v>5</v>
      </c>
      <c r="I30" s="12" t="n">
        <f aca="false">ROUND(AVERAGEIF(02_Crosswalk_Map!$A$4:$A$177,A30,02_Crosswalk_Map!$D$4:$D$177),2)</f>
        <v>0.8</v>
      </c>
      <c r="J30" s="12" t="n">
        <f aca="false">COUNTIFS(02_Crosswalk_Map!$A$4:$A$177,A30,02_Crosswalk_Map!$D$4:$D$177,0)</f>
        <v>2</v>
      </c>
      <c r="K30" s="12" t="n">
        <f aca="false">IF(I30&lt;0.5,0,IF(I30&lt;1.5,1,IF(I30&lt;2.5,2,3)))</f>
        <v>1</v>
      </c>
      <c r="L30" s="12" t="n">
        <f aca="false">MIN(K30,2)</f>
        <v>1</v>
      </c>
      <c r="M30" s="12" t="str">
        <f aca="false">CHOOSE(K30+1,"0 Absent","1 Documented only","2 Designed and implemented, no operating evidence","3 Operating with evidence")</f>
        <v>1 Documented only</v>
      </c>
      <c r="N30" s="13" t="str">
        <f aca="false">IF(AND(K30&gt;=2,J30=0),"Adequate","Deficient")</f>
        <v>Deficient</v>
      </c>
      <c r="O30" s="13" t="str">
        <f aca="false">IF(K30=3,"Evidenced","Not evidenced")</f>
        <v>Not evidenced</v>
      </c>
      <c r="P30" s="11" t="s">
        <v>216</v>
      </c>
      <c r="Q30" s="11" t="s">
        <v>68</v>
      </c>
      <c r="R30" s="11" t="s">
        <v>69</v>
      </c>
    </row>
    <row r="31" customFormat="false" ht="21.75" hidden="false" customHeight="true" outlineLevel="0" collapsed="false">
      <c r="A31" s="11" t="s">
        <v>217</v>
      </c>
      <c r="B31" s="11" t="s">
        <v>61</v>
      </c>
      <c r="C31" s="11" t="s">
        <v>208</v>
      </c>
      <c r="D31" s="11" t="s">
        <v>218</v>
      </c>
      <c r="E31" s="11" t="s">
        <v>219</v>
      </c>
      <c r="F31" s="11" t="s">
        <v>220</v>
      </c>
      <c r="G31" s="11" t="s">
        <v>69</v>
      </c>
      <c r="H31" s="12" t="n">
        <f aca="false">COUNTIF(02_Crosswalk_Map!$A$4:$A$177,A31)</f>
        <v>2</v>
      </c>
      <c r="I31" s="12" t="n">
        <f aca="false">ROUND(AVERAGEIF(02_Crosswalk_Map!$A$4:$A$177,A31,02_Crosswalk_Map!$D$4:$D$177),2)</f>
        <v>1.5</v>
      </c>
      <c r="J31" s="12" t="n">
        <f aca="false">COUNTIFS(02_Crosswalk_Map!$A$4:$A$177,A31,02_Crosswalk_Map!$D$4:$D$177,0)</f>
        <v>0</v>
      </c>
      <c r="K31" s="12" t="n">
        <f aca="false">IF(I31&lt;0.5,0,IF(I31&lt;1.5,1,IF(I31&lt;2.5,2,3)))</f>
        <v>2</v>
      </c>
      <c r="L31" s="12" t="n">
        <f aca="false">MIN(K31,2)</f>
        <v>2</v>
      </c>
      <c r="M31" s="12" t="str">
        <f aca="false">CHOOSE(K31+1,"0 Absent","1 Documented only","2 Designed and implemented, no operating evidence","3 Operating with evidence")</f>
        <v>2 Designed and implemented, no operating evidence</v>
      </c>
      <c r="N31" s="15" t="str">
        <f aca="false">IF(AND(K31&gt;=2,J31=0),"Adequate","Deficient")</f>
        <v>Adequate</v>
      </c>
      <c r="O31" s="13" t="str">
        <f aca="false">IF(K31=3,"Evidenced","Not evidenced")</f>
        <v>Not evidenced</v>
      </c>
      <c r="P31" s="11" t="s">
        <v>82</v>
      </c>
      <c r="Q31" s="11" t="s">
        <v>83</v>
      </c>
      <c r="R31" s="11" t="s">
        <v>69</v>
      </c>
    </row>
    <row r="32" customFormat="false" ht="32.25" hidden="false" customHeight="true" outlineLevel="0" collapsed="false">
      <c r="A32" s="11" t="s">
        <v>221</v>
      </c>
      <c r="B32" s="11" t="s">
        <v>61</v>
      </c>
      <c r="C32" s="11" t="s">
        <v>208</v>
      </c>
      <c r="D32" s="11" t="s">
        <v>222</v>
      </c>
      <c r="E32" s="11" t="s">
        <v>223</v>
      </c>
      <c r="F32" s="11" t="s">
        <v>224</v>
      </c>
      <c r="G32" s="11" t="s">
        <v>69</v>
      </c>
      <c r="H32" s="12" t="n">
        <f aca="false">COUNTIF(02_Crosswalk_Map!$A$4:$A$177,A32)</f>
        <v>5</v>
      </c>
      <c r="I32" s="12" t="n">
        <f aca="false">ROUND(AVERAGEIF(02_Crosswalk_Map!$A$4:$A$177,A32,02_Crosswalk_Map!$D$4:$D$177),2)</f>
        <v>1.6</v>
      </c>
      <c r="J32" s="12" t="n">
        <f aca="false">COUNTIFS(02_Crosswalk_Map!$A$4:$A$177,A32,02_Crosswalk_Map!$D$4:$D$177,0)</f>
        <v>0</v>
      </c>
      <c r="K32" s="12" t="n">
        <f aca="false">IF(I32&lt;0.5,0,IF(I32&lt;1.5,1,IF(I32&lt;2.5,2,3)))</f>
        <v>2</v>
      </c>
      <c r="L32" s="12" t="n">
        <f aca="false">MIN(K32,2)</f>
        <v>2</v>
      </c>
      <c r="M32" s="12" t="str">
        <f aca="false">CHOOSE(K32+1,"0 Absent","1 Documented only","2 Designed and implemented, no operating evidence","3 Operating with evidence")</f>
        <v>2 Designed and implemented, no operating evidence</v>
      </c>
      <c r="N32" s="15" t="str">
        <f aca="false">IF(AND(K32&gt;=2,J32=0),"Adequate","Deficient")</f>
        <v>Adequate</v>
      </c>
      <c r="O32" s="13" t="str">
        <f aca="false">IF(K32=3,"Evidenced","Not evidenced")</f>
        <v>Not evidenced</v>
      </c>
      <c r="P32" s="11" t="s">
        <v>82</v>
      </c>
      <c r="Q32" s="11" t="s">
        <v>83</v>
      </c>
      <c r="R32" s="14" t="s">
        <v>225</v>
      </c>
    </row>
    <row r="33" customFormat="false" ht="21.75" hidden="false" customHeight="true" outlineLevel="0" collapsed="false">
      <c r="A33" s="11" t="s">
        <v>226</v>
      </c>
      <c r="B33" s="11" t="s">
        <v>61</v>
      </c>
      <c r="C33" s="11" t="s">
        <v>208</v>
      </c>
      <c r="D33" s="11" t="s">
        <v>227</v>
      </c>
      <c r="E33" s="11" t="s">
        <v>228</v>
      </c>
      <c r="F33" s="11" t="s">
        <v>229</v>
      </c>
      <c r="G33" s="11" t="s">
        <v>230</v>
      </c>
      <c r="H33" s="12" t="n">
        <f aca="false">COUNTIF(02_Crosswalk_Map!$A$4:$A$177,A33)</f>
        <v>5</v>
      </c>
      <c r="I33" s="12" t="n">
        <f aca="false">ROUND(AVERAGEIF(02_Crosswalk_Map!$A$4:$A$177,A33,02_Crosswalk_Map!$D$4:$D$177),2)</f>
        <v>0.8</v>
      </c>
      <c r="J33" s="12" t="n">
        <f aca="false">COUNTIFS(02_Crosswalk_Map!$A$4:$A$177,A33,02_Crosswalk_Map!$D$4:$D$177,0)</f>
        <v>1</v>
      </c>
      <c r="K33" s="12" t="n">
        <f aca="false">IF(I33&lt;0.5,0,IF(I33&lt;1.5,1,IF(I33&lt;2.5,2,3)))</f>
        <v>1</v>
      </c>
      <c r="L33" s="12" t="n">
        <f aca="false">MIN(K33,2)</f>
        <v>1</v>
      </c>
      <c r="M33" s="12" t="str">
        <f aca="false">CHOOSE(K33+1,"0 Absent","1 Documented only","2 Designed and implemented, no operating evidence","3 Operating with evidence")</f>
        <v>1 Documented only</v>
      </c>
      <c r="N33" s="13" t="str">
        <f aca="false">IF(AND(K33&gt;=2,J33=0),"Adequate","Deficient")</f>
        <v>Deficient</v>
      </c>
      <c r="O33" s="13" t="str">
        <f aca="false">IF(K33=3,"Evidenced","Not evidenced")</f>
        <v>Not evidenced</v>
      </c>
      <c r="P33" s="11" t="s">
        <v>230</v>
      </c>
      <c r="Q33" s="11" t="s">
        <v>68</v>
      </c>
      <c r="R33" s="11" t="s">
        <v>69</v>
      </c>
    </row>
    <row r="34" customFormat="false" ht="32.25" hidden="false" customHeight="true" outlineLevel="0" collapsed="false">
      <c r="A34" s="11" t="s">
        <v>231</v>
      </c>
      <c r="B34" s="11" t="s">
        <v>61</v>
      </c>
      <c r="C34" s="11" t="s">
        <v>232</v>
      </c>
      <c r="D34" s="11" t="s">
        <v>233</v>
      </c>
      <c r="E34" s="11" t="s">
        <v>234</v>
      </c>
      <c r="F34" s="11" t="s">
        <v>235</v>
      </c>
      <c r="G34" s="11" t="s">
        <v>236</v>
      </c>
      <c r="H34" s="12" t="n">
        <f aca="false">COUNTIF(02_Crosswalk_Map!$A$4:$A$177,A34)</f>
        <v>10</v>
      </c>
      <c r="I34" s="12" t="n">
        <f aca="false">ROUND(AVERAGEIF(02_Crosswalk_Map!$A$4:$A$177,A34,02_Crosswalk_Map!$D$4:$D$177),2)</f>
        <v>0</v>
      </c>
      <c r="J34" s="12" t="n">
        <f aca="false">COUNTIFS(02_Crosswalk_Map!$A$4:$A$177,A34,02_Crosswalk_Map!$D$4:$D$177,0)</f>
        <v>10</v>
      </c>
      <c r="K34" s="12" t="n">
        <f aca="false">IF(I34&lt;0.5,0,IF(I34&lt;1.5,1,IF(I34&lt;2.5,2,3)))</f>
        <v>0</v>
      </c>
      <c r="L34" s="12" t="n">
        <f aca="false">MIN(K34,2)</f>
        <v>0</v>
      </c>
      <c r="M34" s="12" t="str">
        <f aca="false">CHOOSE(K34+1,"0 Absent","1 Documented only","2 Designed and implemented, no operating evidence","3 Operating with evidence")</f>
        <v>0 Absent</v>
      </c>
      <c r="N34" s="13" t="str">
        <f aca="false">IF(AND(K34&gt;=2,J34=0),"Adequate","Deficient")</f>
        <v>Deficient</v>
      </c>
      <c r="O34" s="13" t="str">
        <f aca="false">IF(K34=3,"Evidenced","Not evidenced")</f>
        <v>Not evidenced</v>
      </c>
      <c r="P34" s="11" t="s">
        <v>237</v>
      </c>
      <c r="Q34" s="11" t="s">
        <v>187</v>
      </c>
      <c r="R34" s="14" t="s">
        <v>238</v>
      </c>
    </row>
    <row r="35" customFormat="false" ht="21.75" hidden="false" customHeight="true" outlineLevel="0" collapsed="false">
      <c r="A35" s="11" t="s">
        <v>239</v>
      </c>
      <c r="B35" s="11" t="s">
        <v>61</v>
      </c>
      <c r="C35" s="11" t="s">
        <v>240</v>
      </c>
      <c r="D35" s="11" t="s">
        <v>241</v>
      </c>
      <c r="E35" s="11" t="s">
        <v>242</v>
      </c>
      <c r="F35" s="11" t="s">
        <v>243</v>
      </c>
      <c r="G35" s="11" t="s">
        <v>156</v>
      </c>
      <c r="H35" s="12" t="n">
        <f aca="false">COUNTIF(02_Crosswalk_Map!$A$4:$A$177,A35)</f>
        <v>5</v>
      </c>
      <c r="I35" s="12" t="n">
        <f aca="false">ROUND(AVERAGEIF(02_Crosswalk_Map!$A$4:$A$177,A35,02_Crosswalk_Map!$D$4:$D$177),2)</f>
        <v>0.8</v>
      </c>
      <c r="J35" s="12" t="n">
        <f aca="false">COUNTIFS(02_Crosswalk_Map!$A$4:$A$177,A35,02_Crosswalk_Map!$D$4:$D$177,0)</f>
        <v>2</v>
      </c>
      <c r="K35" s="12" t="n">
        <f aca="false">IF(I35&lt;0.5,0,IF(I35&lt;1.5,1,IF(I35&lt;2.5,2,3)))</f>
        <v>1</v>
      </c>
      <c r="L35" s="12" t="n">
        <f aca="false">MIN(K35,2)</f>
        <v>1</v>
      </c>
      <c r="M35" s="12" t="str">
        <f aca="false">CHOOSE(K35+1,"0 Absent","1 Documented only","2 Designed and implemented, no operating evidence","3 Operating with evidence")</f>
        <v>1 Documented only</v>
      </c>
      <c r="N35" s="13" t="str">
        <f aca="false">IF(AND(K35&gt;=2,J35=0),"Adequate","Deficient")</f>
        <v>Deficient</v>
      </c>
      <c r="O35" s="13" t="str">
        <f aca="false">IF(K35=3,"Evidenced","Not evidenced")</f>
        <v>Not evidenced</v>
      </c>
      <c r="P35" s="11" t="s">
        <v>244</v>
      </c>
      <c r="Q35" s="11" t="s">
        <v>68</v>
      </c>
      <c r="R35" s="11" t="s">
        <v>69</v>
      </c>
    </row>
    <row r="36" customFormat="false" ht="32.25" hidden="false" customHeight="true" outlineLevel="0" collapsed="false">
      <c r="A36" s="11" t="s">
        <v>245</v>
      </c>
      <c r="B36" s="11" t="s">
        <v>61</v>
      </c>
      <c r="C36" s="11" t="s">
        <v>240</v>
      </c>
      <c r="D36" s="11" t="s">
        <v>246</v>
      </c>
      <c r="E36" s="11" t="s">
        <v>247</v>
      </c>
      <c r="F36" s="11" t="s">
        <v>248</v>
      </c>
      <c r="G36" s="11" t="s">
        <v>161</v>
      </c>
      <c r="H36" s="12" t="n">
        <f aca="false">COUNTIF(02_Crosswalk_Map!$A$4:$A$177,A36)</f>
        <v>7</v>
      </c>
      <c r="I36" s="12" t="n">
        <f aca="false">ROUND(AVERAGEIF(02_Crosswalk_Map!$A$4:$A$177,A36,02_Crosswalk_Map!$D$4:$D$177),2)</f>
        <v>1.71</v>
      </c>
      <c r="J36" s="12" t="n">
        <f aca="false">COUNTIFS(02_Crosswalk_Map!$A$4:$A$177,A36,02_Crosswalk_Map!$D$4:$D$177,0)</f>
        <v>0</v>
      </c>
      <c r="K36" s="12" t="n">
        <f aca="false">IF(I36&lt;0.5,0,IF(I36&lt;1.5,1,IF(I36&lt;2.5,2,3)))</f>
        <v>2</v>
      </c>
      <c r="L36" s="12" t="n">
        <f aca="false">MIN(K36,2)</f>
        <v>2</v>
      </c>
      <c r="M36" s="12" t="str">
        <f aca="false">CHOOSE(K36+1,"0 Absent","1 Documented only","2 Designed and implemented, no operating evidence","3 Operating with evidence")</f>
        <v>2 Designed and implemented, no operating evidence</v>
      </c>
      <c r="N36" s="15" t="str">
        <f aca="false">IF(AND(K36&gt;=2,J36=0),"Adequate","Deficient")</f>
        <v>Adequate</v>
      </c>
      <c r="O36" s="13" t="str">
        <f aca="false">IF(K36=3,"Evidenced","Not evidenced")</f>
        <v>Not evidenced</v>
      </c>
      <c r="P36" s="11" t="s">
        <v>82</v>
      </c>
      <c r="Q36" s="11" t="s">
        <v>83</v>
      </c>
      <c r="R36" s="14" t="s">
        <v>249</v>
      </c>
    </row>
    <row r="37" customFormat="false" ht="21.75" hidden="false" customHeight="true" outlineLevel="0" collapsed="false">
      <c r="A37" s="11" t="s">
        <v>250</v>
      </c>
      <c r="B37" s="11" t="s">
        <v>251</v>
      </c>
      <c r="C37" s="11" t="s">
        <v>252</v>
      </c>
      <c r="D37" s="11" t="s">
        <v>253</v>
      </c>
      <c r="E37" s="11" t="s">
        <v>254</v>
      </c>
      <c r="F37" s="11" t="s">
        <v>255</v>
      </c>
      <c r="G37" s="11" t="s">
        <v>69</v>
      </c>
      <c r="H37" s="12" t="n">
        <f aca="false">COUNTIF(02_Crosswalk_Map!$A$4:$A$177,A37)</f>
        <v>2</v>
      </c>
      <c r="I37" s="12" t="n">
        <f aca="false">ROUND(AVERAGEIF(02_Crosswalk_Map!$A$4:$A$177,A37,02_Crosswalk_Map!$D$4:$D$177),2)</f>
        <v>0</v>
      </c>
      <c r="J37" s="12" t="n">
        <f aca="false">COUNTIFS(02_Crosswalk_Map!$A$4:$A$177,A37,02_Crosswalk_Map!$D$4:$D$177,0)</f>
        <v>2</v>
      </c>
      <c r="K37" s="12" t="n">
        <f aca="false">IF(I37&lt;0.5,0,IF(I37&lt;1.5,1,IF(I37&lt;2.5,2,3)))</f>
        <v>0</v>
      </c>
      <c r="L37" s="12" t="n">
        <f aca="false">MIN(K37,2)</f>
        <v>0</v>
      </c>
      <c r="M37" s="12" t="str">
        <f aca="false">CHOOSE(K37+1,"0 Absent","1 Documented only","2 Designed and implemented, no operating evidence","3 Operating with evidence")</f>
        <v>0 Absent</v>
      </c>
      <c r="N37" s="13" t="str">
        <f aca="false">IF(AND(K37&gt;=2,J37=0),"Adequate","Deficient")</f>
        <v>Deficient</v>
      </c>
      <c r="O37" s="13" t="str">
        <f aca="false">IF(K37=3,"Evidenced","Not evidenced")</f>
        <v>Not evidenced</v>
      </c>
      <c r="P37" s="11" t="s">
        <v>255</v>
      </c>
      <c r="Q37" s="11" t="s">
        <v>187</v>
      </c>
      <c r="R37" s="11" t="s">
        <v>69</v>
      </c>
    </row>
    <row r="38" customFormat="false" ht="32.25" hidden="false" customHeight="true" outlineLevel="0" collapsed="false">
      <c r="A38" s="11" t="s">
        <v>256</v>
      </c>
      <c r="B38" s="11" t="s">
        <v>251</v>
      </c>
      <c r="C38" s="11" t="s">
        <v>252</v>
      </c>
      <c r="D38" s="11" t="s">
        <v>257</v>
      </c>
      <c r="E38" s="11" t="s">
        <v>258</v>
      </c>
      <c r="F38" s="11" t="s">
        <v>259</v>
      </c>
      <c r="G38" s="11" t="s">
        <v>69</v>
      </c>
      <c r="H38" s="12" t="n">
        <f aca="false">COUNTIF(02_Crosswalk_Map!$A$4:$A$177,A38)</f>
        <v>4</v>
      </c>
      <c r="I38" s="12" t="n">
        <f aca="false">ROUND(AVERAGEIF(02_Crosswalk_Map!$A$4:$A$177,A38,02_Crosswalk_Map!$D$4:$D$177),2)</f>
        <v>0.5</v>
      </c>
      <c r="J38" s="12" t="n">
        <f aca="false">COUNTIFS(02_Crosswalk_Map!$A$4:$A$177,A38,02_Crosswalk_Map!$D$4:$D$177,0)</f>
        <v>2</v>
      </c>
      <c r="K38" s="12" t="n">
        <f aca="false">IF(I38&lt;0.5,0,IF(I38&lt;1.5,1,IF(I38&lt;2.5,2,3)))</f>
        <v>1</v>
      </c>
      <c r="L38" s="12" t="n">
        <f aca="false">MIN(K38,2)</f>
        <v>1</v>
      </c>
      <c r="M38" s="12" t="str">
        <f aca="false">CHOOSE(K38+1,"0 Absent","1 Documented only","2 Designed and implemented, no operating evidence","3 Operating with evidence")</f>
        <v>1 Documented only</v>
      </c>
      <c r="N38" s="13" t="str">
        <f aca="false">IF(AND(K38&gt;=2,J38=0),"Adequate","Deficient")</f>
        <v>Deficient</v>
      </c>
      <c r="O38" s="13" t="str">
        <f aca="false">IF(K38=3,"Evidenced","Not evidenced")</f>
        <v>Not evidenced</v>
      </c>
      <c r="P38" s="11" t="s">
        <v>260</v>
      </c>
      <c r="Q38" s="11" t="s">
        <v>68</v>
      </c>
      <c r="R38" s="11" t="s">
        <v>69</v>
      </c>
    </row>
    <row r="39" customFormat="false" ht="21.75" hidden="false" customHeight="true" outlineLevel="0" collapsed="false">
      <c r="A39" s="11" t="s">
        <v>261</v>
      </c>
      <c r="B39" s="11" t="s">
        <v>251</v>
      </c>
      <c r="C39" s="11" t="s">
        <v>252</v>
      </c>
      <c r="D39" s="11" t="s">
        <v>262</v>
      </c>
      <c r="E39" s="11" t="s">
        <v>263</v>
      </c>
      <c r="F39" s="11" t="s">
        <v>264</v>
      </c>
      <c r="G39" s="11" t="s">
        <v>69</v>
      </c>
      <c r="H39" s="12" t="n">
        <f aca="false">COUNTIF(02_Crosswalk_Map!$A$4:$A$177,A39)</f>
        <v>3</v>
      </c>
      <c r="I39" s="12" t="n">
        <f aca="false">ROUND(AVERAGEIF(02_Crosswalk_Map!$A$4:$A$177,A39,02_Crosswalk_Map!$D$4:$D$177),2)</f>
        <v>1</v>
      </c>
      <c r="J39" s="12" t="n">
        <f aca="false">COUNTIFS(02_Crosswalk_Map!$A$4:$A$177,A39,02_Crosswalk_Map!$D$4:$D$177,0)</f>
        <v>0</v>
      </c>
      <c r="K39" s="12" t="n">
        <f aca="false">IF(I39&lt;0.5,0,IF(I39&lt;1.5,1,IF(I39&lt;2.5,2,3)))</f>
        <v>1</v>
      </c>
      <c r="L39" s="12" t="n">
        <f aca="false">MIN(K39,2)</f>
        <v>1</v>
      </c>
      <c r="M39" s="12" t="str">
        <f aca="false">CHOOSE(K39+1,"0 Absent","1 Documented only","2 Designed and implemented, no operating evidence","3 Operating with evidence")</f>
        <v>1 Documented only</v>
      </c>
      <c r="N39" s="13" t="str">
        <f aca="false">IF(AND(K39&gt;=2,J39=0),"Adequate","Deficient")</f>
        <v>Deficient</v>
      </c>
      <c r="O39" s="13" t="str">
        <f aca="false">IF(K39=3,"Evidenced","Not evidenced")</f>
        <v>Not evidenced</v>
      </c>
      <c r="P39" s="11" t="s">
        <v>82</v>
      </c>
      <c r="Q39" s="11" t="s">
        <v>68</v>
      </c>
      <c r="R39" s="11" t="s">
        <v>69</v>
      </c>
    </row>
    <row r="40" customFormat="false" ht="21.75" hidden="false" customHeight="true" outlineLevel="0" collapsed="false">
      <c r="A40" s="11" t="s">
        <v>265</v>
      </c>
      <c r="B40" s="11" t="s">
        <v>266</v>
      </c>
      <c r="C40" s="11" t="s">
        <v>267</v>
      </c>
      <c r="D40" s="11" t="s">
        <v>268</v>
      </c>
      <c r="E40" s="11" t="s">
        <v>269</v>
      </c>
      <c r="F40" s="11" t="s">
        <v>270</v>
      </c>
      <c r="G40" s="11" t="s">
        <v>69</v>
      </c>
      <c r="H40" s="12" t="n">
        <f aca="false">COUNTIF(02_Crosswalk_Map!$A$4:$A$177,A40)</f>
        <v>4</v>
      </c>
      <c r="I40" s="12" t="n">
        <f aca="false">ROUND(AVERAGEIF(02_Crosswalk_Map!$A$4:$A$177,A40,02_Crosswalk_Map!$D$4:$D$177),2)</f>
        <v>1</v>
      </c>
      <c r="J40" s="12" t="n">
        <f aca="false">COUNTIFS(02_Crosswalk_Map!$A$4:$A$177,A40,02_Crosswalk_Map!$D$4:$D$177,0)</f>
        <v>1</v>
      </c>
      <c r="K40" s="12" t="n">
        <f aca="false">IF(I40&lt;0.5,0,IF(I40&lt;1.5,1,IF(I40&lt;2.5,2,3)))</f>
        <v>1</v>
      </c>
      <c r="L40" s="12" t="n">
        <f aca="false">MIN(K40,2)</f>
        <v>1</v>
      </c>
      <c r="M40" s="12" t="str">
        <f aca="false">CHOOSE(K40+1,"0 Absent","1 Documented only","2 Designed and implemented, no operating evidence","3 Operating with evidence")</f>
        <v>1 Documented only</v>
      </c>
      <c r="N40" s="13" t="str">
        <f aca="false">IF(AND(K40&gt;=2,J40=0),"Adequate","Deficient")</f>
        <v>Deficient</v>
      </c>
      <c r="O40" s="13" t="str">
        <f aca="false">IF(K40=3,"Evidenced","Not evidenced")</f>
        <v>Not evidenced</v>
      </c>
      <c r="P40" s="11" t="s">
        <v>271</v>
      </c>
      <c r="Q40" s="11" t="s">
        <v>68</v>
      </c>
      <c r="R40" s="11" t="s">
        <v>69</v>
      </c>
    </row>
    <row r="41" customFormat="false" ht="21.75" hidden="false" customHeight="true" outlineLevel="0" collapsed="false">
      <c r="A41" s="11" t="s">
        <v>272</v>
      </c>
      <c r="B41" s="11" t="s">
        <v>266</v>
      </c>
      <c r="C41" s="11" t="s">
        <v>267</v>
      </c>
      <c r="D41" s="11" t="s">
        <v>273</v>
      </c>
      <c r="E41" s="11" t="s">
        <v>274</v>
      </c>
      <c r="F41" s="11" t="s">
        <v>275</v>
      </c>
      <c r="G41" s="11" t="s">
        <v>69</v>
      </c>
      <c r="H41" s="12" t="n">
        <f aca="false">COUNTIF(02_Crosswalk_Map!$A$4:$A$177,A41)</f>
        <v>4</v>
      </c>
      <c r="I41" s="12" t="n">
        <f aca="false">ROUND(AVERAGEIF(02_Crosswalk_Map!$A$4:$A$177,A41,02_Crosswalk_Map!$D$4:$D$177),2)</f>
        <v>0.75</v>
      </c>
      <c r="J41" s="12" t="n">
        <f aca="false">COUNTIFS(02_Crosswalk_Map!$A$4:$A$177,A41,02_Crosswalk_Map!$D$4:$D$177,0)</f>
        <v>2</v>
      </c>
      <c r="K41" s="12" t="n">
        <f aca="false">IF(I41&lt;0.5,0,IF(I41&lt;1.5,1,IF(I41&lt;2.5,2,3)))</f>
        <v>1</v>
      </c>
      <c r="L41" s="12" t="n">
        <f aca="false">MIN(K41,2)</f>
        <v>1</v>
      </c>
      <c r="M41" s="12" t="str">
        <f aca="false">CHOOSE(K41+1,"0 Absent","1 Documented only","2 Designed and implemented, no operating evidence","3 Operating with evidence")</f>
        <v>1 Documented only</v>
      </c>
      <c r="N41" s="13" t="str">
        <f aca="false">IF(AND(K41&gt;=2,J41=0),"Adequate","Deficient")</f>
        <v>Deficient</v>
      </c>
      <c r="O41" s="13" t="str">
        <f aca="false">IF(K41=3,"Evidenced","Not evidenced")</f>
        <v>Not evidenced</v>
      </c>
      <c r="P41" s="11" t="s">
        <v>276</v>
      </c>
      <c r="Q41" s="11" t="s">
        <v>68</v>
      </c>
      <c r="R41" s="11" t="s">
        <v>69</v>
      </c>
    </row>
    <row r="42" customFormat="false" ht="21.75" hidden="false" customHeight="true" outlineLevel="0" collapsed="false">
      <c r="A42" s="16" t="s">
        <v>277</v>
      </c>
      <c r="B42" s="16"/>
      <c r="C42" s="16"/>
      <c r="D42" s="16"/>
      <c r="E42" s="16"/>
      <c r="F42" s="16"/>
      <c r="G42" s="16"/>
      <c r="H42" s="17" t="n">
        <f aca="false">SUM(H4:H41)</f>
        <v>174</v>
      </c>
      <c r="I42" s="16"/>
      <c r="J42" s="17" t="n">
        <f aca="false">SUM(J4:J41)</f>
        <v>68</v>
      </c>
      <c r="K42" s="17" t="n">
        <f aca="false">SUM(K4:K41)</f>
        <v>41</v>
      </c>
      <c r="L42" s="17" t="n">
        <f aca="false">SUM(L4:L41)</f>
        <v>41</v>
      </c>
      <c r="M42" s="16"/>
      <c r="N42" s="17" t="str">
        <f aca="false">COUNTIF(N4:N41,"Adequate")&amp;" of 38 adequate"</f>
        <v>8 of 38 adequate</v>
      </c>
      <c r="O42" s="17" t="str">
        <f aca="false">COUNTIF(O4:O41,"Evidenced")&amp;" of 38 evidenced"</f>
        <v>0 of 38 evidenced</v>
      </c>
      <c r="P42" s="16"/>
      <c r="Q42" s="16"/>
      <c r="R42"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16"/>
    <col collapsed="false" customWidth="true" hidden="false" outlineLevel="0" max="4" min="4" style="1" width="22"/>
  </cols>
  <sheetData>
    <row r="1" customFormat="false" ht="15" hidden="false" customHeight="true" outlineLevel="0" collapsed="false">
      <c r="A1" s="9" t="s">
        <v>278</v>
      </c>
    </row>
    <row r="3" customFormat="false" ht="42" hidden="false" customHeight="true" outlineLevel="0" collapsed="false">
      <c r="A3" s="10" t="s">
        <v>42</v>
      </c>
      <c r="B3" s="10" t="s">
        <v>279</v>
      </c>
      <c r="C3" s="10" t="s">
        <v>280</v>
      </c>
      <c r="D3" s="10" t="s">
        <v>281</v>
      </c>
    </row>
    <row r="4" customFormat="false" ht="15" hidden="false" customHeight="true" outlineLevel="0" collapsed="false">
      <c r="A4" s="11" t="s">
        <v>60</v>
      </c>
      <c r="B4" s="11" t="s">
        <v>282</v>
      </c>
      <c r="C4" s="11" t="s">
        <v>119</v>
      </c>
      <c r="D4" s="12" t="n">
        <f aca="false">VLOOKUP(C4,03_AnnexA_Maturity!$A$4:$E$96,5,FALSE())</f>
        <v>2</v>
      </c>
    </row>
    <row r="5" customFormat="false" ht="15" hidden="false" customHeight="true" outlineLevel="0" collapsed="false">
      <c r="A5" s="11" t="s">
        <v>60</v>
      </c>
      <c r="B5" s="11" t="s">
        <v>282</v>
      </c>
      <c r="C5" s="11" t="s">
        <v>283</v>
      </c>
      <c r="D5" s="12" t="n">
        <f aca="false">VLOOKUP(C5,03_AnnexA_Maturity!$A$4:$E$96,5,FALSE())</f>
        <v>1</v>
      </c>
    </row>
    <row r="6" customFormat="false" ht="15" hidden="false" customHeight="true" outlineLevel="0" collapsed="false">
      <c r="A6" s="11" t="s">
        <v>60</v>
      </c>
      <c r="B6" s="11" t="s">
        <v>282</v>
      </c>
      <c r="C6" s="11" t="s">
        <v>284</v>
      </c>
      <c r="D6" s="12" t="n">
        <f aca="false">VLOOKUP(C6,03_AnnexA_Maturity!$A$4:$E$96,5,FALSE())</f>
        <v>0</v>
      </c>
    </row>
    <row r="7" customFormat="false" ht="15" hidden="false" customHeight="true" outlineLevel="0" collapsed="false">
      <c r="A7" s="11" t="s">
        <v>60</v>
      </c>
      <c r="B7" s="11" t="s">
        <v>282</v>
      </c>
      <c r="C7" s="11" t="s">
        <v>95</v>
      </c>
      <c r="D7" s="12" t="n">
        <f aca="false">VLOOKUP(C7,03_AnnexA_Maturity!$A$4:$E$96,5,FALSE())</f>
        <v>0</v>
      </c>
    </row>
    <row r="8" customFormat="false" ht="15" hidden="false" customHeight="true" outlineLevel="0" collapsed="false">
      <c r="A8" s="11" t="s">
        <v>60</v>
      </c>
      <c r="B8" s="11" t="s">
        <v>282</v>
      </c>
      <c r="C8" s="11" t="s">
        <v>113</v>
      </c>
      <c r="D8" s="12" t="n">
        <f aca="false">VLOOKUP(C8,03_AnnexA_Maturity!$A$4:$E$96,5,FALSE())</f>
        <v>0</v>
      </c>
    </row>
    <row r="9" customFormat="false" ht="15" hidden="false" customHeight="true" outlineLevel="0" collapsed="false">
      <c r="A9" s="11" t="s">
        <v>60</v>
      </c>
      <c r="B9" s="11" t="s">
        <v>285</v>
      </c>
      <c r="C9" s="11" t="s">
        <v>286</v>
      </c>
      <c r="D9" s="12" t="n">
        <f aca="false">VLOOKUP(C9,04_Clause_Readiness!$A$4:$E$31,5,FALSE())</f>
        <v>2</v>
      </c>
    </row>
    <row r="10" customFormat="false" ht="15" hidden="false" customHeight="true" outlineLevel="0" collapsed="false">
      <c r="A10" s="11" t="s">
        <v>60</v>
      </c>
      <c r="B10" s="11" t="s">
        <v>285</v>
      </c>
      <c r="C10" s="11" t="s">
        <v>287</v>
      </c>
      <c r="D10" s="12" t="n">
        <f aca="false">VLOOKUP(C10,04_Clause_Readiness!$A$4:$E$31,5,FALSE())</f>
        <v>2</v>
      </c>
    </row>
    <row r="11" customFormat="false" ht="15" hidden="false" customHeight="true" outlineLevel="0" collapsed="false">
      <c r="A11" s="11" t="s">
        <v>70</v>
      </c>
      <c r="B11" s="11" t="s">
        <v>282</v>
      </c>
      <c r="C11" s="11" t="s">
        <v>288</v>
      </c>
      <c r="D11" s="12" t="n">
        <f aca="false">VLOOKUP(C11,03_AnnexA_Maturity!$A$4:$E$96,5,FALSE())</f>
        <v>2</v>
      </c>
    </row>
    <row r="12" customFormat="false" ht="15" hidden="false" customHeight="true" outlineLevel="0" collapsed="false">
      <c r="A12" s="11" t="s">
        <v>70</v>
      </c>
      <c r="B12" s="11" t="s">
        <v>282</v>
      </c>
      <c r="C12" s="11" t="s">
        <v>289</v>
      </c>
      <c r="D12" s="12" t="n">
        <f aca="false">VLOOKUP(C12,03_AnnexA_Maturity!$A$4:$E$96,5,FALSE())</f>
        <v>0</v>
      </c>
    </row>
    <row r="13" customFormat="false" ht="15" hidden="false" customHeight="true" outlineLevel="0" collapsed="false">
      <c r="A13" s="11" t="s">
        <v>70</v>
      </c>
      <c r="B13" s="11" t="s">
        <v>282</v>
      </c>
      <c r="C13" s="11" t="s">
        <v>290</v>
      </c>
      <c r="D13" s="12" t="n">
        <f aca="false">VLOOKUP(C13,03_AnnexA_Maturity!$A$4:$E$96,5,FALSE())</f>
        <v>1</v>
      </c>
    </row>
    <row r="14" customFormat="false" ht="15" hidden="false" customHeight="true" outlineLevel="0" collapsed="false">
      <c r="A14" s="11" t="s">
        <v>70</v>
      </c>
      <c r="B14" s="11" t="s">
        <v>285</v>
      </c>
      <c r="C14" s="11" t="s">
        <v>286</v>
      </c>
      <c r="D14" s="12" t="n">
        <f aca="false">VLOOKUP(C14,04_Clause_Readiness!$A$4:$E$31,5,FALSE())</f>
        <v>2</v>
      </c>
    </row>
    <row r="15" customFormat="false" ht="15" hidden="false" customHeight="true" outlineLevel="0" collapsed="false">
      <c r="A15" s="11" t="s">
        <v>70</v>
      </c>
      <c r="B15" s="11" t="s">
        <v>285</v>
      </c>
      <c r="C15" s="11" t="s">
        <v>291</v>
      </c>
      <c r="D15" s="12" t="n">
        <f aca="false">VLOOKUP(C15,04_Clause_Readiness!$A$4:$E$31,5,FALSE())</f>
        <v>0</v>
      </c>
    </row>
    <row r="16" customFormat="false" ht="15" hidden="false" customHeight="true" outlineLevel="0" collapsed="false">
      <c r="A16" s="11" t="s">
        <v>77</v>
      </c>
      <c r="B16" s="11" t="s">
        <v>282</v>
      </c>
      <c r="C16" s="11" t="s">
        <v>288</v>
      </c>
      <c r="D16" s="12" t="n">
        <f aca="false">VLOOKUP(C16,03_AnnexA_Maturity!$A$4:$E$96,5,FALSE())</f>
        <v>2</v>
      </c>
    </row>
    <row r="17" customFormat="false" ht="15" hidden="false" customHeight="true" outlineLevel="0" collapsed="false">
      <c r="A17" s="11" t="s">
        <v>77</v>
      </c>
      <c r="B17" s="11" t="s">
        <v>282</v>
      </c>
      <c r="C17" s="11" t="s">
        <v>292</v>
      </c>
      <c r="D17" s="12" t="n">
        <f aca="false">VLOOKUP(C17,03_AnnexA_Maturity!$A$4:$E$96,5,FALSE())</f>
        <v>1</v>
      </c>
    </row>
    <row r="18" customFormat="false" ht="15" hidden="false" customHeight="true" outlineLevel="0" collapsed="false">
      <c r="A18" s="11" t="s">
        <v>77</v>
      </c>
      <c r="B18" s="11" t="s">
        <v>285</v>
      </c>
      <c r="C18" s="11" t="s">
        <v>94</v>
      </c>
      <c r="D18" s="12" t="n">
        <f aca="false">VLOOKUP(C18,04_Clause_Readiness!$A$4:$E$31,5,FALSE())</f>
        <v>2</v>
      </c>
    </row>
    <row r="19" customFormat="false" ht="15" hidden="false" customHeight="true" outlineLevel="0" collapsed="false">
      <c r="A19" s="11" t="s">
        <v>77</v>
      </c>
      <c r="B19" s="11" t="s">
        <v>285</v>
      </c>
      <c r="C19" s="11" t="s">
        <v>286</v>
      </c>
      <c r="D19" s="12" t="n">
        <f aca="false">VLOOKUP(C19,04_Clause_Readiness!$A$4:$E$31,5,FALSE())</f>
        <v>2</v>
      </c>
    </row>
    <row r="20" customFormat="false" ht="15" hidden="false" customHeight="true" outlineLevel="0" collapsed="false">
      <c r="A20" s="11" t="s">
        <v>84</v>
      </c>
      <c r="B20" s="11" t="s">
        <v>282</v>
      </c>
      <c r="C20" s="11" t="s">
        <v>293</v>
      </c>
      <c r="D20" s="12" t="n">
        <f aca="false">VLOOKUP(C20,03_AnnexA_Maturity!$A$4:$E$96,5,FALSE())</f>
        <v>1</v>
      </c>
    </row>
    <row r="21" customFormat="false" ht="15" hidden="false" customHeight="true" outlineLevel="0" collapsed="false">
      <c r="A21" s="11" t="s">
        <v>84</v>
      </c>
      <c r="B21" s="11" t="s">
        <v>282</v>
      </c>
      <c r="C21" s="11" t="s">
        <v>294</v>
      </c>
      <c r="D21" s="12" t="n">
        <f aca="false">VLOOKUP(C21,03_AnnexA_Maturity!$A$4:$E$96,5,FALSE())</f>
        <v>1</v>
      </c>
    </row>
    <row r="22" customFormat="false" ht="15" hidden="false" customHeight="true" outlineLevel="0" collapsed="false">
      <c r="A22" s="11" t="s">
        <v>84</v>
      </c>
      <c r="B22" s="11" t="s">
        <v>285</v>
      </c>
      <c r="C22" s="11" t="s">
        <v>89</v>
      </c>
      <c r="D22" s="12" t="n">
        <f aca="false">VLOOKUP(C22,04_Clause_Readiness!$A$4:$E$31,5,FALSE())</f>
        <v>0</v>
      </c>
    </row>
    <row r="23" customFormat="false" ht="15" hidden="false" customHeight="true" outlineLevel="0" collapsed="false">
      <c r="A23" s="11" t="s">
        <v>84</v>
      </c>
      <c r="B23" s="11" t="s">
        <v>285</v>
      </c>
      <c r="C23" s="11" t="s">
        <v>295</v>
      </c>
      <c r="D23" s="12" t="n">
        <f aca="false">VLOOKUP(C23,04_Clause_Readiness!$A$4:$E$31,5,FALSE())</f>
        <v>2</v>
      </c>
    </row>
    <row r="24" customFormat="false" ht="15" hidden="false" customHeight="true" outlineLevel="0" collapsed="false">
      <c r="A24" s="11" t="s">
        <v>90</v>
      </c>
      <c r="B24" s="11" t="s">
        <v>282</v>
      </c>
      <c r="C24" s="11" t="s">
        <v>283</v>
      </c>
      <c r="D24" s="12" t="n">
        <f aca="false">VLOOKUP(C24,03_AnnexA_Maturity!$A$4:$E$96,5,FALSE())</f>
        <v>1</v>
      </c>
    </row>
    <row r="25" customFormat="false" ht="15" hidden="false" customHeight="true" outlineLevel="0" collapsed="false">
      <c r="A25" s="11" t="s">
        <v>90</v>
      </c>
      <c r="B25" s="11" t="s">
        <v>282</v>
      </c>
      <c r="C25" s="11" t="s">
        <v>290</v>
      </c>
      <c r="D25" s="12" t="n">
        <f aca="false">VLOOKUP(C25,03_AnnexA_Maturity!$A$4:$E$96,5,FALSE())</f>
        <v>1</v>
      </c>
    </row>
    <row r="26" customFormat="false" ht="15" hidden="false" customHeight="true" outlineLevel="0" collapsed="false">
      <c r="A26" s="11" t="s">
        <v>90</v>
      </c>
      <c r="B26" s="11" t="s">
        <v>282</v>
      </c>
      <c r="C26" s="11" t="s">
        <v>95</v>
      </c>
      <c r="D26" s="12" t="n">
        <f aca="false">VLOOKUP(C26,03_AnnexA_Maturity!$A$4:$E$96,5,FALSE())</f>
        <v>0</v>
      </c>
    </row>
    <row r="27" customFormat="false" ht="15" hidden="false" customHeight="true" outlineLevel="0" collapsed="false">
      <c r="A27" s="11" t="s">
        <v>90</v>
      </c>
      <c r="B27" s="11" t="s">
        <v>285</v>
      </c>
      <c r="C27" s="11" t="s">
        <v>94</v>
      </c>
      <c r="D27" s="12" t="n">
        <f aca="false">VLOOKUP(C27,04_Clause_Readiness!$A$4:$E$31,5,FALSE())</f>
        <v>2</v>
      </c>
    </row>
    <row r="28" customFormat="false" ht="15" hidden="false" customHeight="true" outlineLevel="0" collapsed="false">
      <c r="A28" s="11" t="s">
        <v>96</v>
      </c>
      <c r="B28" s="11" t="s">
        <v>282</v>
      </c>
      <c r="C28" s="11" t="s">
        <v>296</v>
      </c>
      <c r="D28" s="12" t="n">
        <f aca="false">VLOOKUP(C28,03_AnnexA_Maturity!$A$4:$E$96,5,FALSE())</f>
        <v>1</v>
      </c>
    </row>
    <row r="29" customFormat="false" ht="15" hidden="false" customHeight="true" outlineLevel="0" collapsed="false">
      <c r="A29" s="11" t="s">
        <v>96</v>
      </c>
      <c r="B29" s="11" t="s">
        <v>282</v>
      </c>
      <c r="C29" s="11" t="s">
        <v>102</v>
      </c>
      <c r="D29" s="12" t="n">
        <f aca="false">VLOOKUP(C29,03_AnnexA_Maturity!$A$4:$E$96,5,FALSE())</f>
        <v>0</v>
      </c>
    </row>
    <row r="30" customFormat="false" ht="15" hidden="false" customHeight="true" outlineLevel="0" collapsed="false">
      <c r="A30" s="11" t="s">
        <v>96</v>
      </c>
      <c r="B30" s="11" t="s">
        <v>282</v>
      </c>
      <c r="C30" s="11" t="s">
        <v>297</v>
      </c>
      <c r="D30" s="12" t="n">
        <f aca="false">VLOOKUP(C30,03_AnnexA_Maturity!$A$4:$E$96,5,FALSE())</f>
        <v>1</v>
      </c>
    </row>
    <row r="31" customFormat="false" ht="15" hidden="false" customHeight="true" outlineLevel="0" collapsed="false">
      <c r="A31" s="11" t="s">
        <v>96</v>
      </c>
      <c r="B31" s="11" t="s">
        <v>285</v>
      </c>
      <c r="C31" s="11" t="s">
        <v>101</v>
      </c>
      <c r="D31" s="12" t="n">
        <f aca="false">VLOOKUP(C31,04_Clause_Readiness!$A$4:$E$31,5,FALSE())</f>
        <v>2</v>
      </c>
    </row>
    <row r="32" customFormat="false" ht="15" hidden="false" customHeight="true" outlineLevel="0" collapsed="false">
      <c r="A32" s="11" t="s">
        <v>103</v>
      </c>
      <c r="B32" s="11" t="s">
        <v>282</v>
      </c>
      <c r="C32" s="11" t="s">
        <v>119</v>
      </c>
      <c r="D32" s="12" t="n">
        <f aca="false">VLOOKUP(C32,03_AnnexA_Maturity!$A$4:$E$96,5,FALSE())</f>
        <v>2</v>
      </c>
    </row>
    <row r="33" customFormat="false" ht="15" hidden="false" customHeight="true" outlineLevel="0" collapsed="false">
      <c r="A33" s="11" t="s">
        <v>103</v>
      </c>
      <c r="B33" s="11" t="s">
        <v>282</v>
      </c>
      <c r="C33" s="11" t="s">
        <v>298</v>
      </c>
      <c r="D33" s="12" t="n">
        <f aca="false">VLOOKUP(C33,03_AnnexA_Maturity!$A$4:$E$96,5,FALSE())</f>
        <v>2</v>
      </c>
    </row>
    <row r="34" customFormat="false" ht="15" hidden="false" customHeight="true" outlineLevel="0" collapsed="false">
      <c r="A34" s="11" t="s">
        <v>103</v>
      </c>
      <c r="B34" s="11" t="s">
        <v>282</v>
      </c>
      <c r="C34" s="11" t="s">
        <v>294</v>
      </c>
      <c r="D34" s="12" t="n">
        <f aca="false">VLOOKUP(C34,03_AnnexA_Maturity!$A$4:$E$96,5,FALSE())</f>
        <v>1</v>
      </c>
    </row>
    <row r="35" customFormat="false" ht="15" hidden="false" customHeight="true" outlineLevel="0" collapsed="false">
      <c r="A35" s="11" t="s">
        <v>103</v>
      </c>
      <c r="B35" s="11" t="s">
        <v>282</v>
      </c>
      <c r="C35" s="11" t="s">
        <v>299</v>
      </c>
      <c r="D35" s="12" t="n">
        <f aca="false">VLOOKUP(C35,03_AnnexA_Maturity!$A$4:$E$96,5,FALSE())</f>
        <v>2</v>
      </c>
    </row>
    <row r="36" customFormat="false" ht="15" hidden="false" customHeight="true" outlineLevel="0" collapsed="false">
      <c r="A36" s="11" t="s">
        <v>103</v>
      </c>
      <c r="B36" s="11" t="s">
        <v>285</v>
      </c>
      <c r="C36" s="11" t="s">
        <v>295</v>
      </c>
      <c r="D36" s="12" t="n">
        <f aca="false">VLOOKUP(C36,04_Clause_Readiness!$A$4:$E$31,5,FALSE())</f>
        <v>2</v>
      </c>
    </row>
    <row r="37" customFormat="false" ht="15" hidden="false" customHeight="true" outlineLevel="0" collapsed="false">
      <c r="A37" s="11" t="s">
        <v>103</v>
      </c>
      <c r="B37" s="11" t="s">
        <v>285</v>
      </c>
      <c r="C37" s="11" t="s">
        <v>300</v>
      </c>
      <c r="D37" s="12" t="n">
        <f aca="false">VLOOKUP(C37,04_Clause_Readiness!$A$4:$E$31,5,FALSE())</f>
        <v>2</v>
      </c>
    </row>
    <row r="38" customFormat="false" ht="15" hidden="false" customHeight="true" outlineLevel="0" collapsed="false">
      <c r="A38" s="11" t="s">
        <v>108</v>
      </c>
      <c r="B38" s="11" t="s">
        <v>282</v>
      </c>
      <c r="C38" s="11" t="s">
        <v>301</v>
      </c>
      <c r="D38" s="12" t="n">
        <f aca="false">VLOOKUP(C38,03_AnnexA_Maturity!$A$4:$E$96,5,FALSE())</f>
        <v>1</v>
      </c>
    </row>
    <row r="39" customFormat="false" ht="15" hidden="false" customHeight="true" outlineLevel="0" collapsed="false">
      <c r="A39" s="11" t="s">
        <v>108</v>
      </c>
      <c r="B39" s="11" t="s">
        <v>282</v>
      </c>
      <c r="C39" s="11" t="s">
        <v>302</v>
      </c>
      <c r="D39" s="12" t="n">
        <f aca="false">VLOOKUP(C39,03_AnnexA_Maturity!$A$4:$E$96,5,FALSE())</f>
        <v>2</v>
      </c>
    </row>
    <row r="40" customFormat="false" ht="15" hidden="false" customHeight="true" outlineLevel="0" collapsed="false">
      <c r="A40" s="11" t="s">
        <v>108</v>
      </c>
      <c r="B40" s="11" t="s">
        <v>282</v>
      </c>
      <c r="C40" s="11" t="s">
        <v>303</v>
      </c>
      <c r="D40" s="12" t="n">
        <f aca="false">VLOOKUP(C40,03_AnnexA_Maturity!$A$4:$E$96,5,FALSE())</f>
        <v>2</v>
      </c>
    </row>
    <row r="41" customFormat="false" ht="15" hidden="false" customHeight="true" outlineLevel="0" collapsed="false">
      <c r="A41" s="11" t="s">
        <v>108</v>
      </c>
      <c r="B41" s="11" t="s">
        <v>282</v>
      </c>
      <c r="C41" s="11" t="s">
        <v>113</v>
      </c>
      <c r="D41" s="12" t="n">
        <f aca="false">VLOOKUP(C41,03_AnnexA_Maturity!$A$4:$E$96,5,FALSE())</f>
        <v>0</v>
      </c>
    </row>
    <row r="42" customFormat="false" ht="15" hidden="false" customHeight="true" outlineLevel="0" collapsed="false">
      <c r="A42" s="11" t="s">
        <v>108</v>
      </c>
      <c r="B42" s="11" t="s">
        <v>285</v>
      </c>
      <c r="C42" s="11" t="s">
        <v>300</v>
      </c>
      <c r="D42" s="12" t="n">
        <f aca="false">VLOOKUP(C42,04_Clause_Readiness!$A$4:$E$31,5,FALSE())</f>
        <v>2</v>
      </c>
    </row>
    <row r="43" customFormat="false" ht="15" hidden="false" customHeight="true" outlineLevel="0" collapsed="false">
      <c r="A43" s="11" t="s">
        <v>108</v>
      </c>
      <c r="B43" s="11" t="s">
        <v>285</v>
      </c>
      <c r="C43" s="11" t="s">
        <v>304</v>
      </c>
      <c r="D43" s="12" t="n">
        <f aca="false">VLOOKUP(C43,04_Clause_Readiness!$A$4:$E$31,5,FALSE())</f>
        <v>2</v>
      </c>
    </row>
    <row r="44" customFormat="false" ht="15" hidden="false" customHeight="true" outlineLevel="0" collapsed="false">
      <c r="A44" s="11" t="s">
        <v>115</v>
      </c>
      <c r="B44" s="11" t="s">
        <v>282</v>
      </c>
      <c r="C44" s="11" t="s">
        <v>119</v>
      </c>
      <c r="D44" s="12" t="n">
        <f aca="false">VLOOKUP(C44,03_AnnexA_Maturity!$A$4:$E$96,5,FALSE())</f>
        <v>2</v>
      </c>
    </row>
    <row r="45" customFormat="false" ht="15" hidden="false" customHeight="true" outlineLevel="0" collapsed="false">
      <c r="A45" s="11" t="s">
        <v>115</v>
      </c>
      <c r="B45" s="11" t="s">
        <v>285</v>
      </c>
      <c r="C45" s="11" t="s">
        <v>121</v>
      </c>
      <c r="D45" s="12" t="n">
        <f aca="false">VLOOKUP(C45,04_Clause_Readiness!$A$4:$E$31,5,FALSE())</f>
        <v>0</v>
      </c>
    </row>
    <row r="46" customFormat="false" ht="15" hidden="false" customHeight="true" outlineLevel="0" collapsed="false">
      <c r="A46" s="11" t="s">
        <v>115</v>
      </c>
      <c r="B46" s="11" t="s">
        <v>285</v>
      </c>
      <c r="C46" s="11" t="s">
        <v>305</v>
      </c>
      <c r="D46" s="12" t="n">
        <f aca="false">VLOOKUP(C46,04_Clause_Readiness!$A$4:$E$31,5,FALSE())</f>
        <v>2</v>
      </c>
    </row>
    <row r="47" customFormat="false" ht="15" hidden="false" customHeight="true" outlineLevel="0" collapsed="false">
      <c r="A47" s="11" t="s">
        <v>122</v>
      </c>
      <c r="B47" s="11" t="s">
        <v>282</v>
      </c>
      <c r="C47" s="11" t="s">
        <v>102</v>
      </c>
      <c r="D47" s="12" t="n">
        <f aca="false">VLOOKUP(C47,03_AnnexA_Maturity!$A$4:$E$96,5,FALSE())</f>
        <v>0</v>
      </c>
    </row>
    <row r="48" customFormat="false" ht="15" hidden="false" customHeight="true" outlineLevel="0" collapsed="false">
      <c r="A48" s="11" t="s">
        <v>122</v>
      </c>
      <c r="B48" s="11" t="s">
        <v>282</v>
      </c>
      <c r="C48" s="11" t="s">
        <v>306</v>
      </c>
      <c r="D48" s="12" t="n">
        <f aca="false">VLOOKUP(C48,03_AnnexA_Maturity!$A$4:$E$96,5,FALSE())</f>
        <v>0</v>
      </c>
    </row>
    <row r="49" customFormat="false" ht="15" hidden="false" customHeight="true" outlineLevel="0" collapsed="false">
      <c r="A49" s="11" t="s">
        <v>122</v>
      </c>
      <c r="B49" s="11" t="s">
        <v>285</v>
      </c>
      <c r="C49" s="11" t="s">
        <v>132</v>
      </c>
      <c r="D49" s="12" t="n">
        <f aca="false">VLOOKUP(C49,04_Clause_Readiness!$A$4:$E$31,5,FALSE())</f>
        <v>2</v>
      </c>
    </row>
    <row r="50" customFormat="false" ht="15" hidden="false" customHeight="true" outlineLevel="0" collapsed="false">
      <c r="A50" s="11" t="s">
        <v>122</v>
      </c>
      <c r="B50" s="11" t="s">
        <v>285</v>
      </c>
      <c r="C50" s="11" t="s">
        <v>307</v>
      </c>
      <c r="D50" s="12" t="n">
        <f aca="false">VLOOKUP(C50,04_Clause_Readiness!$A$4:$E$31,5,FALSE())</f>
        <v>3</v>
      </c>
    </row>
    <row r="51" customFormat="false" ht="15" hidden="false" customHeight="true" outlineLevel="0" collapsed="false">
      <c r="A51" s="11" t="s">
        <v>128</v>
      </c>
      <c r="B51" s="11" t="s">
        <v>282</v>
      </c>
      <c r="C51" s="11" t="s">
        <v>283</v>
      </c>
      <c r="D51" s="12" t="n">
        <f aca="false">VLOOKUP(C51,03_AnnexA_Maturity!$A$4:$E$96,5,FALSE())</f>
        <v>1</v>
      </c>
    </row>
    <row r="52" customFormat="false" ht="15" hidden="false" customHeight="true" outlineLevel="0" collapsed="false">
      <c r="A52" s="11" t="s">
        <v>128</v>
      </c>
      <c r="B52" s="11" t="s">
        <v>282</v>
      </c>
      <c r="C52" s="11" t="s">
        <v>293</v>
      </c>
      <c r="D52" s="12" t="n">
        <f aca="false">VLOOKUP(C52,03_AnnexA_Maturity!$A$4:$E$96,5,FALSE())</f>
        <v>1</v>
      </c>
    </row>
    <row r="53" customFormat="false" ht="15" hidden="false" customHeight="true" outlineLevel="0" collapsed="false">
      <c r="A53" s="11" t="s">
        <v>128</v>
      </c>
      <c r="B53" s="11" t="s">
        <v>282</v>
      </c>
      <c r="C53" s="11" t="s">
        <v>308</v>
      </c>
      <c r="D53" s="12" t="n">
        <f aca="false">VLOOKUP(C53,03_AnnexA_Maturity!$A$4:$E$96,5,FALSE())</f>
        <v>2</v>
      </c>
    </row>
    <row r="54" customFormat="false" ht="15" hidden="false" customHeight="true" outlineLevel="0" collapsed="false">
      <c r="A54" s="11" t="s">
        <v>128</v>
      </c>
      <c r="B54" s="11" t="s">
        <v>282</v>
      </c>
      <c r="C54" s="11" t="s">
        <v>133</v>
      </c>
      <c r="D54" s="12" t="n">
        <f aca="false">VLOOKUP(C54,03_AnnexA_Maturity!$A$4:$E$96,5,FALSE())</f>
        <v>0</v>
      </c>
    </row>
    <row r="55" customFormat="false" ht="15" hidden="false" customHeight="true" outlineLevel="0" collapsed="false">
      <c r="A55" s="11" t="s">
        <v>128</v>
      </c>
      <c r="B55" s="11" t="s">
        <v>285</v>
      </c>
      <c r="C55" s="11" t="s">
        <v>132</v>
      </c>
      <c r="D55" s="12" t="n">
        <f aca="false">VLOOKUP(C55,04_Clause_Readiness!$A$4:$E$31,5,FALSE())</f>
        <v>2</v>
      </c>
    </row>
    <row r="56" customFormat="false" ht="15" hidden="false" customHeight="true" outlineLevel="0" collapsed="false">
      <c r="A56" s="11" t="s">
        <v>134</v>
      </c>
      <c r="B56" s="11" t="s">
        <v>282</v>
      </c>
      <c r="C56" s="11" t="s">
        <v>309</v>
      </c>
      <c r="D56" s="12" t="n">
        <f aca="false">VLOOKUP(C56,03_AnnexA_Maturity!$A$4:$E$96,5,FALSE())</f>
        <v>0</v>
      </c>
    </row>
    <row r="57" customFormat="false" ht="15" hidden="false" customHeight="true" outlineLevel="0" collapsed="false">
      <c r="A57" s="11" t="s">
        <v>134</v>
      </c>
      <c r="B57" s="11" t="s">
        <v>282</v>
      </c>
      <c r="C57" s="11" t="s">
        <v>310</v>
      </c>
      <c r="D57" s="12" t="n">
        <f aca="false">VLOOKUP(C57,03_AnnexA_Maturity!$A$4:$E$96,5,FALSE())</f>
        <v>0</v>
      </c>
    </row>
    <row r="58" customFormat="false" ht="15" hidden="false" customHeight="true" outlineLevel="0" collapsed="false">
      <c r="A58" s="11" t="s">
        <v>134</v>
      </c>
      <c r="B58" s="11" t="s">
        <v>285</v>
      </c>
      <c r="C58" s="11" t="s">
        <v>236</v>
      </c>
      <c r="D58" s="12" t="n">
        <f aca="false">VLOOKUP(C58,04_Clause_Readiness!$A$4:$E$31,5,FALSE())</f>
        <v>0</v>
      </c>
    </row>
    <row r="59" customFormat="false" ht="15" hidden="false" customHeight="true" outlineLevel="0" collapsed="false">
      <c r="A59" s="11" t="s">
        <v>134</v>
      </c>
      <c r="B59" s="11" t="s">
        <v>285</v>
      </c>
      <c r="C59" s="11" t="s">
        <v>307</v>
      </c>
      <c r="D59" s="12" t="n">
        <f aca="false">VLOOKUP(C59,04_Clause_Readiness!$A$4:$E$31,5,FALSE())</f>
        <v>3</v>
      </c>
    </row>
    <row r="60" customFormat="false" ht="15" hidden="false" customHeight="true" outlineLevel="0" collapsed="false">
      <c r="A60" s="11" t="s">
        <v>140</v>
      </c>
      <c r="B60" s="11" t="s">
        <v>282</v>
      </c>
      <c r="C60" s="11" t="s">
        <v>289</v>
      </c>
      <c r="D60" s="12" t="n">
        <f aca="false">VLOOKUP(C60,03_AnnexA_Maturity!$A$4:$E$96,5,FALSE())</f>
        <v>0</v>
      </c>
    </row>
    <row r="61" customFormat="false" ht="15" hidden="false" customHeight="true" outlineLevel="0" collapsed="false">
      <c r="A61" s="11" t="s">
        <v>140</v>
      </c>
      <c r="B61" s="11" t="s">
        <v>282</v>
      </c>
      <c r="C61" s="11" t="s">
        <v>290</v>
      </c>
      <c r="D61" s="12" t="n">
        <f aca="false">VLOOKUP(C61,03_AnnexA_Maturity!$A$4:$E$96,5,FALSE())</f>
        <v>1</v>
      </c>
    </row>
    <row r="62" customFormat="false" ht="15" hidden="false" customHeight="true" outlineLevel="0" collapsed="false">
      <c r="A62" s="11" t="s">
        <v>140</v>
      </c>
      <c r="B62" s="11" t="s">
        <v>282</v>
      </c>
      <c r="C62" s="11" t="s">
        <v>133</v>
      </c>
      <c r="D62" s="12" t="n">
        <f aca="false">VLOOKUP(C62,03_AnnexA_Maturity!$A$4:$E$96,5,FALSE())</f>
        <v>0</v>
      </c>
    </row>
    <row r="63" customFormat="false" ht="15" hidden="false" customHeight="true" outlineLevel="0" collapsed="false">
      <c r="A63" s="11" t="s">
        <v>140</v>
      </c>
      <c r="B63" s="11" t="s">
        <v>285</v>
      </c>
      <c r="C63" s="11" t="s">
        <v>101</v>
      </c>
      <c r="D63" s="12" t="n">
        <f aca="false">VLOOKUP(C63,04_Clause_Readiness!$A$4:$E$31,5,FALSE())</f>
        <v>2</v>
      </c>
    </row>
    <row r="64" customFormat="false" ht="15" hidden="false" customHeight="true" outlineLevel="0" collapsed="false">
      <c r="A64" s="11" t="s">
        <v>140</v>
      </c>
      <c r="B64" s="11" t="s">
        <v>285</v>
      </c>
      <c r="C64" s="11" t="s">
        <v>311</v>
      </c>
      <c r="D64" s="12" t="n">
        <f aca="false">VLOOKUP(C64,04_Clause_Readiness!$A$4:$E$31,5,FALSE())</f>
        <v>0</v>
      </c>
    </row>
    <row r="65" customFormat="false" ht="15" hidden="false" customHeight="true" outlineLevel="0" collapsed="false">
      <c r="A65" s="11" t="s">
        <v>140</v>
      </c>
      <c r="B65" s="11" t="s">
        <v>285</v>
      </c>
      <c r="C65" s="11" t="s">
        <v>312</v>
      </c>
      <c r="D65" s="12" t="n">
        <f aca="false">VLOOKUP(C65,04_Clause_Readiness!$A$4:$E$31,5,FALSE())</f>
        <v>0</v>
      </c>
    </row>
    <row r="66" customFormat="false" ht="15" hidden="false" customHeight="true" outlineLevel="0" collapsed="false">
      <c r="A66" s="11" t="s">
        <v>147</v>
      </c>
      <c r="B66" s="11" t="s">
        <v>282</v>
      </c>
      <c r="C66" s="11" t="s">
        <v>313</v>
      </c>
      <c r="D66" s="12" t="n">
        <f aca="false">VLOOKUP(C66,03_AnnexA_Maturity!$A$4:$E$96,5,FALSE())</f>
        <v>1</v>
      </c>
    </row>
    <row r="67" customFormat="false" ht="15" hidden="false" customHeight="true" outlineLevel="0" collapsed="false">
      <c r="A67" s="11" t="s">
        <v>147</v>
      </c>
      <c r="B67" s="11" t="s">
        <v>282</v>
      </c>
      <c r="C67" s="11" t="s">
        <v>290</v>
      </c>
      <c r="D67" s="12" t="n">
        <f aca="false">VLOOKUP(C67,03_AnnexA_Maturity!$A$4:$E$96,5,FALSE())</f>
        <v>1</v>
      </c>
    </row>
    <row r="68" customFormat="false" ht="15" hidden="false" customHeight="true" outlineLevel="0" collapsed="false">
      <c r="A68" s="11" t="s">
        <v>147</v>
      </c>
      <c r="B68" s="11" t="s">
        <v>285</v>
      </c>
      <c r="C68" s="11" t="s">
        <v>314</v>
      </c>
      <c r="D68" s="12" t="n">
        <f aca="false">VLOOKUP(C68,04_Clause_Readiness!$A$4:$E$31,5,FALSE())</f>
        <v>0</v>
      </c>
    </row>
    <row r="69" customFormat="false" ht="15" hidden="false" customHeight="true" outlineLevel="0" collapsed="false">
      <c r="A69" s="11" t="s">
        <v>147</v>
      </c>
      <c r="B69" s="11" t="s">
        <v>285</v>
      </c>
      <c r="C69" s="11" t="s">
        <v>230</v>
      </c>
      <c r="D69" s="12" t="n">
        <f aca="false">VLOOKUP(C69,04_Clause_Readiness!$A$4:$E$31,5,FALSE())</f>
        <v>0</v>
      </c>
    </row>
    <row r="70" customFormat="false" ht="15" hidden="false" customHeight="true" outlineLevel="0" collapsed="false">
      <c r="A70" s="11" t="s">
        <v>152</v>
      </c>
      <c r="B70" s="11" t="s">
        <v>282</v>
      </c>
      <c r="C70" s="11" t="s">
        <v>119</v>
      </c>
      <c r="D70" s="12" t="n">
        <f aca="false">VLOOKUP(C70,03_AnnexA_Maturity!$A$4:$E$96,5,FALSE())</f>
        <v>2</v>
      </c>
    </row>
    <row r="71" customFormat="false" ht="15" hidden="false" customHeight="true" outlineLevel="0" collapsed="false">
      <c r="A71" s="11" t="s">
        <v>152</v>
      </c>
      <c r="B71" s="11" t="s">
        <v>285</v>
      </c>
      <c r="C71" s="11" t="s">
        <v>156</v>
      </c>
      <c r="D71" s="12" t="n">
        <f aca="false">VLOOKUP(C71,04_Clause_Readiness!$A$4:$E$31,5,FALSE())</f>
        <v>2</v>
      </c>
    </row>
    <row r="72" customFormat="false" ht="15" hidden="false" customHeight="true" outlineLevel="0" collapsed="false">
      <c r="A72" s="11" t="s">
        <v>157</v>
      </c>
      <c r="B72" s="11" t="s">
        <v>282</v>
      </c>
      <c r="C72" s="11" t="s">
        <v>315</v>
      </c>
      <c r="D72" s="12" t="n">
        <f aca="false">VLOOKUP(C72,03_AnnexA_Maturity!$A$4:$E$96,5,FALSE())</f>
        <v>0</v>
      </c>
    </row>
    <row r="73" customFormat="false" ht="15" hidden="false" customHeight="true" outlineLevel="0" collapsed="false">
      <c r="A73" s="11" t="s">
        <v>157</v>
      </c>
      <c r="B73" s="11" t="s">
        <v>282</v>
      </c>
      <c r="C73" s="11" t="s">
        <v>316</v>
      </c>
      <c r="D73" s="12" t="n">
        <f aca="false">VLOOKUP(C73,03_AnnexA_Maturity!$A$4:$E$96,5,FALSE())</f>
        <v>0</v>
      </c>
    </row>
    <row r="74" customFormat="false" ht="15" hidden="false" customHeight="true" outlineLevel="0" collapsed="false">
      <c r="A74" s="11" t="s">
        <v>157</v>
      </c>
      <c r="B74" s="11" t="s">
        <v>282</v>
      </c>
      <c r="C74" s="11" t="s">
        <v>310</v>
      </c>
      <c r="D74" s="12" t="n">
        <f aca="false">VLOOKUP(C74,03_AnnexA_Maturity!$A$4:$E$96,5,FALSE())</f>
        <v>0</v>
      </c>
    </row>
    <row r="75" customFormat="false" ht="15" hidden="false" customHeight="true" outlineLevel="0" collapsed="false">
      <c r="A75" s="11" t="s">
        <v>157</v>
      </c>
      <c r="B75" s="11" t="s">
        <v>285</v>
      </c>
      <c r="C75" s="11" t="s">
        <v>161</v>
      </c>
      <c r="D75" s="12" t="n">
        <f aca="false">VLOOKUP(C75,04_Clause_Readiness!$A$4:$E$31,5,FALSE())</f>
        <v>2</v>
      </c>
    </row>
    <row r="76" customFormat="false" ht="15" hidden="false" customHeight="true" outlineLevel="0" collapsed="false">
      <c r="A76" s="11" t="s">
        <v>162</v>
      </c>
      <c r="B76" s="11" t="s">
        <v>282</v>
      </c>
      <c r="C76" s="11" t="s">
        <v>119</v>
      </c>
      <c r="D76" s="12" t="n">
        <f aca="false">VLOOKUP(C76,03_AnnexA_Maturity!$A$4:$E$96,5,FALSE())</f>
        <v>2</v>
      </c>
    </row>
    <row r="77" customFormat="false" ht="15" hidden="false" customHeight="true" outlineLevel="0" collapsed="false">
      <c r="A77" s="11" t="s">
        <v>162</v>
      </c>
      <c r="B77" s="11" t="s">
        <v>282</v>
      </c>
      <c r="C77" s="11" t="s">
        <v>290</v>
      </c>
      <c r="D77" s="12" t="n">
        <f aca="false">VLOOKUP(C77,03_AnnexA_Maturity!$A$4:$E$96,5,FALSE())</f>
        <v>1</v>
      </c>
    </row>
    <row r="78" customFormat="false" ht="15" hidden="false" customHeight="true" outlineLevel="0" collapsed="false">
      <c r="A78" s="11" t="s">
        <v>162</v>
      </c>
      <c r="B78" s="11" t="s">
        <v>282</v>
      </c>
      <c r="C78" s="11" t="s">
        <v>317</v>
      </c>
      <c r="D78" s="12" t="n">
        <f aca="false">VLOOKUP(C78,03_AnnexA_Maturity!$A$4:$E$96,5,FALSE())</f>
        <v>1</v>
      </c>
    </row>
    <row r="79" customFormat="false" ht="15" hidden="false" customHeight="true" outlineLevel="0" collapsed="false">
      <c r="A79" s="11" t="s">
        <v>162</v>
      </c>
      <c r="B79" s="11" t="s">
        <v>285</v>
      </c>
      <c r="C79" s="11" t="s">
        <v>287</v>
      </c>
      <c r="D79" s="12" t="n">
        <f aca="false">VLOOKUP(C79,04_Clause_Readiness!$A$4:$E$31,5,FALSE())</f>
        <v>2</v>
      </c>
    </row>
    <row r="80" customFormat="false" ht="15" hidden="false" customHeight="true" outlineLevel="0" collapsed="false">
      <c r="A80" s="11" t="s">
        <v>162</v>
      </c>
      <c r="B80" s="11" t="s">
        <v>285</v>
      </c>
      <c r="C80" s="11" t="s">
        <v>318</v>
      </c>
      <c r="D80" s="12" t="n">
        <f aca="false">VLOOKUP(C80,04_Clause_Readiness!$A$4:$E$31,5,FALSE())</f>
        <v>2</v>
      </c>
    </row>
    <row r="81" customFormat="false" ht="15" hidden="false" customHeight="true" outlineLevel="0" collapsed="false">
      <c r="A81" s="11" t="s">
        <v>167</v>
      </c>
      <c r="B81" s="11" t="s">
        <v>282</v>
      </c>
      <c r="C81" s="11" t="s">
        <v>319</v>
      </c>
      <c r="D81" s="12" t="n">
        <f aca="false">VLOOKUP(C81,03_AnnexA_Maturity!$A$4:$E$96,5,FALSE())</f>
        <v>2</v>
      </c>
    </row>
    <row r="82" customFormat="false" ht="15" hidden="false" customHeight="true" outlineLevel="0" collapsed="false">
      <c r="A82" s="11" t="s">
        <v>167</v>
      </c>
      <c r="B82" s="11" t="s">
        <v>282</v>
      </c>
      <c r="C82" s="11" t="s">
        <v>320</v>
      </c>
      <c r="D82" s="12" t="n">
        <f aca="false">VLOOKUP(C82,03_AnnexA_Maturity!$A$4:$E$96,5,FALSE())</f>
        <v>2</v>
      </c>
    </row>
    <row r="83" customFormat="false" ht="15" hidden="false" customHeight="true" outlineLevel="0" collapsed="false">
      <c r="A83" s="11" t="s">
        <v>167</v>
      </c>
      <c r="B83" s="11" t="s">
        <v>282</v>
      </c>
      <c r="C83" s="11" t="s">
        <v>308</v>
      </c>
      <c r="D83" s="12" t="n">
        <f aca="false">VLOOKUP(C83,03_AnnexA_Maturity!$A$4:$E$96,5,FALSE())</f>
        <v>2</v>
      </c>
    </row>
    <row r="84" customFormat="false" ht="15" hidden="false" customHeight="true" outlineLevel="0" collapsed="false">
      <c r="A84" s="11" t="s">
        <v>167</v>
      </c>
      <c r="B84" s="11" t="s">
        <v>282</v>
      </c>
      <c r="C84" s="11" t="s">
        <v>182</v>
      </c>
      <c r="D84" s="12" t="n">
        <f aca="false">VLOOKUP(C84,03_AnnexA_Maturity!$A$4:$E$96,5,FALSE())</f>
        <v>0</v>
      </c>
    </row>
    <row r="85" customFormat="false" ht="15" hidden="false" customHeight="true" outlineLevel="0" collapsed="false">
      <c r="A85" s="11" t="s">
        <v>167</v>
      </c>
      <c r="B85" s="11" t="s">
        <v>282</v>
      </c>
      <c r="C85" s="11" t="s">
        <v>321</v>
      </c>
      <c r="D85" s="12" t="n">
        <f aca="false">VLOOKUP(C85,03_AnnexA_Maturity!$A$4:$E$96,5,FALSE())</f>
        <v>2</v>
      </c>
    </row>
    <row r="86" customFormat="false" ht="15" hidden="false" customHeight="true" outlineLevel="0" collapsed="false">
      <c r="A86" s="11" t="s">
        <v>167</v>
      </c>
      <c r="B86" s="11" t="s">
        <v>282</v>
      </c>
      <c r="C86" s="11" t="s">
        <v>316</v>
      </c>
      <c r="D86" s="12" t="n">
        <f aca="false">VLOOKUP(C86,03_AnnexA_Maturity!$A$4:$E$96,5,FALSE())</f>
        <v>0</v>
      </c>
    </row>
    <row r="87" customFormat="false" ht="15" hidden="false" customHeight="true" outlineLevel="0" collapsed="false">
      <c r="A87" s="11" t="s">
        <v>167</v>
      </c>
      <c r="B87" s="11" t="s">
        <v>282</v>
      </c>
      <c r="C87" s="11" t="s">
        <v>322</v>
      </c>
      <c r="D87" s="12" t="n">
        <f aca="false">VLOOKUP(C87,03_AnnexA_Maturity!$A$4:$E$96,5,FALSE())</f>
        <v>0</v>
      </c>
    </row>
    <row r="88" customFormat="false" ht="15" hidden="false" customHeight="true" outlineLevel="0" collapsed="false">
      <c r="A88" s="11" t="s">
        <v>167</v>
      </c>
      <c r="B88" s="11" t="s">
        <v>285</v>
      </c>
      <c r="C88" s="11" t="s">
        <v>161</v>
      </c>
      <c r="D88" s="12" t="n">
        <f aca="false">VLOOKUP(C88,04_Clause_Readiness!$A$4:$E$31,5,FALSE())</f>
        <v>2</v>
      </c>
    </row>
    <row r="89" customFormat="false" ht="15" hidden="false" customHeight="true" outlineLevel="0" collapsed="false">
      <c r="A89" s="11" t="s">
        <v>174</v>
      </c>
      <c r="B89" s="11" t="s">
        <v>282</v>
      </c>
      <c r="C89" s="11" t="s">
        <v>320</v>
      </c>
      <c r="D89" s="12" t="n">
        <f aca="false">VLOOKUP(C89,03_AnnexA_Maturity!$A$4:$E$96,5,FALSE())</f>
        <v>2</v>
      </c>
    </row>
    <row r="90" customFormat="false" ht="15" hidden="false" customHeight="true" outlineLevel="0" collapsed="false">
      <c r="A90" s="11" t="s">
        <v>174</v>
      </c>
      <c r="B90" s="11" t="s">
        <v>282</v>
      </c>
      <c r="C90" s="11" t="s">
        <v>323</v>
      </c>
      <c r="D90" s="12" t="n">
        <f aca="false">VLOOKUP(C90,03_AnnexA_Maturity!$A$4:$E$96,5,FALSE())</f>
        <v>2</v>
      </c>
    </row>
    <row r="91" customFormat="false" ht="15" hidden="false" customHeight="true" outlineLevel="0" collapsed="false">
      <c r="A91" s="11" t="s">
        <v>174</v>
      </c>
      <c r="B91" s="11" t="s">
        <v>282</v>
      </c>
      <c r="C91" s="11" t="s">
        <v>324</v>
      </c>
      <c r="D91" s="12" t="n">
        <f aca="false">VLOOKUP(C91,03_AnnexA_Maturity!$A$4:$E$96,5,FALSE())</f>
        <v>2</v>
      </c>
    </row>
    <row r="92" customFormat="false" ht="15" hidden="false" customHeight="true" outlineLevel="0" collapsed="false">
      <c r="A92" s="11" t="s">
        <v>174</v>
      </c>
      <c r="B92" s="11" t="s">
        <v>282</v>
      </c>
      <c r="C92" s="11" t="s">
        <v>325</v>
      </c>
      <c r="D92" s="12" t="n">
        <f aca="false">VLOOKUP(C92,03_AnnexA_Maturity!$A$4:$E$96,5,FALSE())</f>
        <v>1</v>
      </c>
    </row>
    <row r="93" customFormat="false" ht="15" hidden="false" customHeight="true" outlineLevel="0" collapsed="false">
      <c r="A93" s="11" t="s">
        <v>178</v>
      </c>
      <c r="B93" s="11" t="s">
        <v>282</v>
      </c>
      <c r="C93" s="11" t="s">
        <v>292</v>
      </c>
      <c r="D93" s="12" t="n">
        <f aca="false">VLOOKUP(C93,03_AnnexA_Maturity!$A$4:$E$96,5,FALSE())</f>
        <v>1</v>
      </c>
    </row>
    <row r="94" customFormat="false" ht="15" hidden="false" customHeight="true" outlineLevel="0" collapsed="false">
      <c r="A94" s="11" t="s">
        <v>178</v>
      </c>
      <c r="B94" s="11" t="s">
        <v>282</v>
      </c>
      <c r="C94" s="11" t="s">
        <v>326</v>
      </c>
      <c r="D94" s="12" t="n">
        <f aca="false">VLOOKUP(C94,03_AnnexA_Maturity!$A$4:$E$96,5,FALSE())</f>
        <v>2</v>
      </c>
    </row>
    <row r="95" customFormat="false" ht="15" hidden="false" customHeight="true" outlineLevel="0" collapsed="false">
      <c r="A95" s="11" t="s">
        <v>178</v>
      </c>
      <c r="B95" s="11" t="s">
        <v>282</v>
      </c>
      <c r="C95" s="11" t="s">
        <v>319</v>
      </c>
      <c r="D95" s="12" t="n">
        <f aca="false">VLOOKUP(C95,03_AnnexA_Maturity!$A$4:$E$96,5,FALSE())</f>
        <v>2</v>
      </c>
    </row>
    <row r="96" customFormat="false" ht="15" hidden="false" customHeight="true" outlineLevel="0" collapsed="false">
      <c r="A96" s="11" t="s">
        <v>178</v>
      </c>
      <c r="B96" s="11" t="s">
        <v>282</v>
      </c>
      <c r="C96" s="11" t="s">
        <v>324</v>
      </c>
      <c r="D96" s="12" t="n">
        <f aca="false">VLOOKUP(C96,03_AnnexA_Maturity!$A$4:$E$96,5,FALSE())</f>
        <v>2</v>
      </c>
    </row>
    <row r="97" customFormat="false" ht="15" hidden="false" customHeight="true" outlineLevel="0" collapsed="false">
      <c r="A97" s="11" t="s">
        <v>178</v>
      </c>
      <c r="B97" s="11" t="s">
        <v>282</v>
      </c>
      <c r="C97" s="11" t="s">
        <v>325</v>
      </c>
      <c r="D97" s="12" t="n">
        <f aca="false">VLOOKUP(C97,03_AnnexA_Maturity!$A$4:$E$96,5,FALSE())</f>
        <v>1</v>
      </c>
    </row>
    <row r="98" customFormat="false" ht="15" hidden="false" customHeight="true" outlineLevel="0" collapsed="false">
      <c r="A98" s="11" t="s">
        <v>178</v>
      </c>
      <c r="B98" s="11" t="s">
        <v>282</v>
      </c>
      <c r="C98" s="11" t="s">
        <v>308</v>
      </c>
      <c r="D98" s="12" t="n">
        <f aca="false">VLOOKUP(C98,03_AnnexA_Maturity!$A$4:$E$96,5,FALSE())</f>
        <v>2</v>
      </c>
    </row>
    <row r="99" customFormat="false" ht="15" hidden="false" customHeight="true" outlineLevel="0" collapsed="false">
      <c r="A99" s="11" t="s">
        <v>178</v>
      </c>
      <c r="B99" s="11" t="s">
        <v>282</v>
      </c>
      <c r="C99" s="11" t="s">
        <v>182</v>
      </c>
      <c r="D99" s="12" t="n">
        <f aca="false">VLOOKUP(C99,03_AnnexA_Maturity!$A$4:$E$96,5,FALSE())</f>
        <v>0</v>
      </c>
    </row>
    <row r="100" customFormat="false" ht="15" hidden="false" customHeight="true" outlineLevel="0" collapsed="false">
      <c r="A100" s="11" t="s">
        <v>183</v>
      </c>
      <c r="B100" s="11" t="s">
        <v>282</v>
      </c>
      <c r="C100" s="11" t="s">
        <v>327</v>
      </c>
      <c r="D100" s="12" t="n">
        <f aca="false">VLOOKUP(C100,03_AnnexA_Maturity!$A$4:$E$96,5,FALSE())</f>
        <v>0</v>
      </c>
    </row>
    <row r="101" customFormat="false" ht="15" hidden="false" customHeight="true" outlineLevel="0" collapsed="false">
      <c r="A101" s="11" t="s">
        <v>183</v>
      </c>
      <c r="B101" s="11" t="s">
        <v>282</v>
      </c>
      <c r="C101" s="11" t="s">
        <v>328</v>
      </c>
      <c r="D101" s="12" t="n">
        <f aca="false">VLOOKUP(C101,03_AnnexA_Maturity!$A$4:$E$96,5,FALSE())</f>
        <v>0</v>
      </c>
    </row>
    <row r="102" customFormat="false" ht="15" hidden="false" customHeight="true" outlineLevel="0" collapsed="false">
      <c r="A102" s="11" t="s">
        <v>183</v>
      </c>
      <c r="B102" s="11" t="s">
        <v>282</v>
      </c>
      <c r="C102" s="11" t="s">
        <v>329</v>
      </c>
      <c r="D102" s="12" t="n">
        <f aca="false">VLOOKUP(C102,03_AnnexA_Maturity!$A$4:$E$96,5,FALSE())</f>
        <v>0</v>
      </c>
    </row>
    <row r="103" customFormat="false" ht="15" hidden="false" customHeight="true" outlineLevel="0" collapsed="false">
      <c r="A103" s="11" t="s">
        <v>188</v>
      </c>
      <c r="B103" s="11" t="s">
        <v>282</v>
      </c>
      <c r="C103" s="11" t="s">
        <v>330</v>
      </c>
      <c r="D103" s="12" t="n">
        <f aca="false">VLOOKUP(C103,03_AnnexA_Maturity!$A$4:$E$96,5,FALSE())</f>
        <v>2</v>
      </c>
    </row>
    <row r="104" customFormat="false" ht="15" hidden="false" customHeight="true" outlineLevel="0" collapsed="false">
      <c r="A104" s="11" t="s">
        <v>188</v>
      </c>
      <c r="B104" s="11" t="s">
        <v>282</v>
      </c>
      <c r="C104" s="11" t="s">
        <v>192</v>
      </c>
      <c r="D104" s="12" t="n">
        <f aca="false">VLOOKUP(C104,03_AnnexA_Maturity!$A$4:$E$96,5,FALSE())</f>
        <v>0</v>
      </c>
    </row>
    <row r="105" customFormat="false" ht="15" hidden="false" customHeight="true" outlineLevel="0" collapsed="false">
      <c r="A105" s="11" t="s">
        <v>193</v>
      </c>
      <c r="B105" s="11" t="s">
        <v>282</v>
      </c>
      <c r="C105" s="11" t="s">
        <v>321</v>
      </c>
      <c r="D105" s="12" t="n">
        <f aca="false">VLOOKUP(C105,03_AnnexA_Maturity!$A$4:$E$96,5,FALSE())</f>
        <v>2</v>
      </c>
    </row>
    <row r="106" customFormat="false" ht="15" hidden="false" customHeight="true" outlineLevel="0" collapsed="false">
      <c r="A106" s="11" t="s">
        <v>193</v>
      </c>
      <c r="B106" s="11" t="s">
        <v>282</v>
      </c>
      <c r="C106" s="11" t="s">
        <v>316</v>
      </c>
      <c r="D106" s="12" t="n">
        <f aca="false">VLOOKUP(C106,03_AnnexA_Maturity!$A$4:$E$96,5,FALSE())</f>
        <v>0</v>
      </c>
    </row>
    <row r="107" customFormat="false" ht="15" hidden="false" customHeight="true" outlineLevel="0" collapsed="false">
      <c r="A107" s="11" t="s">
        <v>193</v>
      </c>
      <c r="B107" s="11" t="s">
        <v>282</v>
      </c>
      <c r="C107" s="11" t="s">
        <v>331</v>
      </c>
      <c r="D107" s="12" t="n">
        <f aca="false">VLOOKUP(C107,03_AnnexA_Maturity!$A$4:$E$96,5,FALSE())</f>
        <v>0</v>
      </c>
    </row>
    <row r="108" customFormat="false" ht="15" hidden="false" customHeight="true" outlineLevel="0" collapsed="false">
      <c r="A108" s="11" t="s">
        <v>193</v>
      </c>
      <c r="B108" s="11" t="s">
        <v>282</v>
      </c>
      <c r="C108" s="11" t="s">
        <v>322</v>
      </c>
      <c r="D108" s="12" t="n">
        <f aca="false">VLOOKUP(C108,03_AnnexA_Maturity!$A$4:$E$96,5,FALSE())</f>
        <v>0</v>
      </c>
    </row>
    <row r="109" customFormat="false" ht="15" hidden="false" customHeight="true" outlineLevel="0" collapsed="false">
      <c r="A109" s="11" t="s">
        <v>193</v>
      </c>
      <c r="B109" s="11" t="s">
        <v>282</v>
      </c>
      <c r="C109" s="11" t="s">
        <v>332</v>
      </c>
      <c r="D109" s="12" t="n">
        <f aca="false">VLOOKUP(C109,03_AnnexA_Maturity!$A$4:$E$96,5,FALSE())</f>
        <v>0</v>
      </c>
    </row>
    <row r="110" customFormat="false" ht="15" hidden="false" customHeight="true" outlineLevel="0" collapsed="false">
      <c r="A110" s="11" t="s">
        <v>198</v>
      </c>
      <c r="B110" s="11" t="s">
        <v>282</v>
      </c>
      <c r="C110" s="11" t="s">
        <v>302</v>
      </c>
      <c r="D110" s="12" t="n">
        <f aca="false">VLOOKUP(C110,03_AnnexA_Maturity!$A$4:$E$96,5,FALSE())</f>
        <v>2</v>
      </c>
    </row>
    <row r="111" customFormat="false" ht="15" hidden="false" customHeight="true" outlineLevel="0" collapsed="false">
      <c r="A111" s="11" t="s">
        <v>198</v>
      </c>
      <c r="B111" s="11" t="s">
        <v>282</v>
      </c>
      <c r="C111" s="11" t="s">
        <v>330</v>
      </c>
      <c r="D111" s="12" t="n">
        <f aca="false">VLOOKUP(C111,03_AnnexA_Maturity!$A$4:$E$96,5,FALSE())</f>
        <v>2</v>
      </c>
    </row>
    <row r="112" customFormat="false" ht="15" hidden="false" customHeight="true" outlineLevel="0" collapsed="false">
      <c r="A112" s="11" t="s">
        <v>198</v>
      </c>
      <c r="B112" s="11" t="s">
        <v>282</v>
      </c>
      <c r="C112" s="11" t="s">
        <v>333</v>
      </c>
      <c r="D112" s="12" t="n">
        <f aca="false">VLOOKUP(C112,03_AnnexA_Maturity!$A$4:$E$96,5,FALSE())</f>
        <v>1</v>
      </c>
    </row>
    <row r="113" customFormat="false" ht="15" hidden="false" customHeight="true" outlineLevel="0" collapsed="false">
      <c r="A113" s="11" t="s">
        <v>198</v>
      </c>
      <c r="B113" s="11" t="s">
        <v>282</v>
      </c>
      <c r="C113" s="11" t="s">
        <v>334</v>
      </c>
      <c r="D113" s="12" t="n">
        <f aca="false">VLOOKUP(C113,03_AnnexA_Maturity!$A$4:$E$96,5,FALSE())</f>
        <v>0</v>
      </c>
    </row>
    <row r="114" customFormat="false" ht="15" hidden="false" customHeight="true" outlineLevel="0" collapsed="false">
      <c r="A114" s="11" t="s">
        <v>198</v>
      </c>
      <c r="B114" s="11" t="s">
        <v>282</v>
      </c>
      <c r="C114" s="11" t="s">
        <v>335</v>
      </c>
      <c r="D114" s="12" t="n">
        <f aca="false">VLOOKUP(C114,03_AnnexA_Maturity!$A$4:$E$96,5,FALSE())</f>
        <v>0</v>
      </c>
    </row>
    <row r="115" customFormat="false" ht="15" hidden="false" customHeight="true" outlineLevel="0" collapsed="false">
      <c r="A115" s="11" t="s">
        <v>198</v>
      </c>
      <c r="B115" s="11" t="s">
        <v>282</v>
      </c>
      <c r="C115" s="11" t="s">
        <v>336</v>
      </c>
      <c r="D115" s="12" t="n">
        <f aca="false">VLOOKUP(C115,03_AnnexA_Maturity!$A$4:$E$96,5,FALSE())</f>
        <v>0</v>
      </c>
    </row>
    <row r="116" customFormat="false" ht="15" hidden="false" customHeight="true" outlineLevel="0" collapsed="false">
      <c r="A116" s="11" t="s">
        <v>203</v>
      </c>
      <c r="B116" s="11" t="s">
        <v>282</v>
      </c>
      <c r="C116" s="11" t="s">
        <v>337</v>
      </c>
      <c r="D116" s="12" t="n">
        <f aca="false">VLOOKUP(C116,03_AnnexA_Maturity!$A$4:$E$96,5,FALSE())</f>
        <v>0</v>
      </c>
    </row>
    <row r="117" customFormat="false" ht="15" hidden="false" customHeight="true" outlineLevel="0" collapsed="false">
      <c r="A117" s="11" t="s">
        <v>203</v>
      </c>
      <c r="B117" s="11" t="s">
        <v>282</v>
      </c>
      <c r="C117" s="11" t="s">
        <v>338</v>
      </c>
      <c r="D117" s="12" t="n">
        <f aca="false">VLOOKUP(C117,03_AnnexA_Maturity!$A$4:$E$96,5,FALSE())</f>
        <v>0</v>
      </c>
    </row>
    <row r="118" customFormat="false" ht="15" hidden="false" customHeight="true" outlineLevel="0" collapsed="false">
      <c r="A118" s="11" t="s">
        <v>203</v>
      </c>
      <c r="B118" s="11" t="s">
        <v>282</v>
      </c>
      <c r="C118" s="11" t="s">
        <v>339</v>
      </c>
      <c r="D118" s="12" t="n">
        <f aca="false">VLOOKUP(C118,03_AnnexA_Maturity!$A$4:$E$96,5,FALSE())</f>
        <v>0</v>
      </c>
    </row>
    <row r="119" customFormat="false" ht="15" hidden="false" customHeight="true" outlineLevel="0" collapsed="false">
      <c r="A119" s="11" t="s">
        <v>207</v>
      </c>
      <c r="B119" s="11" t="s">
        <v>282</v>
      </c>
      <c r="C119" s="11" t="s">
        <v>306</v>
      </c>
      <c r="D119" s="12" t="n">
        <f aca="false">VLOOKUP(C119,03_AnnexA_Maturity!$A$4:$E$96,5,FALSE())</f>
        <v>0</v>
      </c>
    </row>
    <row r="120" customFormat="false" ht="15" hidden="false" customHeight="true" outlineLevel="0" collapsed="false">
      <c r="A120" s="11" t="s">
        <v>207</v>
      </c>
      <c r="B120" s="11" t="s">
        <v>282</v>
      </c>
      <c r="C120" s="11" t="s">
        <v>315</v>
      </c>
      <c r="D120" s="12" t="n">
        <f aca="false">VLOOKUP(C120,03_AnnexA_Maturity!$A$4:$E$96,5,FALSE())</f>
        <v>0</v>
      </c>
    </row>
    <row r="121" customFormat="false" ht="15" hidden="false" customHeight="true" outlineLevel="0" collapsed="false">
      <c r="A121" s="11" t="s">
        <v>207</v>
      </c>
      <c r="B121" s="11" t="s">
        <v>282</v>
      </c>
      <c r="C121" s="11" t="s">
        <v>310</v>
      </c>
      <c r="D121" s="12" t="n">
        <f aca="false">VLOOKUP(C121,03_AnnexA_Maturity!$A$4:$E$96,5,FALSE())</f>
        <v>0</v>
      </c>
    </row>
    <row r="122" customFormat="false" ht="15" hidden="false" customHeight="true" outlineLevel="0" collapsed="false">
      <c r="A122" s="11" t="s">
        <v>212</v>
      </c>
      <c r="B122" s="11" t="s">
        <v>282</v>
      </c>
      <c r="C122" s="11" t="s">
        <v>340</v>
      </c>
      <c r="D122" s="12" t="n">
        <f aca="false">VLOOKUP(C122,03_AnnexA_Maturity!$A$4:$E$96,5,FALSE())</f>
        <v>1</v>
      </c>
    </row>
    <row r="123" customFormat="false" ht="15" hidden="false" customHeight="true" outlineLevel="0" collapsed="false">
      <c r="A123" s="11" t="s">
        <v>212</v>
      </c>
      <c r="B123" s="11" t="s">
        <v>282</v>
      </c>
      <c r="C123" s="11" t="s">
        <v>297</v>
      </c>
      <c r="D123" s="12" t="n">
        <f aca="false">VLOOKUP(C123,03_AnnexA_Maturity!$A$4:$E$96,5,FALSE())</f>
        <v>1</v>
      </c>
    </row>
    <row r="124" customFormat="false" ht="15" hidden="false" customHeight="true" outlineLevel="0" collapsed="false">
      <c r="A124" s="11" t="s">
        <v>212</v>
      </c>
      <c r="B124" s="11" t="s">
        <v>282</v>
      </c>
      <c r="C124" s="11" t="s">
        <v>133</v>
      </c>
      <c r="D124" s="12" t="n">
        <f aca="false">VLOOKUP(C124,03_AnnexA_Maturity!$A$4:$E$96,5,FALSE())</f>
        <v>0</v>
      </c>
    </row>
    <row r="125" customFormat="false" ht="15" hidden="false" customHeight="true" outlineLevel="0" collapsed="false">
      <c r="A125" s="11" t="s">
        <v>212</v>
      </c>
      <c r="B125" s="11" t="s">
        <v>282</v>
      </c>
      <c r="C125" s="11" t="s">
        <v>341</v>
      </c>
      <c r="D125" s="12" t="n">
        <f aca="false">VLOOKUP(C125,03_AnnexA_Maturity!$A$4:$E$96,5,FALSE())</f>
        <v>0</v>
      </c>
    </row>
    <row r="126" customFormat="false" ht="15" hidden="false" customHeight="true" outlineLevel="0" collapsed="false">
      <c r="A126" s="11" t="s">
        <v>212</v>
      </c>
      <c r="B126" s="11" t="s">
        <v>285</v>
      </c>
      <c r="C126" s="11" t="s">
        <v>101</v>
      </c>
      <c r="D126" s="12" t="n">
        <f aca="false">VLOOKUP(C126,04_Clause_Readiness!$A$4:$E$31,5,FALSE())</f>
        <v>2</v>
      </c>
    </row>
    <row r="127" customFormat="false" ht="15" hidden="false" customHeight="true" outlineLevel="0" collapsed="false">
      <c r="A127" s="11" t="s">
        <v>217</v>
      </c>
      <c r="B127" s="11" t="s">
        <v>282</v>
      </c>
      <c r="C127" s="11" t="s">
        <v>342</v>
      </c>
      <c r="D127" s="12" t="n">
        <f aca="false">VLOOKUP(C127,03_AnnexA_Maturity!$A$4:$E$96,5,FALSE())</f>
        <v>2</v>
      </c>
    </row>
    <row r="128" customFormat="false" ht="15" hidden="false" customHeight="true" outlineLevel="0" collapsed="false">
      <c r="A128" s="11" t="s">
        <v>217</v>
      </c>
      <c r="B128" s="11" t="s">
        <v>282</v>
      </c>
      <c r="C128" s="11" t="s">
        <v>340</v>
      </c>
      <c r="D128" s="12" t="n">
        <f aca="false">VLOOKUP(C128,03_AnnexA_Maturity!$A$4:$E$96,5,FALSE())</f>
        <v>1</v>
      </c>
    </row>
    <row r="129" customFormat="false" ht="15" hidden="false" customHeight="true" outlineLevel="0" collapsed="false">
      <c r="A129" s="11" t="s">
        <v>221</v>
      </c>
      <c r="B129" s="11" t="s">
        <v>282</v>
      </c>
      <c r="C129" s="11" t="s">
        <v>301</v>
      </c>
      <c r="D129" s="12" t="n">
        <f aca="false">VLOOKUP(C129,03_AnnexA_Maturity!$A$4:$E$96,5,FALSE())</f>
        <v>1</v>
      </c>
    </row>
    <row r="130" customFormat="false" ht="15" hidden="false" customHeight="true" outlineLevel="0" collapsed="false">
      <c r="A130" s="11" t="s">
        <v>221</v>
      </c>
      <c r="B130" s="11" t="s">
        <v>282</v>
      </c>
      <c r="C130" s="11" t="s">
        <v>342</v>
      </c>
      <c r="D130" s="12" t="n">
        <f aca="false">VLOOKUP(C130,03_AnnexA_Maturity!$A$4:$E$96,5,FALSE())</f>
        <v>2</v>
      </c>
    </row>
    <row r="131" customFormat="false" ht="15" hidden="false" customHeight="true" outlineLevel="0" collapsed="false">
      <c r="A131" s="11" t="s">
        <v>221</v>
      </c>
      <c r="B131" s="11" t="s">
        <v>282</v>
      </c>
      <c r="C131" s="11" t="s">
        <v>343</v>
      </c>
      <c r="D131" s="12" t="n">
        <f aca="false">VLOOKUP(C131,03_AnnexA_Maturity!$A$4:$E$96,5,FALSE())</f>
        <v>2</v>
      </c>
    </row>
    <row r="132" customFormat="false" ht="15" hidden="false" customHeight="true" outlineLevel="0" collapsed="false">
      <c r="A132" s="11" t="s">
        <v>221</v>
      </c>
      <c r="B132" s="11" t="s">
        <v>282</v>
      </c>
      <c r="C132" s="11" t="s">
        <v>344</v>
      </c>
      <c r="D132" s="12" t="n">
        <f aca="false">VLOOKUP(C132,03_AnnexA_Maturity!$A$4:$E$96,5,FALSE())</f>
        <v>1</v>
      </c>
    </row>
    <row r="133" customFormat="false" ht="15" hidden="false" customHeight="true" outlineLevel="0" collapsed="false">
      <c r="A133" s="11" t="s">
        <v>221</v>
      </c>
      <c r="B133" s="11" t="s">
        <v>282</v>
      </c>
      <c r="C133" s="11" t="s">
        <v>299</v>
      </c>
      <c r="D133" s="12" t="n">
        <f aca="false">VLOOKUP(C133,03_AnnexA_Maturity!$A$4:$E$96,5,FALSE())</f>
        <v>2</v>
      </c>
    </row>
    <row r="134" customFormat="false" ht="15" hidden="false" customHeight="true" outlineLevel="0" collapsed="false">
      <c r="A134" s="11" t="s">
        <v>226</v>
      </c>
      <c r="B134" s="11" t="s">
        <v>282</v>
      </c>
      <c r="C134" s="11" t="s">
        <v>313</v>
      </c>
      <c r="D134" s="12" t="n">
        <f aca="false">VLOOKUP(C134,03_AnnexA_Maturity!$A$4:$E$96,5,FALSE())</f>
        <v>1</v>
      </c>
    </row>
    <row r="135" customFormat="false" ht="15" hidden="false" customHeight="true" outlineLevel="0" collapsed="false">
      <c r="A135" s="11" t="s">
        <v>226</v>
      </c>
      <c r="B135" s="11" t="s">
        <v>282</v>
      </c>
      <c r="C135" s="11" t="s">
        <v>345</v>
      </c>
      <c r="D135" s="12" t="n">
        <f aca="false">VLOOKUP(C135,03_AnnexA_Maturity!$A$4:$E$96,5,FALSE())</f>
        <v>1</v>
      </c>
    </row>
    <row r="136" customFormat="false" ht="15" hidden="false" customHeight="true" outlineLevel="0" collapsed="false">
      <c r="A136" s="11" t="s">
        <v>226</v>
      </c>
      <c r="B136" s="11" t="s">
        <v>282</v>
      </c>
      <c r="C136" s="11" t="s">
        <v>346</v>
      </c>
      <c r="D136" s="12" t="n">
        <f aca="false">VLOOKUP(C136,03_AnnexA_Maturity!$A$4:$E$96,5,FALSE())</f>
        <v>1</v>
      </c>
    </row>
    <row r="137" customFormat="false" ht="15" hidden="false" customHeight="true" outlineLevel="0" collapsed="false">
      <c r="A137" s="11" t="s">
        <v>226</v>
      </c>
      <c r="B137" s="11" t="s">
        <v>282</v>
      </c>
      <c r="C137" s="11" t="s">
        <v>347</v>
      </c>
      <c r="D137" s="12" t="n">
        <f aca="false">VLOOKUP(C137,03_AnnexA_Maturity!$A$4:$E$96,5,FALSE())</f>
        <v>1</v>
      </c>
    </row>
    <row r="138" customFormat="false" ht="15" hidden="false" customHeight="true" outlineLevel="0" collapsed="false">
      <c r="A138" s="11" t="s">
        <v>226</v>
      </c>
      <c r="B138" s="11" t="s">
        <v>285</v>
      </c>
      <c r="C138" s="11" t="s">
        <v>230</v>
      </c>
      <c r="D138" s="12" t="n">
        <f aca="false">VLOOKUP(C138,04_Clause_Readiness!$A$4:$E$31,5,FALSE())</f>
        <v>0</v>
      </c>
    </row>
    <row r="139" customFormat="false" ht="15" hidden="false" customHeight="true" outlineLevel="0" collapsed="false">
      <c r="A139" s="11" t="s">
        <v>231</v>
      </c>
      <c r="B139" s="11" t="s">
        <v>282</v>
      </c>
      <c r="C139" s="11" t="s">
        <v>348</v>
      </c>
      <c r="D139" s="12" t="n">
        <f aca="false">VLOOKUP(C139,03_AnnexA_Maturity!$A$4:$E$96,5,FALSE())</f>
        <v>0</v>
      </c>
    </row>
    <row r="140" customFormat="false" ht="15" hidden="false" customHeight="true" outlineLevel="0" collapsed="false">
      <c r="A140" s="11" t="s">
        <v>231</v>
      </c>
      <c r="B140" s="11" t="s">
        <v>282</v>
      </c>
      <c r="C140" s="11" t="s">
        <v>339</v>
      </c>
      <c r="D140" s="12" t="n">
        <f aca="false">VLOOKUP(C140,03_AnnexA_Maturity!$A$4:$E$96,5,FALSE())</f>
        <v>0</v>
      </c>
    </row>
    <row r="141" customFormat="false" ht="15" hidden="false" customHeight="true" outlineLevel="0" collapsed="false">
      <c r="A141" s="11" t="s">
        <v>231</v>
      </c>
      <c r="B141" s="11" t="s">
        <v>282</v>
      </c>
      <c r="C141" s="11" t="s">
        <v>349</v>
      </c>
      <c r="D141" s="12" t="n">
        <f aca="false">VLOOKUP(C141,03_AnnexA_Maturity!$A$4:$E$96,5,FALSE())</f>
        <v>0</v>
      </c>
    </row>
    <row r="142" customFormat="false" ht="15" hidden="false" customHeight="true" outlineLevel="0" collapsed="false">
      <c r="A142" s="11" t="s">
        <v>231</v>
      </c>
      <c r="B142" s="11" t="s">
        <v>282</v>
      </c>
      <c r="C142" s="11" t="s">
        <v>350</v>
      </c>
      <c r="D142" s="12" t="n">
        <f aca="false">VLOOKUP(C142,03_AnnexA_Maturity!$A$4:$E$96,5,FALSE())</f>
        <v>0</v>
      </c>
    </row>
    <row r="143" customFormat="false" ht="15" hidden="false" customHeight="true" outlineLevel="0" collapsed="false">
      <c r="A143" s="11" t="s">
        <v>231</v>
      </c>
      <c r="B143" s="11" t="s">
        <v>282</v>
      </c>
      <c r="C143" s="11" t="s">
        <v>351</v>
      </c>
      <c r="D143" s="12" t="n">
        <f aca="false">VLOOKUP(C143,03_AnnexA_Maturity!$A$4:$E$96,5,FALSE())</f>
        <v>0</v>
      </c>
    </row>
    <row r="144" customFormat="false" ht="15" hidden="false" customHeight="true" outlineLevel="0" collapsed="false">
      <c r="A144" s="11" t="s">
        <v>231</v>
      </c>
      <c r="B144" s="11" t="s">
        <v>282</v>
      </c>
      <c r="C144" s="11" t="s">
        <v>352</v>
      </c>
      <c r="D144" s="12" t="n">
        <f aca="false">VLOOKUP(C144,03_AnnexA_Maturity!$A$4:$E$96,5,FALSE())</f>
        <v>0</v>
      </c>
    </row>
    <row r="145" customFormat="false" ht="15" hidden="false" customHeight="true" outlineLevel="0" collapsed="false">
      <c r="A145" s="11" t="s">
        <v>231</v>
      </c>
      <c r="B145" s="11" t="s">
        <v>282</v>
      </c>
      <c r="C145" s="11" t="s">
        <v>353</v>
      </c>
      <c r="D145" s="12" t="n">
        <f aca="false">VLOOKUP(C145,03_AnnexA_Maturity!$A$4:$E$96,5,FALSE())</f>
        <v>0</v>
      </c>
    </row>
    <row r="146" customFormat="false" ht="15" hidden="false" customHeight="true" outlineLevel="0" collapsed="false">
      <c r="A146" s="11" t="s">
        <v>231</v>
      </c>
      <c r="B146" s="11" t="s">
        <v>282</v>
      </c>
      <c r="C146" s="11" t="s">
        <v>310</v>
      </c>
      <c r="D146" s="12" t="n">
        <f aca="false">VLOOKUP(C146,03_AnnexA_Maturity!$A$4:$E$96,5,FALSE())</f>
        <v>0</v>
      </c>
    </row>
    <row r="147" customFormat="false" ht="15" hidden="false" customHeight="true" outlineLevel="0" collapsed="false">
      <c r="A147" s="11" t="s">
        <v>231</v>
      </c>
      <c r="B147" s="11" t="s">
        <v>282</v>
      </c>
      <c r="C147" s="11" t="s">
        <v>354</v>
      </c>
      <c r="D147" s="12" t="n">
        <f aca="false">VLOOKUP(C147,03_AnnexA_Maturity!$A$4:$E$96,5,FALSE())</f>
        <v>0</v>
      </c>
    </row>
    <row r="148" customFormat="false" ht="15" hidden="false" customHeight="true" outlineLevel="0" collapsed="false">
      <c r="A148" s="11" t="s">
        <v>231</v>
      </c>
      <c r="B148" s="11" t="s">
        <v>285</v>
      </c>
      <c r="C148" s="11" t="s">
        <v>236</v>
      </c>
      <c r="D148" s="12" t="n">
        <f aca="false">VLOOKUP(C148,04_Clause_Readiness!$A$4:$E$31,5,FALSE())</f>
        <v>0</v>
      </c>
    </row>
    <row r="149" customFormat="false" ht="15" hidden="false" customHeight="true" outlineLevel="0" collapsed="false">
      <c r="A149" s="11" t="s">
        <v>239</v>
      </c>
      <c r="B149" s="11" t="s">
        <v>282</v>
      </c>
      <c r="C149" s="11" t="s">
        <v>345</v>
      </c>
      <c r="D149" s="12" t="n">
        <f aca="false">VLOOKUP(C149,03_AnnexA_Maturity!$A$4:$E$96,5,FALSE())</f>
        <v>1</v>
      </c>
    </row>
    <row r="150" customFormat="false" ht="15" hidden="false" customHeight="true" outlineLevel="0" collapsed="false">
      <c r="A150" s="11" t="s">
        <v>239</v>
      </c>
      <c r="B150" s="11" t="s">
        <v>282</v>
      </c>
      <c r="C150" s="11" t="s">
        <v>346</v>
      </c>
      <c r="D150" s="12" t="n">
        <f aca="false">VLOOKUP(C150,03_AnnexA_Maturity!$A$4:$E$96,5,FALSE())</f>
        <v>1</v>
      </c>
    </row>
    <row r="151" customFormat="false" ht="15" hidden="false" customHeight="true" outlineLevel="0" collapsed="false">
      <c r="A151" s="11" t="s">
        <v>239</v>
      </c>
      <c r="B151" s="11" t="s">
        <v>282</v>
      </c>
      <c r="C151" s="11" t="s">
        <v>355</v>
      </c>
      <c r="D151" s="12" t="n">
        <f aca="false">VLOOKUP(C151,03_AnnexA_Maturity!$A$4:$E$96,5,FALSE())</f>
        <v>0</v>
      </c>
    </row>
    <row r="152" customFormat="false" ht="15" hidden="false" customHeight="true" outlineLevel="0" collapsed="false">
      <c r="A152" s="11" t="s">
        <v>239</v>
      </c>
      <c r="B152" s="11" t="s">
        <v>282</v>
      </c>
      <c r="C152" s="11" t="s">
        <v>356</v>
      </c>
      <c r="D152" s="12" t="n">
        <f aca="false">VLOOKUP(C152,03_AnnexA_Maturity!$A$4:$E$96,5,FALSE())</f>
        <v>0</v>
      </c>
    </row>
    <row r="153" customFormat="false" ht="15" hidden="false" customHeight="true" outlineLevel="0" collapsed="false">
      <c r="A153" s="11" t="s">
        <v>239</v>
      </c>
      <c r="B153" s="11" t="s">
        <v>285</v>
      </c>
      <c r="C153" s="11" t="s">
        <v>156</v>
      </c>
      <c r="D153" s="12" t="n">
        <f aca="false">VLOOKUP(C153,04_Clause_Readiness!$A$4:$E$31,5,FALSE())</f>
        <v>2</v>
      </c>
    </row>
    <row r="154" customFormat="false" ht="15" hidden="false" customHeight="true" outlineLevel="0" collapsed="false">
      <c r="A154" s="11" t="s">
        <v>245</v>
      </c>
      <c r="B154" s="11" t="s">
        <v>282</v>
      </c>
      <c r="C154" s="11" t="s">
        <v>357</v>
      </c>
      <c r="D154" s="12" t="n">
        <f aca="false">VLOOKUP(C154,03_AnnexA_Maturity!$A$4:$E$96,5,FALSE())</f>
        <v>2</v>
      </c>
    </row>
    <row r="155" customFormat="false" ht="15" hidden="false" customHeight="true" outlineLevel="0" collapsed="false">
      <c r="A155" s="11" t="s">
        <v>245</v>
      </c>
      <c r="B155" s="11" t="s">
        <v>282</v>
      </c>
      <c r="C155" s="11" t="s">
        <v>303</v>
      </c>
      <c r="D155" s="12" t="n">
        <f aca="false">VLOOKUP(C155,03_AnnexA_Maturity!$A$4:$E$96,5,FALSE())</f>
        <v>2</v>
      </c>
    </row>
    <row r="156" customFormat="false" ht="15" hidden="false" customHeight="true" outlineLevel="0" collapsed="false">
      <c r="A156" s="11" t="s">
        <v>245</v>
      </c>
      <c r="B156" s="11" t="s">
        <v>282</v>
      </c>
      <c r="C156" s="11" t="s">
        <v>358</v>
      </c>
      <c r="D156" s="12" t="n">
        <f aca="false">VLOOKUP(C156,03_AnnexA_Maturity!$A$4:$E$96,5,FALSE())</f>
        <v>2</v>
      </c>
    </row>
    <row r="157" customFormat="false" ht="15" hidden="false" customHeight="true" outlineLevel="0" collapsed="false">
      <c r="A157" s="11" t="s">
        <v>245</v>
      </c>
      <c r="B157" s="11" t="s">
        <v>282</v>
      </c>
      <c r="C157" s="11" t="s">
        <v>359</v>
      </c>
      <c r="D157" s="12" t="n">
        <f aca="false">VLOOKUP(C157,03_AnnexA_Maturity!$A$4:$E$96,5,FALSE())</f>
        <v>2</v>
      </c>
    </row>
    <row r="158" customFormat="false" ht="15" hidden="false" customHeight="true" outlineLevel="0" collapsed="false">
      <c r="A158" s="11" t="s">
        <v>245</v>
      </c>
      <c r="B158" s="11" t="s">
        <v>282</v>
      </c>
      <c r="C158" s="11" t="s">
        <v>360</v>
      </c>
      <c r="D158" s="12" t="n">
        <f aca="false">VLOOKUP(C158,03_AnnexA_Maturity!$A$4:$E$96,5,FALSE())</f>
        <v>1</v>
      </c>
    </row>
    <row r="159" customFormat="false" ht="15" hidden="false" customHeight="true" outlineLevel="0" collapsed="false">
      <c r="A159" s="11" t="s">
        <v>245</v>
      </c>
      <c r="B159" s="11" t="s">
        <v>282</v>
      </c>
      <c r="C159" s="11" t="s">
        <v>361</v>
      </c>
      <c r="D159" s="12" t="n">
        <f aca="false">VLOOKUP(C159,03_AnnexA_Maturity!$A$4:$E$96,5,FALSE())</f>
        <v>1</v>
      </c>
    </row>
    <row r="160" customFormat="false" ht="15" hidden="false" customHeight="true" outlineLevel="0" collapsed="false">
      <c r="A160" s="11" t="s">
        <v>245</v>
      </c>
      <c r="B160" s="11" t="s">
        <v>285</v>
      </c>
      <c r="C160" s="11" t="s">
        <v>161</v>
      </c>
      <c r="D160" s="12" t="n">
        <f aca="false">VLOOKUP(C160,04_Clause_Readiness!$A$4:$E$31,5,FALSE())</f>
        <v>2</v>
      </c>
    </row>
    <row r="161" customFormat="false" ht="15" hidden="false" customHeight="true" outlineLevel="0" collapsed="false">
      <c r="A161" s="11" t="s">
        <v>250</v>
      </c>
      <c r="B161" s="11" t="s">
        <v>282</v>
      </c>
      <c r="C161" s="11" t="s">
        <v>355</v>
      </c>
      <c r="D161" s="12" t="n">
        <f aca="false">VLOOKUP(C161,03_AnnexA_Maturity!$A$4:$E$96,5,FALSE())</f>
        <v>0</v>
      </c>
    </row>
    <row r="162" customFormat="false" ht="15" hidden="false" customHeight="true" outlineLevel="0" collapsed="false">
      <c r="A162" s="11" t="s">
        <v>250</v>
      </c>
      <c r="B162" s="11" t="s">
        <v>282</v>
      </c>
      <c r="C162" s="11" t="s">
        <v>133</v>
      </c>
      <c r="D162" s="12" t="n">
        <f aca="false">VLOOKUP(C162,03_AnnexA_Maturity!$A$4:$E$96,5,FALSE())</f>
        <v>0</v>
      </c>
    </row>
    <row r="163" customFormat="false" ht="15" hidden="false" customHeight="true" outlineLevel="0" collapsed="false">
      <c r="A163" s="11" t="s">
        <v>256</v>
      </c>
      <c r="B163" s="11" t="s">
        <v>282</v>
      </c>
      <c r="C163" s="11" t="s">
        <v>346</v>
      </c>
      <c r="D163" s="12" t="n">
        <f aca="false">VLOOKUP(C163,03_AnnexA_Maturity!$A$4:$E$96,5,FALSE())</f>
        <v>1</v>
      </c>
    </row>
    <row r="164" customFormat="false" ht="15" hidden="false" customHeight="true" outlineLevel="0" collapsed="false">
      <c r="A164" s="11" t="s">
        <v>256</v>
      </c>
      <c r="B164" s="11" t="s">
        <v>282</v>
      </c>
      <c r="C164" s="11" t="s">
        <v>362</v>
      </c>
      <c r="D164" s="12" t="n">
        <f aca="false">VLOOKUP(C164,03_AnnexA_Maturity!$A$4:$E$96,5,FALSE())</f>
        <v>0</v>
      </c>
    </row>
    <row r="165" customFormat="false" ht="15" hidden="false" customHeight="true" outlineLevel="0" collapsed="false">
      <c r="A165" s="11" t="s">
        <v>256</v>
      </c>
      <c r="B165" s="11" t="s">
        <v>282</v>
      </c>
      <c r="C165" s="11" t="s">
        <v>347</v>
      </c>
      <c r="D165" s="12" t="n">
        <f aca="false">VLOOKUP(C165,03_AnnexA_Maturity!$A$4:$E$96,5,FALSE())</f>
        <v>1</v>
      </c>
    </row>
    <row r="166" customFormat="false" ht="15" hidden="false" customHeight="true" outlineLevel="0" collapsed="false">
      <c r="A166" s="11" t="s">
        <v>256</v>
      </c>
      <c r="B166" s="11" t="s">
        <v>282</v>
      </c>
      <c r="C166" s="11" t="s">
        <v>356</v>
      </c>
      <c r="D166" s="12" t="n">
        <f aca="false">VLOOKUP(C166,03_AnnexA_Maturity!$A$4:$E$96,5,FALSE())</f>
        <v>0</v>
      </c>
    </row>
    <row r="167" customFormat="false" ht="15" hidden="false" customHeight="true" outlineLevel="0" collapsed="false">
      <c r="A167" s="11" t="s">
        <v>261</v>
      </c>
      <c r="B167" s="11" t="s">
        <v>282</v>
      </c>
      <c r="C167" s="11" t="s">
        <v>313</v>
      </c>
      <c r="D167" s="12" t="n">
        <f aca="false">VLOOKUP(C167,03_AnnexA_Maturity!$A$4:$E$96,5,FALSE())</f>
        <v>1</v>
      </c>
    </row>
    <row r="168" customFormat="false" ht="15" hidden="false" customHeight="true" outlineLevel="0" collapsed="false">
      <c r="A168" s="11" t="s">
        <v>261</v>
      </c>
      <c r="B168" s="11" t="s">
        <v>282</v>
      </c>
      <c r="C168" s="11" t="s">
        <v>346</v>
      </c>
      <c r="D168" s="12" t="n">
        <f aca="false">VLOOKUP(C168,03_AnnexA_Maturity!$A$4:$E$96,5,FALSE())</f>
        <v>1</v>
      </c>
    </row>
    <row r="169" customFormat="false" ht="15" hidden="false" customHeight="true" outlineLevel="0" collapsed="false">
      <c r="A169" s="11" t="s">
        <v>261</v>
      </c>
      <c r="B169" s="11" t="s">
        <v>282</v>
      </c>
      <c r="C169" s="11" t="s">
        <v>347</v>
      </c>
      <c r="D169" s="12" t="n">
        <f aca="false">VLOOKUP(C169,03_AnnexA_Maturity!$A$4:$E$96,5,FALSE())</f>
        <v>1</v>
      </c>
    </row>
    <row r="170" customFormat="false" ht="15" hidden="false" customHeight="true" outlineLevel="0" collapsed="false">
      <c r="A170" s="11" t="s">
        <v>265</v>
      </c>
      <c r="B170" s="11" t="s">
        <v>282</v>
      </c>
      <c r="C170" s="11" t="s">
        <v>296</v>
      </c>
      <c r="D170" s="12" t="n">
        <f aca="false">VLOOKUP(C170,03_AnnexA_Maturity!$A$4:$E$96,5,FALSE())</f>
        <v>1</v>
      </c>
    </row>
    <row r="171" customFormat="false" ht="15" hidden="false" customHeight="true" outlineLevel="0" collapsed="false">
      <c r="A171" s="11" t="s">
        <v>265</v>
      </c>
      <c r="B171" s="11" t="s">
        <v>282</v>
      </c>
      <c r="C171" s="11" t="s">
        <v>363</v>
      </c>
      <c r="D171" s="12" t="n">
        <f aca="false">VLOOKUP(C171,03_AnnexA_Maturity!$A$4:$E$96,5,FALSE())</f>
        <v>2</v>
      </c>
    </row>
    <row r="172" customFormat="false" ht="15" hidden="false" customHeight="true" outlineLevel="0" collapsed="false">
      <c r="A172" s="11" t="s">
        <v>265</v>
      </c>
      <c r="B172" s="11" t="s">
        <v>282</v>
      </c>
      <c r="C172" s="11" t="s">
        <v>364</v>
      </c>
      <c r="D172" s="12" t="n">
        <f aca="false">VLOOKUP(C172,03_AnnexA_Maturity!$A$4:$E$96,5,FALSE())</f>
        <v>1</v>
      </c>
    </row>
    <row r="173" customFormat="false" ht="15" hidden="false" customHeight="true" outlineLevel="0" collapsed="false">
      <c r="A173" s="11" t="s">
        <v>265</v>
      </c>
      <c r="B173" s="11" t="s">
        <v>282</v>
      </c>
      <c r="C173" s="11" t="s">
        <v>271</v>
      </c>
      <c r="D173" s="12" t="n">
        <f aca="false">VLOOKUP(C173,03_AnnexA_Maturity!$A$4:$E$96,5,FALSE())</f>
        <v>0</v>
      </c>
    </row>
    <row r="174" customFormat="false" ht="15" hidden="false" customHeight="true" outlineLevel="0" collapsed="false">
      <c r="A174" s="11" t="s">
        <v>272</v>
      </c>
      <c r="B174" s="11" t="s">
        <v>282</v>
      </c>
      <c r="C174" s="11" t="s">
        <v>271</v>
      </c>
      <c r="D174" s="12" t="n">
        <f aca="false">VLOOKUP(C174,03_AnnexA_Maturity!$A$4:$E$96,5,FALSE())</f>
        <v>0</v>
      </c>
    </row>
    <row r="175" customFormat="false" ht="15" hidden="false" customHeight="true" outlineLevel="0" collapsed="false">
      <c r="A175" s="11" t="s">
        <v>272</v>
      </c>
      <c r="B175" s="11" t="s">
        <v>282</v>
      </c>
      <c r="C175" s="11" t="s">
        <v>330</v>
      </c>
      <c r="D175" s="12" t="n">
        <f aca="false">VLOOKUP(C175,03_AnnexA_Maturity!$A$4:$E$96,5,FALSE())</f>
        <v>2</v>
      </c>
    </row>
    <row r="176" customFormat="false" ht="15" hidden="false" customHeight="true" outlineLevel="0" collapsed="false">
      <c r="A176" s="11" t="s">
        <v>272</v>
      </c>
      <c r="B176" s="11" t="s">
        <v>282</v>
      </c>
      <c r="C176" s="11" t="s">
        <v>192</v>
      </c>
      <c r="D176" s="12" t="n">
        <f aca="false">VLOOKUP(C176,03_AnnexA_Maturity!$A$4:$E$96,5,FALSE())</f>
        <v>0</v>
      </c>
    </row>
    <row r="177" customFormat="false" ht="15" hidden="false" customHeight="true" outlineLevel="0" collapsed="false">
      <c r="A177" s="11" t="s">
        <v>272</v>
      </c>
      <c r="B177" s="11" t="s">
        <v>282</v>
      </c>
      <c r="C177" s="11" t="s">
        <v>333</v>
      </c>
      <c r="D177" s="12" t="n">
        <f aca="false">VLOOKUP(C177,03_AnnexA_Maturity!$A$4:$E$96,5,FALSE())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3" min="3" style="1" width="14"/>
    <col collapsed="false" customWidth="true" hidden="false" outlineLevel="0" max="4" min="4" style="1" width="11"/>
    <col collapsed="false" customWidth="true" hidden="false" outlineLevel="0" max="5" min="5" style="1" width="12"/>
    <col collapsed="false" customWidth="true" hidden="false" outlineLevel="0" max="7" min="6" style="1" width="14"/>
    <col collapsed="false" customWidth="true" hidden="false" outlineLevel="0" max="8" min="8" style="1" width="16"/>
  </cols>
  <sheetData>
    <row r="1" customFormat="false" ht="15" hidden="false" customHeight="true" outlineLevel="0" collapsed="false">
      <c r="A1" s="9" t="s">
        <v>365</v>
      </c>
    </row>
    <row r="3" customFormat="false" ht="42" hidden="false" customHeight="true" outlineLevel="0" collapsed="false">
      <c r="A3" s="10" t="s">
        <v>366</v>
      </c>
      <c r="B3" s="10" t="s">
        <v>367</v>
      </c>
      <c r="C3" s="10" t="s">
        <v>368</v>
      </c>
      <c r="D3" s="10" t="s">
        <v>369</v>
      </c>
      <c r="E3" s="10" t="s">
        <v>370</v>
      </c>
      <c r="F3" s="10" t="s">
        <v>371</v>
      </c>
      <c r="G3" s="10" t="s">
        <v>372</v>
      </c>
      <c r="H3" s="10" t="s">
        <v>373</v>
      </c>
    </row>
    <row r="4" customFormat="false" ht="15" hidden="false" customHeight="true" outlineLevel="0" collapsed="false">
      <c r="A4" s="11" t="s">
        <v>119</v>
      </c>
      <c r="B4" s="11" t="s">
        <v>374</v>
      </c>
      <c r="C4" s="11" t="s">
        <v>375</v>
      </c>
      <c r="D4" s="11" t="s">
        <v>376</v>
      </c>
      <c r="E4" s="18" t="n">
        <v>2</v>
      </c>
      <c r="F4" s="12" t="str">
        <f aca="false">IF(E4=0,"Not started",IF(E4&lt;=2,"Partial","Implemented"))</f>
        <v>Partial</v>
      </c>
      <c r="G4" s="11" t="s">
        <v>377</v>
      </c>
      <c r="H4" s="12" t="str">
        <f aca="false">IF(G4="-","-",IF(DATEVALUE(G4)&lt;=DATEVALUE("2026-09-25"),"YES - overdue","No - not yet due"))</f>
        <v>No - not yet due</v>
      </c>
    </row>
    <row r="5" customFormat="false" ht="15" hidden="false" customHeight="true" outlineLevel="0" collapsed="false">
      <c r="A5" s="11" t="s">
        <v>288</v>
      </c>
      <c r="B5" s="11" t="s">
        <v>378</v>
      </c>
      <c r="C5" s="11" t="s">
        <v>375</v>
      </c>
      <c r="D5" s="11" t="s">
        <v>376</v>
      </c>
      <c r="E5" s="18" t="n">
        <v>2</v>
      </c>
      <c r="F5" s="12" t="str">
        <f aca="false">IF(E5=0,"Not started",IF(E5&lt;=2,"Partial","Implemented"))</f>
        <v>Partial</v>
      </c>
      <c r="G5" s="11" t="s">
        <v>377</v>
      </c>
      <c r="H5" s="12" t="str">
        <f aca="false">IF(G5="-","-",IF(DATEVALUE(G5)&lt;=DATEVALUE("2026-09-25"),"YES - overdue","No - not yet due"))</f>
        <v>No - not yet due</v>
      </c>
    </row>
    <row r="6" customFormat="false" ht="15" hidden="false" customHeight="true" outlineLevel="0" collapsed="false">
      <c r="A6" s="11" t="s">
        <v>292</v>
      </c>
      <c r="B6" s="11" t="s">
        <v>379</v>
      </c>
      <c r="C6" s="11" t="s">
        <v>375</v>
      </c>
      <c r="D6" s="11" t="s">
        <v>376</v>
      </c>
      <c r="E6" s="18" t="n">
        <v>1</v>
      </c>
      <c r="F6" s="12" t="str">
        <f aca="false">IF(E6=0,"Not started",IF(E6&lt;=2,"Partial","Implemented"))</f>
        <v>Partial</v>
      </c>
      <c r="G6" s="11" t="s">
        <v>380</v>
      </c>
      <c r="H6" s="12" t="str">
        <f aca="false">IF(G6="-","-",IF(DATEVALUE(G6)&lt;=DATEVALUE("2026-09-25"),"YES - overdue","No - not yet due"))</f>
        <v>No - not yet due</v>
      </c>
    </row>
    <row r="7" customFormat="false" ht="15" hidden="false" customHeight="true" outlineLevel="0" collapsed="false">
      <c r="A7" s="11" t="s">
        <v>283</v>
      </c>
      <c r="B7" s="11" t="s">
        <v>381</v>
      </c>
      <c r="C7" s="11" t="s">
        <v>375</v>
      </c>
      <c r="D7" s="11" t="s">
        <v>376</v>
      </c>
      <c r="E7" s="18" t="n">
        <v>1</v>
      </c>
      <c r="F7" s="12" t="str">
        <f aca="false">IF(E7=0,"Not started",IF(E7&lt;=2,"Partial","Implemented"))</f>
        <v>Partial</v>
      </c>
      <c r="G7" s="11" t="s">
        <v>382</v>
      </c>
      <c r="H7" s="12" t="str">
        <f aca="false">IF(G7="-","-",IF(DATEVALUE(G7)&lt;=DATEVALUE("2026-09-25"),"YES - overdue","No - not yet due"))</f>
        <v>No - not yet due</v>
      </c>
    </row>
    <row r="8" customFormat="false" ht="15" hidden="false" customHeight="true" outlineLevel="0" collapsed="false">
      <c r="A8" s="11" t="s">
        <v>301</v>
      </c>
      <c r="B8" s="11" t="s">
        <v>383</v>
      </c>
      <c r="C8" s="11" t="s">
        <v>375</v>
      </c>
      <c r="D8" s="11" t="s">
        <v>376</v>
      </c>
      <c r="E8" s="18" t="n">
        <v>1</v>
      </c>
      <c r="F8" s="12" t="str">
        <f aca="false">IF(E8=0,"Not started",IF(E8&lt;=2,"Partial","Implemented"))</f>
        <v>Partial</v>
      </c>
      <c r="G8" s="11" t="s">
        <v>382</v>
      </c>
      <c r="H8" s="12" t="str">
        <f aca="false">IF(G8="-","-",IF(DATEVALUE(G8)&lt;=DATEVALUE("2026-09-25"),"YES - overdue","No - not yet due"))</f>
        <v>No - not yet due</v>
      </c>
    </row>
    <row r="9" customFormat="false" ht="15" hidden="false" customHeight="true" outlineLevel="0" collapsed="false">
      <c r="A9" s="11" t="s">
        <v>384</v>
      </c>
      <c r="B9" s="11" t="s">
        <v>385</v>
      </c>
      <c r="C9" s="11" t="s">
        <v>375</v>
      </c>
      <c r="D9" s="11" t="s">
        <v>376</v>
      </c>
      <c r="E9" s="18" t="n">
        <v>0</v>
      </c>
      <c r="F9" s="12" t="str">
        <f aca="false">IF(E9=0,"Not started",IF(E9&lt;=2,"Partial","Implemented"))</f>
        <v>Not started</v>
      </c>
      <c r="G9" s="11" t="s">
        <v>386</v>
      </c>
      <c r="H9" s="12" t="str">
        <f aca="false">IF(G9="-","-",IF(DATEVALUE(G9)&lt;=DATEVALUE("2026-09-25"),"YES - overdue","No - not yet due"))</f>
        <v>No - not yet due</v>
      </c>
    </row>
    <row r="10" customFormat="false" ht="15" hidden="false" customHeight="true" outlineLevel="0" collapsed="false">
      <c r="A10" s="11" t="s">
        <v>102</v>
      </c>
      <c r="B10" s="11" t="s">
        <v>387</v>
      </c>
      <c r="C10" s="11" t="s">
        <v>375</v>
      </c>
      <c r="D10" s="11" t="s">
        <v>376</v>
      </c>
      <c r="E10" s="18" t="n">
        <v>0</v>
      </c>
      <c r="F10" s="12" t="str">
        <f aca="false">IF(E10=0,"Not started",IF(E10&lt;=2,"Partial","Implemented"))</f>
        <v>Not started</v>
      </c>
      <c r="G10" s="11" t="s">
        <v>380</v>
      </c>
      <c r="H10" s="12" t="str">
        <f aca="false">IF(G10="-","-",IF(DATEVALUE(G10)&lt;=DATEVALUE("2026-09-25"),"YES - overdue","No - not yet due"))</f>
        <v>No - not yet due</v>
      </c>
    </row>
    <row r="11" customFormat="false" ht="15" hidden="false" customHeight="true" outlineLevel="0" collapsed="false">
      <c r="A11" s="11" t="s">
        <v>309</v>
      </c>
      <c r="B11" s="11" t="s">
        <v>388</v>
      </c>
      <c r="C11" s="11" t="s">
        <v>375</v>
      </c>
      <c r="D11" s="11" t="s">
        <v>376</v>
      </c>
      <c r="E11" s="18" t="n">
        <v>0</v>
      </c>
      <c r="F11" s="12" t="str">
        <f aca="false">IF(E11=0,"Not started",IF(E11&lt;=2,"Partial","Implemented"))</f>
        <v>Not started</v>
      </c>
      <c r="G11" s="11" t="s">
        <v>380</v>
      </c>
      <c r="H11" s="12" t="str">
        <f aca="false">IF(G11="-","-",IF(DATEVALUE(G11)&lt;=DATEVALUE("2026-09-25"),"YES - overdue","No - not yet due"))</f>
        <v>No - not yet due</v>
      </c>
    </row>
    <row r="12" customFormat="false" ht="15" hidden="false" customHeight="true" outlineLevel="0" collapsed="false">
      <c r="A12" s="11" t="s">
        <v>296</v>
      </c>
      <c r="B12" s="11" t="s">
        <v>389</v>
      </c>
      <c r="C12" s="11" t="s">
        <v>375</v>
      </c>
      <c r="D12" s="11" t="s">
        <v>376</v>
      </c>
      <c r="E12" s="18" t="n">
        <v>1</v>
      </c>
      <c r="F12" s="12" t="str">
        <f aca="false">IF(E12=0,"Not started",IF(E12&lt;=2,"Partial","Implemented"))</f>
        <v>Partial</v>
      </c>
      <c r="G12" s="11" t="s">
        <v>380</v>
      </c>
      <c r="H12" s="12" t="str">
        <f aca="false">IF(G12="-","-",IF(DATEVALUE(G12)&lt;=DATEVALUE("2026-09-25"),"YES - overdue","No - not yet due"))</f>
        <v>No - not yet due</v>
      </c>
    </row>
    <row r="13" customFormat="false" ht="15" hidden="false" customHeight="true" outlineLevel="0" collapsed="false">
      <c r="A13" s="11" t="s">
        <v>298</v>
      </c>
      <c r="B13" s="11" t="s">
        <v>390</v>
      </c>
      <c r="C13" s="11" t="s">
        <v>375</v>
      </c>
      <c r="D13" s="11" t="s">
        <v>376</v>
      </c>
      <c r="E13" s="18" t="n">
        <v>2</v>
      </c>
      <c r="F13" s="12" t="str">
        <f aca="false">IF(E13=0,"Not started",IF(E13&lt;=2,"Partial","Implemented"))</f>
        <v>Partial</v>
      </c>
      <c r="G13" s="11" t="s">
        <v>382</v>
      </c>
      <c r="H13" s="12" t="str">
        <f aca="false">IF(G13="-","-",IF(DATEVALUE(G13)&lt;=DATEVALUE("2026-09-25"),"YES - overdue","No - not yet due"))</f>
        <v>No - not yet due</v>
      </c>
    </row>
    <row r="14" customFormat="false" ht="15" hidden="false" customHeight="true" outlineLevel="0" collapsed="false">
      <c r="A14" s="11" t="s">
        <v>326</v>
      </c>
      <c r="B14" s="11" t="s">
        <v>391</v>
      </c>
      <c r="C14" s="11" t="s">
        <v>375</v>
      </c>
      <c r="D14" s="11" t="s">
        <v>376</v>
      </c>
      <c r="E14" s="18" t="n">
        <v>2</v>
      </c>
      <c r="F14" s="12" t="str">
        <f aca="false">IF(E14=0,"Not started",IF(E14&lt;=2,"Partial","Implemented"))</f>
        <v>Partial</v>
      </c>
      <c r="G14" s="11" t="s">
        <v>382</v>
      </c>
      <c r="H14" s="12" t="str">
        <f aca="false">IF(G14="-","-",IF(DATEVALUE(G14)&lt;=DATEVALUE("2026-09-25"),"YES - overdue","No - not yet due"))</f>
        <v>No - not yet due</v>
      </c>
    </row>
    <row r="15" customFormat="false" ht="15" hidden="false" customHeight="true" outlineLevel="0" collapsed="false">
      <c r="A15" s="11" t="s">
        <v>363</v>
      </c>
      <c r="B15" s="11" t="s">
        <v>392</v>
      </c>
      <c r="C15" s="11" t="s">
        <v>375</v>
      </c>
      <c r="D15" s="11" t="s">
        <v>376</v>
      </c>
      <c r="E15" s="18" t="n">
        <v>2</v>
      </c>
      <c r="F15" s="12" t="str">
        <f aca="false">IF(E15=0,"Not started",IF(E15&lt;=2,"Partial","Implemented"))</f>
        <v>Partial</v>
      </c>
      <c r="G15" s="11" t="s">
        <v>380</v>
      </c>
      <c r="H15" s="12" t="str">
        <f aca="false">IF(G15="-","-",IF(DATEVALUE(G15)&lt;=DATEVALUE("2026-09-25"),"YES - overdue","No - not yet due"))</f>
        <v>No - not yet due</v>
      </c>
    </row>
    <row r="16" customFormat="false" ht="15" hidden="false" customHeight="true" outlineLevel="0" collapsed="false">
      <c r="A16" s="11" t="s">
        <v>364</v>
      </c>
      <c r="B16" s="11" t="s">
        <v>393</v>
      </c>
      <c r="C16" s="11" t="s">
        <v>375</v>
      </c>
      <c r="D16" s="11" t="s">
        <v>376</v>
      </c>
      <c r="E16" s="18" t="n">
        <v>1</v>
      </c>
      <c r="F16" s="12" t="str">
        <f aca="false">IF(E16=0,"Not started",IF(E16&lt;=2,"Partial","Implemented"))</f>
        <v>Partial</v>
      </c>
      <c r="G16" s="11" t="s">
        <v>380</v>
      </c>
      <c r="H16" s="12" t="str">
        <f aca="false">IF(G16="-","-",IF(DATEVALUE(G16)&lt;=DATEVALUE("2026-09-25"),"YES - overdue","No - not yet due"))</f>
        <v>No - not yet due</v>
      </c>
    </row>
    <row r="17" customFormat="false" ht="15" hidden="false" customHeight="true" outlineLevel="0" collapsed="false">
      <c r="A17" s="11" t="s">
        <v>302</v>
      </c>
      <c r="B17" s="11" t="s">
        <v>394</v>
      </c>
      <c r="C17" s="11" t="s">
        <v>375</v>
      </c>
      <c r="D17" s="11" t="s">
        <v>376</v>
      </c>
      <c r="E17" s="18" t="n">
        <v>2</v>
      </c>
      <c r="F17" s="12" t="str">
        <f aca="false">IF(E17=0,"Not started",IF(E17&lt;=2,"Partial","Implemented"))</f>
        <v>Partial</v>
      </c>
      <c r="G17" s="11" t="s">
        <v>377</v>
      </c>
      <c r="H17" s="12" t="str">
        <f aca="false">IF(G17="-","-",IF(DATEVALUE(G17)&lt;=DATEVALUE("2026-09-25"),"YES - overdue","No - not yet due"))</f>
        <v>No - not yet due</v>
      </c>
    </row>
    <row r="18" customFormat="false" ht="15" hidden="false" customHeight="true" outlineLevel="0" collapsed="false">
      <c r="A18" s="11" t="s">
        <v>319</v>
      </c>
      <c r="B18" s="11" t="s">
        <v>395</v>
      </c>
      <c r="C18" s="11" t="s">
        <v>375</v>
      </c>
      <c r="D18" s="11" t="s">
        <v>376</v>
      </c>
      <c r="E18" s="18" t="n">
        <v>2</v>
      </c>
      <c r="F18" s="12" t="str">
        <f aca="false">IF(E18=0,"Not started",IF(E18&lt;=2,"Partial","Implemented"))</f>
        <v>Partial</v>
      </c>
      <c r="G18" s="11" t="s">
        <v>382</v>
      </c>
      <c r="H18" s="12" t="str">
        <f aca="false">IF(G18="-","-",IF(DATEVALUE(G18)&lt;=DATEVALUE("2026-09-25"),"YES - overdue","No - not yet due"))</f>
        <v>No - not yet due</v>
      </c>
    </row>
    <row r="19" customFormat="false" ht="15" hidden="false" customHeight="true" outlineLevel="0" collapsed="false">
      <c r="A19" s="11" t="s">
        <v>320</v>
      </c>
      <c r="B19" s="11" t="s">
        <v>396</v>
      </c>
      <c r="C19" s="11" t="s">
        <v>375</v>
      </c>
      <c r="D19" s="11" t="s">
        <v>376</v>
      </c>
      <c r="E19" s="18" t="n">
        <v>2</v>
      </c>
      <c r="F19" s="12" t="str">
        <f aca="false">IF(E19=0,"Not started",IF(E19&lt;=2,"Partial","Implemented"))</f>
        <v>Partial</v>
      </c>
      <c r="G19" s="11" t="s">
        <v>382</v>
      </c>
      <c r="H19" s="12" t="str">
        <f aca="false">IF(G19="-","-",IF(DATEVALUE(G19)&lt;=DATEVALUE("2026-09-25"),"YES - overdue","No - not yet due"))</f>
        <v>No - not yet due</v>
      </c>
    </row>
    <row r="20" customFormat="false" ht="15" hidden="false" customHeight="true" outlineLevel="0" collapsed="false">
      <c r="A20" s="11" t="s">
        <v>323</v>
      </c>
      <c r="B20" s="11" t="s">
        <v>397</v>
      </c>
      <c r="C20" s="11" t="s">
        <v>375</v>
      </c>
      <c r="D20" s="11" t="s">
        <v>376</v>
      </c>
      <c r="E20" s="18" t="n">
        <v>2</v>
      </c>
      <c r="F20" s="12" t="str">
        <f aca="false">IF(E20=0,"Not started",IF(E20&lt;=2,"Partial","Implemented"))</f>
        <v>Partial</v>
      </c>
      <c r="G20" s="11" t="s">
        <v>382</v>
      </c>
      <c r="H20" s="12" t="str">
        <f aca="false">IF(G20="-","-",IF(DATEVALUE(G20)&lt;=DATEVALUE("2026-09-25"),"YES - overdue","No - not yet due"))</f>
        <v>No - not yet due</v>
      </c>
    </row>
    <row r="21" customFormat="false" ht="15" hidden="false" customHeight="true" outlineLevel="0" collapsed="false">
      <c r="A21" s="11" t="s">
        <v>324</v>
      </c>
      <c r="B21" s="11" t="s">
        <v>398</v>
      </c>
      <c r="C21" s="11" t="s">
        <v>375</v>
      </c>
      <c r="D21" s="11" t="s">
        <v>376</v>
      </c>
      <c r="E21" s="18" t="n">
        <v>2</v>
      </c>
      <c r="F21" s="12" t="str">
        <f aca="false">IF(E21=0,"Not started",IF(E21&lt;=2,"Partial","Implemented"))</f>
        <v>Partial</v>
      </c>
      <c r="G21" s="11" t="s">
        <v>382</v>
      </c>
      <c r="H21" s="12" t="str">
        <f aca="false">IF(G21="-","-",IF(DATEVALUE(G21)&lt;=DATEVALUE("2026-09-25"),"YES - overdue","No - not yet due"))</f>
        <v>No - not yet due</v>
      </c>
    </row>
    <row r="22" customFormat="false" ht="15" hidden="false" customHeight="true" outlineLevel="0" collapsed="false">
      <c r="A22" s="11" t="s">
        <v>357</v>
      </c>
      <c r="B22" s="11" t="s">
        <v>399</v>
      </c>
      <c r="C22" s="11" t="s">
        <v>375</v>
      </c>
      <c r="D22" s="11" t="s">
        <v>376</v>
      </c>
      <c r="E22" s="18" t="n">
        <v>2</v>
      </c>
      <c r="F22" s="12" t="str">
        <f aca="false">IF(E22=0,"Not started",IF(E22&lt;=2,"Partial","Implemented"))</f>
        <v>Partial</v>
      </c>
      <c r="G22" s="11" t="s">
        <v>400</v>
      </c>
      <c r="H22" s="12" t="str">
        <f aca="false">IF(G22="-","-",IF(DATEVALUE(G22)&lt;=DATEVALUE("2026-09-25"),"YES - overdue","No - not yet due"))</f>
        <v>No - not yet due</v>
      </c>
    </row>
    <row r="23" customFormat="false" ht="15" hidden="false" customHeight="true" outlineLevel="0" collapsed="false">
      <c r="A23" s="11" t="s">
        <v>303</v>
      </c>
      <c r="B23" s="11" t="s">
        <v>401</v>
      </c>
      <c r="C23" s="11" t="s">
        <v>375</v>
      </c>
      <c r="D23" s="11" t="s">
        <v>376</v>
      </c>
      <c r="E23" s="18" t="n">
        <v>2</v>
      </c>
      <c r="F23" s="12" t="str">
        <f aca="false">IF(E23=0,"Not started",IF(E23&lt;=2,"Partial","Implemented"))</f>
        <v>Partial</v>
      </c>
      <c r="G23" s="11" t="s">
        <v>377</v>
      </c>
      <c r="H23" s="12" t="str">
        <f aca="false">IF(G23="-","-",IF(DATEVALUE(G23)&lt;=DATEVALUE("2026-09-25"),"YES - overdue","No - not yet due"))</f>
        <v>No - not yet due</v>
      </c>
    </row>
    <row r="24" customFormat="false" ht="15" hidden="false" customHeight="true" outlineLevel="0" collapsed="false">
      <c r="A24" s="11" t="s">
        <v>358</v>
      </c>
      <c r="B24" s="11" t="s">
        <v>402</v>
      </c>
      <c r="C24" s="11" t="s">
        <v>375</v>
      </c>
      <c r="D24" s="11" t="s">
        <v>376</v>
      </c>
      <c r="E24" s="18" t="n">
        <v>2</v>
      </c>
      <c r="F24" s="12" t="str">
        <f aca="false">IF(E24=0,"Not started",IF(E24&lt;=2,"Partial","Implemented"))</f>
        <v>Partial</v>
      </c>
      <c r="G24" s="11" t="s">
        <v>382</v>
      </c>
      <c r="H24" s="12" t="str">
        <f aca="false">IF(G24="-","-",IF(DATEVALUE(G24)&lt;=DATEVALUE("2026-09-25"),"YES - overdue","No - not yet due"))</f>
        <v>No - not yet due</v>
      </c>
    </row>
    <row r="25" customFormat="false" ht="15" hidden="false" customHeight="true" outlineLevel="0" collapsed="false">
      <c r="A25" s="11" t="s">
        <v>359</v>
      </c>
      <c r="B25" s="11" t="s">
        <v>403</v>
      </c>
      <c r="C25" s="11" t="s">
        <v>375</v>
      </c>
      <c r="D25" s="11" t="s">
        <v>376</v>
      </c>
      <c r="E25" s="18" t="n">
        <v>2</v>
      </c>
      <c r="F25" s="12" t="str">
        <f aca="false">IF(E25=0,"Not started",IF(E25&lt;=2,"Partial","Implemented"))</f>
        <v>Partial</v>
      </c>
      <c r="G25" s="11" t="s">
        <v>400</v>
      </c>
      <c r="H25" s="12" t="str">
        <f aca="false">IF(G25="-","-",IF(DATEVALUE(G25)&lt;=DATEVALUE("2026-09-25"),"YES - overdue","No - not yet due"))</f>
        <v>No - not yet due</v>
      </c>
    </row>
    <row r="26" customFormat="false" ht="15" hidden="false" customHeight="true" outlineLevel="0" collapsed="false">
      <c r="A26" s="11" t="s">
        <v>360</v>
      </c>
      <c r="B26" s="11" t="s">
        <v>404</v>
      </c>
      <c r="C26" s="11" t="s">
        <v>375</v>
      </c>
      <c r="D26" s="11" t="s">
        <v>376</v>
      </c>
      <c r="E26" s="18" t="n">
        <v>1</v>
      </c>
      <c r="F26" s="12" t="str">
        <f aca="false">IF(E26=0,"Not started",IF(E26&lt;=2,"Partial","Implemented"))</f>
        <v>Partial</v>
      </c>
      <c r="G26" s="11" t="s">
        <v>405</v>
      </c>
      <c r="H26" s="12" t="str">
        <f aca="false">IF(G26="-","-",IF(DATEVALUE(G26)&lt;=DATEVALUE("2026-09-25"),"YES - overdue","No - not yet due"))</f>
        <v>No - not yet due</v>
      </c>
    </row>
    <row r="27" customFormat="false" ht="15" hidden="false" customHeight="true" outlineLevel="0" collapsed="false">
      <c r="A27" s="11" t="s">
        <v>342</v>
      </c>
      <c r="B27" s="11" t="s">
        <v>406</v>
      </c>
      <c r="C27" s="11" t="s">
        <v>375</v>
      </c>
      <c r="D27" s="11" t="s">
        <v>376</v>
      </c>
      <c r="E27" s="18" t="n">
        <v>2</v>
      </c>
      <c r="F27" s="12" t="str">
        <f aca="false">IF(E27=0,"Not started",IF(E27&lt;=2,"Partial","Implemented"))</f>
        <v>Partial</v>
      </c>
      <c r="G27" s="11" t="s">
        <v>386</v>
      </c>
      <c r="H27" s="12" t="str">
        <f aca="false">IF(G27="-","-",IF(DATEVALUE(G27)&lt;=DATEVALUE("2026-09-25"),"YES - overdue","No - not yet due"))</f>
        <v>No - not yet due</v>
      </c>
    </row>
    <row r="28" customFormat="false" ht="15" hidden="false" customHeight="true" outlineLevel="0" collapsed="false">
      <c r="A28" s="11" t="s">
        <v>340</v>
      </c>
      <c r="B28" s="11" t="s">
        <v>407</v>
      </c>
      <c r="C28" s="11" t="s">
        <v>375</v>
      </c>
      <c r="D28" s="11" t="s">
        <v>376</v>
      </c>
      <c r="E28" s="18" t="n">
        <v>1</v>
      </c>
      <c r="F28" s="12" t="str">
        <f aca="false">IF(E28=0,"Not started",IF(E28&lt;=2,"Partial","Implemented"))</f>
        <v>Partial</v>
      </c>
      <c r="G28" s="11" t="s">
        <v>380</v>
      </c>
      <c r="H28" s="12" t="str">
        <f aca="false">IF(G28="-","-",IF(DATEVALUE(G28)&lt;=DATEVALUE("2026-09-25"),"YES - overdue","No - not yet due"))</f>
        <v>No - not yet due</v>
      </c>
    </row>
    <row r="29" customFormat="false" ht="15" hidden="false" customHeight="true" outlineLevel="0" collapsed="false">
      <c r="A29" s="11" t="s">
        <v>343</v>
      </c>
      <c r="B29" s="11" t="s">
        <v>408</v>
      </c>
      <c r="C29" s="11" t="s">
        <v>375</v>
      </c>
      <c r="D29" s="11" t="s">
        <v>376</v>
      </c>
      <c r="E29" s="18" t="n">
        <v>2</v>
      </c>
      <c r="F29" s="12" t="str">
        <f aca="false">IF(E29=0,"Not started",IF(E29&lt;=2,"Partial","Implemented"))</f>
        <v>Partial</v>
      </c>
      <c r="G29" s="11" t="s">
        <v>386</v>
      </c>
      <c r="H29" s="12" t="str">
        <f aca="false">IF(G29="-","-",IF(DATEVALUE(G29)&lt;=DATEVALUE("2026-09-25"),"YES - overdue","No - not yet due"))</f>
        <v>No - not yet due</v>
      </c>
    </row>
    <row r="30" customFormat="false" ht="15" hidden="false" customHeight="true" outlineLevel="0" collapsed="false">
      <c r="A30" s="11" t="s">
        <v>313</v>
      </c>
      <c r="B30" s="11" t="s">
        <v>409</v>
      </c>
      <c r="C30" s="11" t="s">
        <v>375</v>
      </c>
      <c r="D30" s="11" t="s">
        <v>376</v>
      </c>
      <c r="E30" s="18" t="n">
        <v>1</v>
      </c>
      <c r="F30" s="12" t="str">
        <f aca="false">IF(E30=0,"Not started",IF(E30&lt;=2,"Partial","Implemented"))</f>
        <v>Partial</v>
      </c>
      <c r="G30" s="11" t="s">
        <v>386</v>
      </c>
      <c r="H30" s="12" t="str">
        <f aca="false">IF(G30="-","-",IF(DATEVALUE(G30)&lt;=DATEVALUE("2026-09-25"),"YES - overdue","No - not yet due"))</f>
        <v>No - not yet due</v>
      </c>
    </row>
    <row r="31" customFormat="false" ht="15" hidden="false" customHeight="true" outlineLevel="0" collapsed="false">
      <c r="A31" s="11" t="s">
        <v>344</v>
      </c>
      <c r="B31" s="11" t="s">
        <v>410</v>
      </c>
      <c r="C31" s="11" t="s">
        <v>375</v>
      </c>
      <c r="D31" s="11" t="s">
        <v>376</v>
      </c>
      <c r="E31" s="18" t="n">
        <v>1</v>
      </c>
      <c r="F31" s="12" t="str">
        <f aca="false">IF(E31=0,"Not started",IF(E31&lt;=2,"Partial","Implemented"))</f>
        <v>Partial</v>
      </c>
      <c r="G31" s="11" t="s">
        <v>380</v>
      </c>
      <c r="H31" s="12" t="str">
        <f aca="false">IF(G31="-","-",IF(DATEVALUE(G31)&lt;=DATEVALUE("2026-09-25"),"YES - overdue","No - not yet due"))</f>
        <v>No - not yet due</v>
      </c>
    </row>
    <row r="32" customFormat="false" ht="15" hidden="false" customHeight="true" outlineLevel="0" collapsed="false">
      <c r="A32" s="11" t="s">
        <v>345</v>
      </c>
      <c r="B32" s="11" t="s">
        <v>411</v>
      </c>
      <c r="C32" s="11" t="s">
        <v>375</v>
      </c>
      <c r="D32" s="11" t="s">
        <v>376</v>
      </c>
      <c r="E32" s="18" t="n">
        <v>1</v>
      </c>
      <c r="F32" s="12" t="str">
        <f aca="false">IF(E32=0,"Not started",IF(E32&lt;=2,"Partial","Implemented"))</f>
        <v>Partial</v>
      </c>
      <c r="G32" s="11" t="s">
        <v>386</v>
      </c>
      <c r="H32" s="12" t="str">
        <f aca="false">IF(G32="-","-",IF(DATEVALUE(G32)&lt;=DATEVALUE("2026-09-25"),"YES - overdue","No - not yet due"))</f>
        <v>No - not yet due</v>
      </c>
    </row>
    <row r="33" customFormat="false" ht="15" hidden="false" customHeight="true" outlineLevel="0" collapsed="false">
      <c r="A33" s="11" t="s">
        <v>346</v>
      </c>
      <c r="B33" s="11" t="s">
        <v>412</v>
      </c>
      <c r="C33" s="11" t="s">
        <v>375</v>
      </c>
      <c r="D33" s="11" t="s">
        <v>376</v>
      </c>
      <c r="E33" s="18" t="n">
        <v>1</v>
      </c>
      <c r="F33" s="12" t="str">
        <f aca="false">IF(E33=0,"Not started",IF(E33&lt;=2,"Partial","Implemented"))</f>
        <v>Partial</v>
      </c>
      <c r="G33" s="11" t="s">
        <v>405</v>
      </c>
      <c r="H33" s="12" t="str">
        <f aca="false">IF(G33="-","-",IF(DATEVALUE(G33)&lt;=DATEVALUE("2026-09-25"),"YES - overdue","No - not yet due"))</f>
        <v>No - not yet due</v>
      </c>
    </row>
    <row r="34" customFormat="false" ht="15" hidden="false" customHeight="true" outlineLevel="0" collapsed="false">
      <c r="A34" s="11" t="s">
        <v>413</v>
      </c>
      <c r="B34" s="11" t="s">
        <v>414</v>
      </c>
      <c r="C34" s="11" t="s">
        <v>375</v>
      </c>
      <c r="D34" s="11" t="s">
        <v>376</v>
      </c>
      <c r="E34" s="18" t="n">
        <v>1</v>
      </c>
      <c r="F34" s="12" t="str">
        <f aca="false">IF(E34=0,"Not started",IF(E34&lt;=2,"Partial","Implemented"))</f>
        <v>Partial</v>
      </c>
      <c r="G34" s="11" t="s">
        <v>377</v>
      </c>
      <c r="H34" s="12" t="str">
        <f aca="false">IF(G34="-","-",IF(DATEVALUE(G34)&lt;=DATEVALUE("2026-09-25"),"YES - overdue","No - not yet due"))</f>
        <v>No - not yet due</v>
      </c>
    </row>
    <row r="35" customFormat="false" ht="15" hidden="false" customHeight="true" outlineLevel="0" collapsed="false">
      <c r="A35" s="11" t="s">
        <v>415</v>
      </c>
      <c r="B35" s="11" t="s">
        <v>416</v>
      </c>
      <c r="C35" s="11" t="s">
        <v>375</v>
      </c>
      <c r="D35" s="11" t="s">
        <v>376</v>
      </c>
      <c r="E35" s="18" t="n">
        <v>0</v>
      </c>
      <c r="F35" s="12" t="str">
        <f aca="false">IF(E35=0,"Not started",IF(E35&lt;=2,"Partial","Implemented"))</f>
        <v>Not started</v>
      </c>
      <c r="G35" s="11" t="s">
        <v>386</v>
      </c>
      <c r="H35" s="12" t="str">
        <f aca="false">IF(G35="-","-",IF(DATEVALUE(G35)&lt;=DATEVALUE("2026-09-25"),"YES - overdue","No - not yet due"))</f>
        <v>No - not yet due</v>
      </c>
    </row>
    <row r="36" customFormat="false" ht="15" hidden="false" customHeight="true" outlineLevel="0" collapsed="false">
      <c r="A36" s="11" t="s">
        <v>271</v>
      </c>
      <c r="B36" s="11" t="s">
        <v>417</v>
      </c>
      <c r="C36" s="11" t="s">
        <v>375</v>
      </c>
      <c r="D36" s="11" t="s">
        <v>376</v>
      </c>
      <c r="E36" s="18" t="n">
        <v>0</v>
      </c>
      <c r="F36" s="12" t="str">
        <f aca="false">IF(E36=0,"Not started",IF(E36&lt;=2,"Partial","Implemented"))</f>
        <v>Not started</v>
      </c>
      <c r="G36" s="11" t="s">
        <v>380</v>
      </c>
      <c r="H36" s="12" t="str">
        <f aca="false">IF(G36="-","-",IF(DATEVALUE(G36)&lt;=DATEVALUE("2026-09-25"),"YES - overdue","No - not yet due"))</f>
        <v>No - not yet due</v>
      </c>
    </row>
    <row r="37" customFormat="false" ht="15" hidden="false" customHeight="true" outlineLevel="0" collapsed="false">
      <c r="A37" s="11" t="s">
        <v>361</v>
      </c>
      <c r="B37" s="11" t="s">
        <v>418</v>
      </c>
      <c r="C37" s="11" t="s">
        <v>375</v>
      </c>
      <c r="D37" s="11" t="s">
        <v>376</v>
      </c>
      <c r="E37" s="18" t="n">
        <v>1</v>
      </c>
      <c r="F37" s="12" t="str">
        <f aca="false">IF(E37=0,"Not started",IF(E37&lt;=2,"Partial","Implemented"))</f>
        <v>Partial</v>
      </c>
      <c r="G37" s="11" t="s">
        <v>382</v>
      </c>
      <c r="H37" s="12" t="str">
        <f aca="false">IF(G37="-","-",IF(DATEVALUE(G37)&lt;=DATEVALUE("2026-09-25"),"YES - overdue","No - not yet due"))</f>
        <v>No - not yet due</v>
      </c>
    </row>
    <row r="38" customFormat="false" ht="15" hidden="false" customHeight="true" outlineLevel="0" collapsed="false">
      <c r="A38" s="11" t="s">
        <v>289</v>
      </c>
      <c r="B38" s="11" t="s">
        <v>419</v>
      </c>
      <c r="C38" s="11" t="s">
        <v>375</v>
      </c>
      <c r="D38" s="11" t="s">
        <v>376</v>
      </c>
      <c r="E38" s="18" t="n">
        <v>0</v>
      </c>
      <c r="F38" s="12" t="str">
        <f aca="false">IF(E38=0,"Not started",IF(E38&lt;=2,"Partial","Implemented"))</f>
        <v>Not started</v>
      </c>
      <c r="G38" s="11" t="s">
        <v>420</v>
      </c>
      <c r="H38" s="12" t="str">
        <f aca="false">IF(G38="-","-",IF(DATEVALUE(G38)&lt;=DATEVALUE("2026-09-25"),"YES - overdue","No - not yet due"))</f>
        <v>No - not yet due</v>
      </c>
    </row>
    <row r="39" customFormat="false" ht="15" hidden="false" customHeight="true" outlineLevel="0" collapsed="false">
      <c r="A39" s="11" t="s">
        <v>290</v>
      </c>
      <c r="B39" s="11" t="s">
        <v>421</v>
      </c>
      <c r="C39" s="11" t="s">
        <v>375</v>
      </c>
      <c r="D39" s="11" t="s">
        <v>376</v>
      </c>
      <c r="E39" s="18" t="n">
        <v>1</v>
      </c>
      <c r="F39" s="12" t="str">
        <f aca="false">IF(E39=0,"Not started",IF(E39&lt;=2,"Partial","Implemented"))</f>
        <v>Partial</v>
      </c>
      <c r="G39" s="11" t="s">
        <v>380</v>
      </c>
      <c r="H39" s="12" t="str">
        <f aca="false">IF(G39="-","-",IF(DATEVALUE(G39)&lt;=DATEVALUE("2026-09-25"),"YES - overdue","No - not yet due"))</f>
        <v>No - not yet due</v>
      </c>
    </row>
    <row r="40" customFormat="false" ht="15" hidden="false" customHeight="true" outlineLevel="0" collapsed="false">
      <c r="A40" s="11" t="s">
        <v>317</v>
      </c>
      <c r="B40" s="11" t="s">
        <v>422</v>
      </c>
      <c r="C40" s="11" t="s">
        <v>375</v>
      </c>
      <c r="D40" s="11" t="s">
        <v>376</v>
      </c>
      <c r="E40" s="18" t="n">
        <v>1</v>
      </c>
      <c r="F40" s="12" t="str">
        <f aca="false">IF(E40=0,"Not started",IF(E40&lt;=2,"Partial","Implemented"))</f>
        <v>Partial</v>
      </c>
      <c r="G40" s="11" t="s">
        <v>386</v>
      </c>
      <c r="H40" s="12" t="str">
        <f aca="false">IF(G40="-","-",IF(DATEVALUE(G40)&lt;=DATEVALUE("2026-09-25"),"YES - overdue","No - not yet due"))</f>
        <v>No - not yet due</v>
      </c>
    </row>
    <row r="41" customFormat="false" ht="15" hidden="false" customHeight="true" outlineLevel="0" collapsed="false">
      <c r="A41" s="11" t="s">
        <v>293</v>
      </c>
      <c r="B41" s="11" t="s">
        <v>423</v>
      </c>
      <c r="C41" s="11" t="s">
        <v>424</v>
      </c>
      <c r="D41" s="11" t="s">
        <v>376</v>
      </c>
      <c r="E41" s="18" t="n">
        <v>1</v>
      </c>
      <c r="F41" s="12" t="str">
        <f aca="false">IF(E41=0,"Not started",IF(E41&lt;=2,"Partial","Implemented"))</f>
        <v>Partial</v>
      </c>
      <c r="G41" s="11" t="s">
        <v>380</v>
      </c>
      <c r="H41" s="12" t="str">
        <f aca="false">IF(G41="-","-",IF(DATEVALUE(G41)&lt;=DATEVALUE("2026-09-25"),"YES - overdue","No - not yet due"))</f>
        <v>No - not yet due</v>
      </c>
    </row>
    <row r="42" customFormat="false" ht="15" hidden="false" customHeight="true" outlineLevel="0" collapsed="false">
      <c r="A42" s="11" t="s">
        <v>284</v>
      </c>
      <c r="B42" s="11" t="s">
        <v>425</v>
      </c>
      <c r="C42" s="11" t="s">
        <v>424</v>
      </c>
      <c r="D42" s="11" t="s">
        <v>376</v>
      </c>
      <c r="E42" s="18" t="n">
        <v>0</v>
      </c>
      <c r="F42" s="12" t="str">
        <f aca="false">IF(E42=0,"Not started",IF(E42&lt;=2,"Partial","Implemented"))</f>
        <v>Not started</v>
      </c>
      <c r="G42" s="11" t="s">
        <v>382</v>
      </c>
      <c r="H42" s="12" t="str">
        <f aca="false">IF(G42="-","-",IF(DATEVALUE(G42)&lt;=DATEVALUE("2026-09-25"),"YES - overdue","No - not yet due"))</f>
        <v>No - not yet due</v>
      </c>
    </row>
    <row r="43" customFormat="false" ht="15" hidden="false" customHeight="true" outlineLevel="0" collapsed="false">
      <c r="A43" s="11" t="s">
        <v>294</v>
      </c>
      <c r="B43" s="11" t="s">
        <v>426</v>
      </c>
      <c r="C43" s="11" t="s">
        <v>424</v>
      </c>
      <c r="D43" s="11" t="s">
        <v>376</v>
      </c>
      <c r="E43" s="18" t="n">
        <v>1</v>
      </c>
      <c r="F43" s="12" t="str">
        <f aca="false">IF(E43=0,"Not started",IF(E43&lt;=2,"Partial","Implemented"))</f>
        <v>Partial</v>
      </c>
      <c r="G43" s="11" t="s">
        <v>380</v>
      </c>
      <c r="H43" s="12" t="str">
        <f aca="false">IF(G43="-","-",IF(DATEVALUE(G43)&lt;=DATEVALUE("2026-09-25"),"YES - overdue","No - not yet due"))</f>
        <v>No - not yet due</v>
      </c>
    </row>
    <row r="44" customFormat="false" ht="15" hidden="false" customHeight="true" outlineLevel="0" collapsed="false">
      <c r="A44" s="11" t="s">
        <v>95</v>
      </c>
      <c r="B44" s="11" t="s">
        <v>427</v>
      </c>
      <c r="C44" s="11" t="s">
        <v>424</v>
      </c>
      <c r="D44" s="11" t="s">
        <v>376</v>
      </c>
      <c r="E44" s="18" t="n">
        <v>0</v>
      </c>
      <c r="F44" s="12" t="str">
        <f aca="false">IF(E44=0,"Not started",IF(E44&lt;=2,"Partial","Implemented"))</f>
        <v>Not started</v>
      </c>
      <c r="G44" s="11" t="s">
        <v>382</v>
      </c>
      <c r="H44" s="12" t="str">
        <f aca="false">IF(G44="-","-",IF(DATEVALUE(G44)&lt;=DATEVALUE("2026-09-25"),"YES - overdue","No - not yet due"))</f>
        <v>No - not yet due</v>
      </c>
    </row>
    <row r="45" customFormat="false" ht="15" hidden="false" customHeight="true" outlineLevel="0" collapsed="false">
      <c r="A45" s="11" t="s">
        <v>325</v>
      </c>
      <c r="B45" s="11" t="s">
        <v>428</v>
      </c>
      <c r="C45" s="11" t="s">
        <v>424</v>
      </c>
      <c r="D45" s="11" t="s">
        <v>376</v>
      </c>
      <c r="E45" s="18" t="n">
        <v>1</v>
      </c>
      <c r="F45" s="12" t="str">
        <f aca="false">IF(E45=0,"Not started",IF(E45&lt;=2,"Partial","Implemented"))</f>
        <v>Partial</v>
      </c>
      <c r="G45" s="11" t="s">
        <v>382</v>
      </c>
      <c r="H45" s="12" t="str">
        <f aca="false">IF(G45="-","-",IF(DATEVALUE(G45)&lt;=DATEVALUE("2026-09-25"),"YES - overdue","No - not yet due"))</f>
        <v>No - not yet due</v>
      </c>
    </row>
    <row r="46" customFormat="false" ht="15" hidden="false" customHeight="true" outlineLevel="0" collapsed="false">
      <c r="A46" s="11" t="s">
        <v>113</v>
      </c>
      <c r="B46" s="11" t="s">
        <v>429</v>
      </c>
      <c r="C46" s="11" t="s">
        <v>424</v>
      </c>
      <c r="D46" s="11" t="s">
        <v>376</v>
      </c>
      <c r="E46" s="18" t="n">
        <v>0</v>
      </c>
      <c r="F46" s="12" t="str">
        <f aca="false">IF(E46=0,"Not started",IF(E46&lt;=2,"Partial","Implemented"))</f>
        <v>Not started</v>
      </c>
      <c r="G46" s="11" t="s">
        <v>382</v>
      </c>
      <c r="H46" s="12" t="str">
        <f aca="false">IF(G46="-","-",IF(DATEVALUE(G46)&lt;=DATEVALUE("2026-09-25"),"YES - overdue","No - not yet due"))</f>
        <v>No - not yet due</v>
      </c>
    </row>
    <row r="47" customFormat="false" ht="15" hidden="false" customHeight="true" outlineLevel="0" collapsed="false">
      <c r="A47" s="11" t="s">
        <v>430</v>
      </c>
      <c r="B47" s="11" t="s">
        <v>431</v>
      </c>
      <c r="C47" s="11" t="s">
        <v>424</v>
      </c>
      <c r="D47" s="11" t="s">
        <v>376</v>
      </c>
      <c r="E47" s="18" t="n">
        <v>2</v>
      </c>
      <c r="F47" s="12" t="str">
        <f aca="false">IF(E47=0,"Not started",IF(E47&lt;=2,"Partial","Implemented"))</f>
        <v>Partial</v>
      </c>
      <c r="G47" s="11" t="s">
        <v>380</v>
      </c>
      <c r="H47" s="12" t="str">
        <f aca="false">IF(G47="-","-",IF(DATEVALUE(G47)&lt;=DATEVALUE("2026-09-25"),"YES - overdue","No - not yet due"))</f>
        <v>No - not yet due</v>
      </c>
    </row>
    <row r="48" customFormat="false" ht="15" hidden="false" customHeight="true" outlineLevel="0" collapsed="false">
      <c r="A48" s="11" t="s">
        <v>299</v>
      </c>
      <c r="B48" s="11" t="s">
        <v>432</v>
      </c>
      <c r="C48" s="11" t="s">
        <v>424</v>
      </c>
      <c r="D48" s="11" t="s">
        <v>376</v>
      </c>
      <c r="E48" s="18" t="n">
        <v>2</v>
      </c>
      <c r="F48" s="12" t="str">
        <f aca="false">IF(E48=0,"Not started",IF(E48&lt;=2,"Partial","Implemented"))</f>
        <v>Partial</v>
      </c>
      <c r="G48" s="11" t="s">
        <v>386</v>
      </c>
      <c r="H48" s="12" t="str">
        <f aca="false">IF(G48="-","-",IF(DATEVALUE(G48)&lt;=DATEVALUE("2026-09-25"),"YES - overdue","No - not yet due"))</f>
        <v>No - not yet due</v>
      </c>
    </row>
    <row r="49" customFormat="false" ht="15" hidden="false" customHeight="true" outlineLevel="0" collapsed="false">
      <c r="A49" s="11" t="s">
        <v>327</v>
      </c>
      <c r="B49" s="11" t="s">
        <v>433</v>
      </c>
      <c r="C49" s="11" t="s">
        <v>434</v>
      </c>
      <c r="D49" s="11" t="s">
        <v>376</v>
      </c>
      <c r="E49" s="18" t="n">
        <v>0</v>
      </c>
      <c r="F49" s="12" t="str">
        <f aca="false">IF(E49=0,"Not started",IF(E49&lt;=2,"Partial","Implemented"))</f>
        <v>Not started</v>
      </c>
      <c r="G49" s="11" t="s">
        <v>380</v>
      </c>
      <c r="H49" s="12" t="str">
        <f aca="false">IF(G49="-","-",IF(DATEVALUE(G49)&lt;=DATEVALUE("2026-09-25"),"YES - overdue","No - not yet due"))</f>
        <v>No - not yet due</v>
      </c>
    </row>
    <row r="50" customFormat="false" ht="15" hidden="false" customHeight="true" outlineLevel="0" collapsed="false">
      <c r="A50" s="11" t="s">
        <v>328</v>
      </c>
      <c r="B50" s="11" t="s">
        <v>435</v>
      </c>
      <c r="C50" s="11" t="s">
        <v>434</v>
      </c>
      <c r="D50" s="11" t="s">
        <v>376</v>
      </c>
      <c r="E50" s="18" t="n">
        <v>0</v>
      </c>
      <c r="F50" s="12" t="str">
        <f aca="false">IF(E50=0,"Not started",IF(E50&lt;=2,"Partial","Implemented"))</f>
        <v>Not started</v>
      </c>
      <c r="G50" s="11" t="s">
        <v>380</v>
      </c>
      <c r="H50" s="12" t="str">
        <f aca="false">IF(G50="-","-",IF(DATEVALUE(G50)&lt;=DATEVALUE("2026-09-25"),"YES - overdue","No - not yet due"))</f>
        <v>No - not yet due</v>
      </c>
    </row>
    <row r="51" customFormat="false" ht="15" hidden="false" customHeight="true" outlineLevel="0" collapsed="false">
      <c r="A51" s="11" t="s">
        <v>329</v>
      </c>
      <c r="B51" s="11" t="s">
        <v>436</v>
      </c>
      <c r="C51" s="11" t="s">
        <v>434</v>
      </c>
      <c r="D51" s="11" t="s">
        <v>376</v>
      </c>
      <c r="E51" s="18" t="n">
        <v>0</v>
      </c>
      <c r="F51" s="12" t="str">
        <f aca="false">IF(E51=0,"Not started",IF(E51&lt;=2,"Partial","Implemented"))</f>
        <v>Not started</v>
      </c>
      <c r="G51" s="11" t="s">
        <v>380</v>
      </c>
      <c r="H51" s="12" t="str">
        <f aca="false">IF(G51="-","-",IF(DATEVALUE(G51)&lt;=DATEVALUE("2026-09-25"),"YES - overdue","No - not yet due"))</f>
        <v>No - not yet due</v>
      </c>
    </row>
    <row r="52" customFormat="false" ht="21.75" hidden="false" customHeight="true" outlineLevel="0" collapsed="false">
      <c r="A52" s="11" t="s">
        <v>437</v>
      </c>
      <c r="B52" s="11" t="s">
        <v>438</v>
      </c>
      <c r="C52" s="11" t="s">
        <v>434</v>
      </c>
      <c r="D52" s="13" t="s">
        <v>439</v>
      </c>
      <c r="E52" s="12"/>
      <c r="F52" s="12" t="s">
        <v>440</v>
      </c>
      <c r="G52" s="11" t="s">
        <v>441</v>
      </c>
      <c r="H52" s="11" t="s">
        <v>442</v>
      </c>
    </row>
    <row r="53" customFormat="false" ht="15" hidden="false" customHeight="true" outlineLevel="0" collapsed="false">
      <c r="A53" s="11" t="s">
        <v>362</v>
      </c>
      <c r="B53" s="11" t="s">
        <v>443</v>
      </c>
      <c r="C53" s="11" t="s">
        <v>434</v>
      </c>
      <c r="D53" s="11" t="s">
        <v>376</v>
      </c>
      <c r="E53" s="18" t="n">
        <v>0</v>
      </c>
      <c r="F53" s="12" t="str">
        <f aca="false">IF(E53=0,"Not started",IF(E53&lt;=2,"Partial","Implemented"))</f>
        <v>Not started</v>
      </c>
      <c r="G53" s="11" t="s">
        <v>386</v>
      </c>
      <c r="H53" s="12" t="str">
        <f aca="false">IF(G53="-","-",IF(DATEVALUE(G53)&lt;=DATEVALUE("2026-09-25"),"YES - overdue","No - not yet due"))</f>
        <v>No - not yet due</v>
      </c>
    </row>
    <row r="54" customFormat="false" ht="21.75" hidden="false" customHeight="true" outlineLevel="0" collapsed="false">
      <c r="A54" s="11" t="s">
        <v>444</v>
      </c>
      <c r="B54" s="11" t="s">
        <v>445</v>
      </c>
      <c r="C54" s="11" t="s">
        <v>434</v>
      </c>
      <c r="D54" s="13" t="s">
        <v>439</v>
      </c>
      <c r="E54" s="12"/>
      <c r="F54" s="12" t="s">
        <v>440</v>
      </c>
      <c r="G54" s="11" t="s">
        <v>441</v>
      </c>
      <c r="H54" s="11" t="s">
        <v>442</v>
      </c>
    </row>
    <row r="55" customFormat="false" ht="15" hidden="false" customHeight="true" outlineLevel="0" collapsed="false">
      <c r="A55" s="11" t="s">
        <v>446</v>
      </c>
      <c r="B55" s="11" t="s">
        <v>447</v>
      </c>
      <c r="C55" s="11" t="s">
        <v>434</v>
      </c>
      <c r="D55" s="11" t="s">
        <v>376</v>
      </c>
      <c r="E55" s="18" t="n">
        <v>2</v>
      </c>
      <c r="F55" s="12" t="str">
        <f aca="false">IF(E55=0,"Not started",IF(E55&lt;=2,"Partial","Implemented"))</f>
        <v>Partial</v>
      </c>
      <c r="G55" s="11" t="s">
        <v>382</v>
      </c>
      <c r="H55" s="12" t="str">
        <f aca="false">IF(G55="-","-",IF(DATEVALUE(G55)&lt;=DATEVALUE("2026-09-25"),"YES - overdue","No - not yet due"))</f>
        <v>No - not yet due</v>
      </c>
    </row>
    <row r="56" customFormat="false" ht="15" hidden="false" customHeight="true" outlineLevel="0" collapsed="false">
      <c r="A56" s="11" t="s">
        <v>448</v>
      </c>
      <c r="B56" s="11" t="s">
        <v>449</v>
      </c>
      <c r="C56" s="11" t="s">
        <v>434</v>
      </c>
      <c r="D56" s="11" t="s">
        <v>376</v>
      </c>
      <c r="E56" s="18" t="n">
        <v>0</v>
      </c>
      <c r="F56" s="12" t="str">
        <f aca="false">IF(E56=0,"Not started",IF(E56&lt;=2,"Partial","Implemented"))</f>
        <v>Not started</v>
      </c>
      <c r="G56" s="11" t="s">
        <v>380</v>
      </c>
      <c r="H56" s="12" t="str">
        <f aca="false">IF(G56="-","-",IF(DATEVALUE(G56)&lt;=DATEVALUE("2026-09-25"),"YES - overdue","No - not yet due"))</f>
        <v>No - not yet due</v>
      </c>
    </row>
    <row r="57" customFormat="false" ht="15" hidden="false" customHeight="true" outlineLevel="0" collapsed="false">
      <c r="A57" s="11" t="s">
        <v>450</v>
      </c>
      <c r="B57" s="11" t="s">
        <v>451</v>
      </c>
      <c r="C57" s="11" t="s">
        <v>434</v>
      </c>
      <c r="D57" s="11" t="s">
        <v>376</v>
      </c>
      <c r="E57" s="18" t="n">
        <v>1</v>
      </c>
      <c r="F57" s="12" t="str">
        <f aca="false">IF(E57=0,"Not started",IF(E57&lt;=2,"Partial","Implemented"))</f>
        <v>Partial</v>
      </c>
      <c r="G57" s="11" t="s">
        <v>380</v>
      </c>
      <c r="H57" s="12" t="str">
        <f aca="false">IF(G57="-","-",IF(DATEVALUE(G57)&lt;=DATEVALUE("2026-09-25"),"YES - overdue","No - not yet due"))</f>
        <v>No - not yet due</v>
      </c>
    </row>
    <row r="58" customFormat="false" ht="15" hidden="false" customHeight="true" outlineLevel="0" collapsed="false">
      <c r="A58" s="11" t="s">
        <v>330</v>
      </c>
      <c r="B58" s="11" t="s">
        <v>452</v>
      </c>
      <c r="C58" s="11" t="s">
        <v>434</v>
      </c>
      <c r="D58" s="11" t="s">
        <v>376</v>
      </c>
      <c r="E58" s="18" t="n">
        <v>2</v>
      </c>
      <c r="F58" s="12" t="str">
        <f aca="false">IF(E58=0,"Not started",IF(E58&lt;=2,"Partial","Implemented"))</f>
        <v>Partial</v>
      </c>
      <c r="G58" s="11" t="s">
        <v>380</v>
      </c>
      <c r="H58" s="12" t="str">
        <f aca="false">IF(G58="-","-",IF(DATEVALUE(G58)&lt;=DATEVALUE("2026-09-25"),"YES - overdue","No - not yet due"))</f>
        <v>No - not yet due</v>
      </c>
    </row>
    <row r="59" customFormat="false" ht="21.75" hidden="false" customHeight="true" outlineLevel="0" collapsed="false">
      <c r="A59" s="11" t="s">
        <v>453</v>
      </c>
      <c r="B59" s="11" t="s">
        <v>454</v>
      </c>
      <c r="C59" s="11" t="s">
        <v>434</v>
      </c>
      <c r="D59" s="13" t="s">
        <v>439</v>
      </c>
      <c r="E59" s="12"/>
      <c r="F59" s="12" t="s">
        <v>440</v>
      </c>
      <c r="G59" s="11" t="s">
        <v>441</v>
      </c>
      <c r="H59" s="11" t="s">
        <v>442</v>
      </c>
    </row>
    <row r="60" customFormat="false" ht="21.75" hidden="false" customHeight="true" outlineLevel="0" collapsed="false">
      <c r="A60" s="11" t="s">
        <v>455</v>
      </c>
      <c r="B60" s="11" t="s">
        <v>456</v>
      </c>
      <c r="C60" s="11" t="s">
        <v>434</v>
      </c>
      <c r="D60" s="13" t="s">
        <v>439</v>
      </c>
      <c r="E60" s="12"/>
      <c r="F60" s="12" t="s">
        <v>440</v>
      </c>
      <c r="G60" s="11" t="s">
        <v>441</v>
      </c>
      <c r="H60" s="11" t="s">
        <v>442</v>
      </c>
    </row>
    <row r="61" customFormat="false" ht="15" hidden="false" customHeight="true" outlineLevel="0" collapsed="false">
      <c r="A61" s="11" t="s">
        <v>457</v>
      </c>
      <c r="B61" s="11" t="s">
        <v>458</v>
      </c>
      <c r="C61" s="11" t="s">
        <v>434</v>
      </c>
      <c r="D61" s="11" t="s">
        <v>376</v>
      </c>
      <c r="E61" s="18" t="n">
        <v>0</v>
      </c>
      <c r="F61" s="12" t="str">
        <f aca="false">IF(E61=0,"Not started",IF(E61&lt;=2,"Partial","Implemented"))</f>
        <v>Not started</v>
      </c>
      <c r="G61" s="11" t="s">
        <v>386</v>
      </c>
      <c r="H61" s="12" t="str">
        <f aca="false">IF(G61="-","-",IF(DATEVALUE(G61)&lt;=DATEVALUE("2026-09-25"),"YES - overdue","No - not yet due"))</f>
        <v>No - not yet due</v>
      </c>
    </row>
    <row r="62" customFormat="false" ht="15" hidden="false" customHeight="true" outlineLevel="0" collapsed="false">
      <c r="A62" s="11" t="s">
        <v>192</v>
      </c>
      <c r="B62" s="11" t="s">
        <v>459</v>
      </c>
      <c r="C62" s="11" t="s">
        <v>434</v>
      </c>
      <c r="D62" s="11" t="s">
        <v>376</v>
      </c>
      <c r="E62" s="18" t="n">
        <v>0</v>
      </c>
      <c r="F62" s="12" t="str">
        <f aca="false">IF(E62=0,"Not started",IF(E62&lt;=2,"Partial","Implemented"))</f>
        <v>Not started</v>
      </c>
      <c r="G62" s="11" t="s">
        <v>380</v>
      </c>
      <c r="H62" s="12" t="str">
        <f aca="false">IF(G62="-","-",IF(DATEVALUE(G62)&lt;=DATEVALUE("2026-09-25"),"YES - overdue","No - not yet due"))</f>
        <v>No - not yet due</v>
      </c>
    </row>
    <row r="63" customFormat="false" ht="15" hidden="false" customHeight="true" outlineLevel="0" collapsed="false">
      <c r="A63" s="11" t="s">
        <v>460</v>
      </c>
      <c r="B63" s="11" t="s">
        <v>461</v>
      </c>
      <c r="C63" s="11" t="s">
        <v>462</v>
      </c>
      <c r="D63" s="11" t="s">
        <v>376</v>
      </c>
      <c r="E63" s="18" t="n">
        <v>1</v>
      </c>
      <c r="F63" s="12" t="str">
        <f aca="false">IF(E63=0,"Not started",IF(E63&lt;=2,"Partial","Implemented"))</f>
        <v>Partial</v>
      </c>
      <c r="G63" s="11" t="s">
        <v>380</v>
      </c>
      <c r="H63" s="12" t="str">
        <f aca="false">IF(G63="-","-",IF(DATEVALUE(G63)&lt;=DATEVALUE("2026-09-25"),"YES - overdue","No - not yet due"))</f>
        <v>No - not yet due</v>
      </c>
    </row>
    <row r="64" customFormat="false" ht="15" hidden="false" customHeight="true" outlineLevel="0" collapsed="false">
      <c r="A64" s="11" t="s">
        <v>308</v>
      </c>
      <c r="B64" s="11" t="s">
        <v>463</v>
      </c>
      <c r="C64" s="11" t="s">
        <v>462</v>
      </c>
      <c r="D64" s="11" t="s">
        <v>376</v>
      </c>
      <c r="E64" s="18" t="n">
        <v>2</v>
      </c>
      <c r="F64" s="12" t="str">
        <f aca="false">IF(E64=0,"Not started",IF(E64&lt;=2,"Partial","Implemented"))</f>
        <v>Partial</v>
      </c>
      <c r="G64" s="11" t="s">
        <v>382</v>
      </c>
      <c r="H64" s="12" t="str">
        <f aca="false">IF(G64="-","-",IF(DATEVALUE(G64)&lt;=DATEVALUE("2026-09-25"),"YES - overdue","No - not yet due"))</f>
        <v>No - not yet due</v>
      </c>
    </row>
    <row r="65" customFormat="false" ht="15" hidden="false" customHeight="true" outlineLevel="0" collapsed="false">
      <c r="A65" s="11" t="s">
        <v>182</v>
      </c>
      <c r="B65" s="11" t="s">
        <v>464</v>
      </c>
      <c r="C65" s="11" t="s">
        <v>462</v>
      </c>
      <c r="D65" s="11" t="s">
        <v>376</v>
      </c>
      <c r="E65" s="18" t="n">
        <v>0</v>
      </c>
      <c r="F65" s="12" t="str">
        <f aca="false">IF(E65=0,"Not started",IF(E65&lt;=2,"Partial","Implemented"))</f>
        <v>Not started</v>
      </c>
      <c r="G65" s="11" t="s">
        <v>380</v>
      </c>
      <c r="H65" s="12" t="str">
        <f aca="false">IF(G65="-","-",IF(DATEVALUE(G65)&lt;=DATEVALUE("2026-09-25"),"YES - overdue","No - not yet due"))</f>
        <v>No - not yet due</v>
      </c>
    </row>
    <row r="66" customFormat="false" ht="15" hidden="false" customHeight="true" outlineLevel="0" collapsed="false">
      <c r="A66" s="11" t="s">
        <v>348</v>
      </c>
      <c r="B66" s="11" t="s">
        <v>465</v>
      </c>
      <c r="C66" s="11" t="s">
        <v>462</v>
      </c>
      <c r="D66" s="11" t="s">
        <v>376</v>
      </c>
      <c r="E66" s="18" t="n">
        <v>0</v>
      </c>
      <c r="F66" s="12" t="str">
        <f aca="false">IF(E66=0,"Not started",IF(E66&lt;=2,"Partial","Implemented"))</f>
        <v>Not started</v>
      </c>
      <c r="G66" s="11" t="s">
        <v>380</v>
      </c>
      <c r="H66" s="12" t="str">
        <f aca="false">IF(G66="-","-",IF(DATEVALUE(G66)&lt;=DATEVALUE("2026-09-25"),"YES - overdue","No - not yet due"))</f>
        <v>No - not yet due</v>
      </c>
    </row>
    <row r="67" customFormat="false" ht="15" hidden="false" customHeight="true" outlineLevel="0" collapsed="false">
      <c r="A67" s="11" t="s">
        <v>321</v>
      </c>
      <c r="B67" s="11" t="s">
        <v>466</v>
      </c>
      <c r="C67" s="11" t="s">
        <v>462</v>
      </c>
      <c r="D67" s="11" t="s">
        <v>376</v>
      </c>
      <c r="E67" s="18" t="n">
        <v>2</v>
      </c>
      <c r="F67" s="12" t="str">
        <f aca="false">IF(E67=0,"Not started",IF(E67&lt;=2,"Partial","Implemented"))</f>
        <v>Partial</v>
      </c>
      <c r="G67" s="11" t="s">
        <v>382</v>
      </c>
      <c r="H67" s="12" t="str">
        <f aca="false">IF(G67="-","-",IF(DATEVALUE(G67)&lt;=DATEVALUE("2026-09-25"),"YES - overdue","No - not yet due"))</f>
        <v>No - not yet due</v>
      </c>
    </row>
    <row r="68" customFormat="false" ht="15" hidden="false" customHeight="true" outlineLevel="0" collapsed="false">
      <c r="A68" s="11" t="s">
        <v>355</v>
      </c>
      <c r="B68" s="11" t="s">
        <v>467</v>
      </c>
      <c r="C68" s="11" t="s">
        <v>462</v>
      </c>
      <c r="D68" s="11" t="s">
        <v>376</v>
      </c>
      <c r="E68" s="18" t="n">
        <v>0</v>
      </c>
      <c r="F68" s="12" t="str">
        <f aca="false">IF(E68=0,"Not started",IF(E68&lt;=2,"Partial","Implemented"))</f>
        <v>Not started</v>
      </c>
      <c r="G68" s="11" t="s">
        <v>386</v>
      </c>
      <c r="H68" s="12" t="str">
        <f aca="false">IF(G68="-","-",IF(DATEVALUE(G68)&lt;=DATEVALUE("2026-09-25"),"YES - overdue","No - not yet due"))</f>
        <v>No - not yet due</v>
      </c>
    </row>
    <row r="69" customFormat="false" ht="15" hidden="false" customHeight="true" outlineLevel="0" collapsed="false">
      <c r="A69" s="11" t="s">
        <v>337</v>
      </c>
      <c r="B69" s="11" t="s">
        <v>468</v>
      </c>
      <c r="C69" s="11" t="s">
        <v>462</v>
      </c>
      <c r="D69" s="11" t="s">
        <v>376</v>
      </c>
      <c r="E69" s="18" t="n">
        <v>0</v>
      </c>
      <c r="F69" s="12" t="str">
        <f aca="false">IF(E69=0,"Not started",IF(E69&lt;=2,"Partial","Implemented"))</f>
        <v>Not started</v>
      </c>
      <c r="G69" s="11" t="s">
        <v>380</v>
      </c>
      <c r="H69" s="12" t="str">
        <f aca="false">IF(G69="-","-",IF(DATEVALUE(G69)&lt;=DATEVALUE("2026-09-25"),"YES - overdue","No - not yet due"))</f>
        <v>No - not yet due</v>
      </c>
    </row>
    <row r="70" customFormat="false" ht="15" hidden="false" customHeight="true" outlineLevel="0" collapsed="false">
      <c r="A70" s="11" t="s">
        <v>306</v>
      </c>
      <c r="B70" s="11" t="s">
        <v>469</v>
      </c>
      <c r="C70" s="11" t="s">
        <v>462</v>
      </c>
      <c r="D70" s="11" t="s">
        <v>376</v>
      </c>
      <c r="E70" s="18" t="n">
        <v>0</v>
      </c>
      <c r="F70" s="12" t="str">
        <f aca="false">IF(E70=0,"Not started",IF(E70&lt;=2,"Partial","Implemented"))</f>
        <v>Not started</v>
      </c>
      <c r="G70" s="11" t="s">
        <v>380</v>
      </c>
      <c r="H70" s="12" t="str">
        <f aca="false">IF(G70="-","-",IF(DATEVALUE(G70)&lt;=DATEVALUE("2026-09-25"),"YES - overdue","No - not yet due"))</f>
        <v>No - not yet due</v>
      </c>
    </row>
    <row r="71" customFormat="false" ht="15" hidden="false" customHeight="true" outlineLevel="0" collapsed="false">
      <c r="A71" s="11" t="s">
        <v>315</v>
      </c>
      <c r="B71" s="11" t="s">
        <v>470</v>
      </c>
      <c r="C71" s="11" t="s">
        <v>462</v>
      </c>
      <c r="D71" s="11" t="s">
        <v>376</v>
      </c>
      <c r="E71" s="18" t="n">
        <v>0</v>
      </c>
      <c r="F71" s="12" t="str">
        <f aca="false">IF(E71=0,"Not started",IF(E71&lt;=2,"Partial","Implemented"))</f>
        <v>Not started</v>
      </c>
      <c r="G71" s="11" t="s">
        <v>386</v>
      </c>
      <c r="H71" s="12" t="str">
        <f aca="false">IF(G71="-","-",IF(DATEVALUE(G71)&lt;=DATEVALUE("2026-09-25"),"YES - overdue","No - not yet due"))</f>
        <v>No - not yet due</v>
      </c>
    </row>
    <row r="72" customFormat="false" ht="15" hidden="false" customHeight="true" outlineLevel="0" collapsed="false">
      <c r="A72" s="11" t="s">
        <v>333</v>
      </c>
      <c r="B72" s="11" t="s">
        <v>471</v>
      </c>
      <c r="C72" s="11" t="s">
        <v>462</v>
      </c>
      <c r="D72" s="11" t="s">
        <v>376</v>
      </c>
      <c r="E72" s="18" t="n">
        <v>1</v>
      </c>
      <c r="F72" s="12" t="str">
        <f aca="false">IF(E72=0,"Not started",IF(E72&lt;=2,"Partial","Implemented"))</f>
        <v>Partial</v>
      </c>
      <c r="G72" s="11" t="s">
        <v>380</v>
      </c>
      <c r="H72" s="12" t="str">
        <f aca="false">IF(G72="-","-",IF(DATEVALUE(G72)&lt;=DATEVALUE("2026-09-25"),"YES - overdue","No - not yet due"))</f>
        <v>No - not yet due</v>
      </c>
    </row>
    <row r="73" customFormat="false" ht="15" hidden="false" customHeight="true" outlineLevel="0" collapsed="false">
      <c r="A73" s="11" t="s">
        <v>334</v>
      </c>
      <c r="B73" s="11" t="s">
        <v>472</v>
      </c>
      <c r="C73" s="11" t="s">
        <v>462</v>
      </c>
      <c r="D73" s="11" t="s">
        <v>376</v>
      </c>
      <c r="E73" s="18" t="n">
        <v>0</v>
      </c>
      <c r="F73" s="12" t="str">
        <f aca="false">IF(E73=0,"Not started",IF(E73&lt;=2,"Partial","Implemented"))</f>
        <v>Not started</v>
      </c>
      <c r="G73" s="11" t="s">
        <v>386</v>
      </c>
      <c r="H73" s="12" t="str">
        <f aca="false">IF(G73="-","-",IF(DATEVALUE(G73)&lt;=DATEVALUE("2026-09-25"),"YES - overdue","No - not yet due"))</f>
        <v>No - not yet due</v>
      </c>
    </row>
    <row r="74" customFormat="false" ht="15" hidden="false" customHeight="true" outlineLevel="0" collapsed="false">
      <c r="A74" s="11" t="s">
        <v>335</v>
      </c>
      <c r="B74" s="11" t="s">
        <v>473</v>
      </c>
      <c r="C74" s="11" t="s">
        <v>462</v>
      </c>
      <c r="D74" s="11" t="s">
        <v>376</v>
      </c>
      <c r="E74" s="18" t="n">
        <v>0</v>
      </c>
      <c r="F74" s="12" t="str">
        <f aca="false">IF(E74=0,"Not started",IF(E74&lt;=2,"Partial","Implemented"))</f>
        <v>Not started</v>
      </c>
      <c r="G74" s="11" t="s">
        <v>400</v>
      </c>
      <c r="H74" s="12" t="str">
        <f aca="false">IF(G74="-","-",IF(DATEVALUE(G74)&lt;=DATEVALUE("2026-09-25"),"YES - overdue","No - not yet due"))</f>
        <v>No - not yet due</v>
      </c>
    </row>
    <row r="75" customFormat="false" ht="15" hidden="false" customHeight="true" outlineLevel="0" collapsed="false">
      <c r="A75" s="11" t="s">
        <v>347</v>
      </c>
      <c r="B75" s="11" t="s">
        <v>474</v>
      </c>
      <c r="C75" s="11" t="s">
        <v>462</v>
      </c>
      <c r="D75" s="11" t="s">
        <v>376</v>
      </c>
      <c r="E75" s="18" t="n">
        <v>1</v>
      </c>
      <c r="F75" s="12" t="str">
        <f aca="false">IF(E75=0,"Not started",IF(E75&lt;=2,"Partial","Implemented"))</f>
        <v>Partial</v>
      </c>
      <c r="G75" s="11" t="s">
        <v>405</v>
      </c>
      <c r="H75" s="12" t="str">
        <f aca="false">IF(G75="-","-",IF(DATEVALUE(G75)&lt;=DATEVALUE("2026-09-25"),"YES - overdue","No - not yet due"))</f>
        <v>No - not yet due</v>
      </c>
    </row>
    <row r="76" customFormat="false" ht="15" hidden="false" customHeight="true" outlineLevel="0" collapsed="false">
      <c r="A76" s="11" t="s">
        <v>356</v>
      </c>
      <c r="B76" s="11" t="s">
        <v>475</v>
      </c>
      <c r="C76" s="11" t="s">
        <v>462</v>
      </c>
      <c r="D76" s="11" t="s">
        <v>376</v>
      </c>
      <c r="E76" s="18" t="n">
        <v>0</v>
      </c>
      <c r="F76" s="12" t="str">
        <f aca="false">IF(E76=0,"Not started",IF(E76&lt;=2,"Partial","Implemented"))</f>
        <v>Not started</v>
      </c>
      <c r="G76" s="11" t="s">
        <v>386</v>
      </c>
      <c r="H76" s="12" t="str">
        <f aca="false">IF(G76="-","-",IF(DATEVALUE(G76)&lt;=DATEVALUE("2026-09-25"),"YES - overdue","No - not yet due"))</f>
        <v>No - not yet due</v>
      </c>
    </row>
    <row r="77" customFormat="false" ht="15" hidden="false" customHeight="true" outlineLevel="0" collapsed="false">
      <c r="A77" s="11" t="s">
        <v>297</v>
      </c>
      <c r="B77" s="11" t="s">
        <v>476</v>
      </c>
      <c r="C77" s="11" t="s">
        <v>462</v>
      </c>
      <c r="D77" s="11" t="s">
        <v>376</v>
      </c>
      <c r="E77" s="18" t="n">
        <v>1</v>
      </c>
      <c r="F77" s="12" t="str">
        <f aca="false">IF(E77=0,"Not started",IF(E77&lt;=2,"Partial","Implemented"))</f>
        <v>Partial</v>
      </c>
      <c r="G77" s="11" t="s">
        <v>380</v>
      </c>
      <c r="H77" s="12" t="str">
        <f aca="false">IF(G77="-","-",IF(DATEVALUE(G77)&lt;=DATEVALUE("2026-09-25"),"YES - overdue","No - not yet due"))</f>
        <v>No - not yet due</v>
      </c>
    </row>
    <row r="78" customFormat="false" ht="15" hidden="false" customHeight="true" outlineLevel="0" collapsed="false">
      <c r="A78" s="11" t="s">
        <v>133</v>
      </c>
      <c r="B78" s="11" t="s">
        <v>477</v>
      </c>
      <c r="C78" s="11" t="s">
        <v>462</v>
      </c>
      <c r="D78" s="11" t="s">
        <v>376</v>
      </c>
      <c r="E78" s="18" t="n">
        <v>0</v>
      </c>
      <c r="F78" s="12" t="str">
        <f aca="false">IF(E78=0,"Not started",IF(E78&lt;=2,"Partial","Implemented"))</f>
        <v>Not started</v>
      </c>
      <c r="G78" s="11" t="s">
        <v>380</v>
      </c>
      <c r="H78" s="12" t="str">
        <f aca="false">IF(G78="-","-",IF(DATEVALUE(G78)&lt;=DATEVALUE("2026-09-25"),"YES - overdue","No - not yet due"))</f>
        <v>No - not yet due</v>
      </c>
    </row>
    <row r="79" customFormat="false" ht="15" hidden="false" customHeight="true" outlineLevel="0" collapsed="false">
      <c r="A79" s="11" t="s">
        <v>341</v>
      </c>
      <c r="B79" s="11" t="s">
        <v>478</v>
      </c>
      <c r="C79" s="11" t="s">
        <v>462</v>
      </c>
      <c r="D79" s="11" t="s">
        <v>376</v>
      </c>
      <c r="E79" s="18" t="n">
        <v>0</v>
      </c>
      <c r="F79" s="12" t="str">
        <f aca="false">IF(E79=0,"Not started",IF(E79&lt;=2,"Partial","Implemented"))</f>
        <v>Not started</v>
      </c>
      <c r="G79" s="11" t="s">
        <v>380</v>
      </c>
      <c r="H79" s="12" t="str">
        <f aca="false">IF(G79="-","-",IF(DATEVALUE(G79)&lt;=DATEVALUE("2026-09-25"),"YES - overdue","No - not yet due"))</f>
        <v>No - not yet due</v>
      </c>
    </row>
    <row r="80" customFormat="false" ht="15" hidden="false" customHeight="true" outlineLevel="0" collapsed="false">
      <c r="A80" s="11" t="s">
        <v>338</v>
      </c>
      <c r="B80" s="11" t="s">
        <v>479</v>
      </c>
      <c r="C80" s="11" t="s">
        <v>462</v>
      </c>
      <c r="D80" s="11" t="s">
        <v>376</v>
      </c>
      <c r="E80" s="18" t="n">
        <v>0</v>
      </c>
      <c r="F80" s="12" t="str">
        <f aca="false">IF(E80=0,"Not started",IF(E80&lt;=2,"Partial","Implemented"))</f>
        <v>Not started</v>
      </c>
      <c r="G80" s="11" t="s">
        <v>386</v>
      </c>
      <c r="H80" s="12" t="str">
        <f aca="false">IF(G80="-","-",IF(DATEVALUE(G80)&lt;=DATEVALUE("2026-09-25"),"YES - overdue","No - not yet due"))</f>
        <v>No - not yet due</v>
      </c>
    </row>
    <row r="81" customFormat="false" ht="15" hidden="false" customHeight="true" outlineLevel="0" collapsed="false">
      <c r="A81" s="11" t="s">
        <v>339</v>
      </c>
      <c r="B81" s="11" t="s">
        <v>480</v>
      </c>
      <c r="C81" s="11" t="s">
        <v>462</v>
      </c>
      <c r="D81" s="11" t="s">
        <v>376</v>
      </c>
      <c r="E81" s="18" t="n">
        <v>0</v>
      </c>
      <c r="F81" s="12" t="str">
        <f aca="false">IF(E81=0,"Not started",IF(E81&lt;=2,"Partial","Implemented"))</f>
        <v>Not started</v>
      </c>
      <c r="G81" s="11" t="s">
        <v>380</v>
      </c>
      <c r="H81" s="12" t="str">
        <f aca="false">IF(G81="-","-",IF(DATEVALUE(G81)&lt;=DATEVALUE("2026-09-25"),"YES - overdue","No - not yet due"))</f>
        <v>No - not yet due</v>
      </c>
    </row>
    <row r="82" customFormat="false" ht="15" hidden="false" customHeight="true" outlineLevel="0" collapsed="false">
      <c r="A82" s="11" t="s">
        <v>316</v>
      </c>
      <c r="B82" s="11" t="s">
        <v>481</v>
      </c>
      <c r="C82" s="11" t="s">
        <v>462</v>
      </c>
      <c r="D82" s="11" t="s">
        <v>376</v>
      </c>
      <c r="E82" s="18" t="n">
        <v>0</v>
      </c>
      <c r="F82" s="12" t="str">
        <f aca="false">IF(E82=0,"Not started",IF(E82&lt;=2,"Partial","Implemented"))</f>
        <v>Not started</v>
      </c>
      <c r="G82" s="11" t="s">
        <v>386</v>
      </c>
      <c r="H82" s="12" t="str">
        <f aca="false">IF(G82="-","-",IF(DATEVALUE(G82)&lt;=DATEVALUE("2026-09-25"),"YES - overdue","No - not yet due"))</f>
        <v>No - not yet due</v>
      </c>
    </row>
    <row r="83" customFormat="false" ht="15" hidden="false" customHeight="true" outlineLevel="0" collapsed="false">
      <c r="A83" s="11" t="s">
        <v>331</v>
      </c>
      <c r="B83" s="11" t="s">
        <v>482</v>
      </c>
      <c r="C83" s="11" t="s">
        <v>462</v>
      </c>
      <c r="D83" s="11" t="s">
        <v>376</v>
      </c>
      <c r="E83" s="18" t="n">
        <v>0</v>
      </c>
      <c r="F83" s="12" t="str">
        <f aca="false">IF(E83=0,"Not started",IF(E83&lt;=2,"Partial","Implemented"))</f>
        <v>Not started</v>
      </c>
      <c r="G83" s="11" t="s">
        <v>386</v>
      </c>
      <c r="H83" s="12" t="str">
        <f aca="false">IF(G83="-","-",IF(DATEVALUE(G83)&lt;=DATEVALUE("2026-09-25"),"YES - overdue","No - not yet due"))</f>
        <v>No - not yet due</v>
      </c>
    </row>
    <row r="84" customFormat="false" ht="15" hidden="false" customHeight="true" outlineLevel="0" collapsed="false">
      <c r="A84" s="11" t="s">
        <v>322</v>
      </c>
      <c r="B84" s="11" t="s">
        <v>483</v>
      </c>
      <c r="C84" s="11" t="s">
        <v>462</v>
      </c>
      <c r="D84" s="11" t="s">
        <v>376</v>
      </c>
      <c r="E84" s="18" t="n">
        <v>0</v>
      </c>
      <c r="F84" s="12" t="str">
        <f aca="false">IF(E84=0,"Not started",IF(E84&lt;=2,"Partial","Implemented"))</f>
        <v>Not started</v>
      </c>
      <c r="G84" s="11" t="s">
        <v>484</v>
      </c>
      <c r="H84" s="12" t="str">
        <f aca="false">IF(G84="-","-",IF(DATEVALUE(G84)&lt;=DATEVALUE("2026-09-25"),"YES - overdue","No - not yet due"))</f>
        <v>No - not yet due</v>
      </c>
    </row>
    <row r="85" customFormat="false" ht="15" hidden="false" customHeight="true" outlineLevel="0" collapsed="false">
      <c r="A85" s="11" t="s">
        <v>332</v>
      </c>
      <c r="B85" s="11" t="s">
        <v>485</v>
      </c>
      <c r="C85" s="11" t="s">
        <v>462</v>
      </c>
      <c r="D85" s="11" t="s">
        <v>376</v>
      </c>
      <c r="E85" s="18" t="n">
        <v>0</v>
      </c>
      <c r="F85" s="12" t="str">
        <f aca="false">IF(E85=0,"Not started",IF(E85&lt;=2,"Partial","Implemented"))</f>
        <v>Not started</v>
      </c>
      <c r="G85" s="11" t="s">
        <v>386</v>
      </c>
      <c r="H85" s="12" t="str">
        <f aca="false">IF(G85="-","-",IF(DATEVALUE(G85)&lt;=DATEVALUE("2026-09-25"),"YES - overdue","No - not yet due"))</f>
        <v>No - not yet due</v>
      </c>
    </row>
    <row r="86" customFormat="false" ht="15" hidden="false" customHeight="true" outlineLevel="0" collapsed="false">
      <c r="A86" s="11" t="s">
        <v>336</v>
      </c>
      <c r="B86" s="11" t="s">
        <v>486</v>
      </c>
      <c r="C86" s="11" t="s">
        <v>462</v>
      </c>
      <c r="D86" s="11" t="s">
        <v>376</v>
      </c>
      <c r="E86" s="18" t="n">
        <v>0</v>
      </c>
      <c r="F86" s="12" t="str">
        <f aca="false">IF(E86=0,"Not started",IF(E86&lt;=2,"Partial","Implemented"))</f>
        <v>Not started</v>
      </c>
      <c r="G86" s="11" t="s">
        <v>380</v>
      </c>
      <c r="H86" s="12" t="str">
        <f aca="false">IF(G86="-","-",IF(DATEVALUE(G86)&lt;=DATEVALUE("2026-09-25"),"YES - overdue","No - not yet due"))</f>
        <v>No - not yet due</v>
      </c>
    </row>
    <row r="87" customFormat="false" ht="15" hidden="false" customHeight="true" outlineLevel="0" collapsed="false">
      <c r="A87" s="11" t="s">
        <v>349</v>
      </c>
      <c r="B87" s="11" t="s">
        <v>487</v>
      </c>
      <c r="C87" s="11" t="s">
        <v>462</v>
      </c>
      <c r="D87" s="11" t="s">
        <v>376</v>
      </c>
      <c r="E87" s="18" t="n">
        <v>0</v>
      </c>
      <c r="F87" s="12" t="str">
        <f aca="false">IF(E87=0,"Not started",IF(E87&lt;=2,"Partial","Implemented"))</f>
        <v>Not started</v>
      </c>
      <c r="G87" s="11" t="s">
        <v>380</v>
      </c>
      <c r="H87" s="12" t="str">
        <f aca="false">IF(G87="-","-",IF(DATEVALUE(G87)&lt;=DATEVALUE("2026-09-25"),"YES - overdue","No - not yet due"))</f>
        <v>No - not yet due</v>
      </c>
    </row>
    <row r="88" customFormat="false" ht="15" hidden="false" customHeight="true" outlineLevel="0" collapsed="false">
      <c r="A88" s="11" t="s">
        <v>350</v>
      </c>
      <c r="B88" s="11" t="s">
        <v>488</v>
      </c>
      <c r="C88" s="11" t="s">
        <v>462</v>
      </c>
      <c r="D88" s="11" t="s">
        <v>376</v>
      </c>
      <c r="E88" s="18" t="n">
        <v>0</v>
      </c>
      <c r="F88" s="12" t="str">
        <f aca="false">IF(E88=0,"Not started",IF(E88&lt;=2,"Partial","Implemented"))</f>
        <v>Not started</v>
      </c>
      <c r="G88" s="11" t="s">
        <v>380</v>
      </c>
      <c r="H88" s="12" t="str">
        <f aca="false">IF(G88="-","-",IF(DATEVALUE(G88)&lt;=DATEVALUE("2026-09-25"),"YES - overdue","No - not yet due"))</f>
        <v>No - not yet due</v>
      </c>
    </row>
    <row r="89" customFormat="false" ht="15" hidden="false" customHeight="true" outlineLevel="0" collapsed="false">
      <c r="A89" s="11" t="s">
        <v>489</v>
      </c>
      <c r="B89" s="11" t="s">
        <v>490</v>
      </c>
      <c r="C89" s="11" t="s">
        <v>462</v>
      </c>
      <c r="D89" s="11" t="s">
        <v>376</v>
      </c>
      <c r="E89" s="18" t="n">
        <v>0</v>
      </c>
      <c r="F89" s="12" t="str">
        <f aca="false">IF(E89=0,"Not started",IF(E89&lt;=2,"Partial","Implemented"))</f>
        <v>Not started</v>
      </c>
      <c r="G89" s="11" t="s">
        <v>484</v>
      </c>
      <c r="H89" s="12" t="str">
        <f aca="false">IF(G89="-","-",IF(DATEVALUE(G89)&lt;=DATEVALUE("2026-09-25"),"YES - overdue","No - not yet due"))</f>
        <v>No - not yet due</v>
      </c>
    </row>
    <row r="90" customFormat="false" ht="15" hidden="false" customHeight="true" outlineLevel="0" collapsed="false">
      <c r="A90" s="11" t="s">
        <v>351</v>
      </c>
      <c r="B90" s="11" t="s">
        <v>491</v>
      </c>
      <c r="C90" s="11" t="s">
        <v>462</v>
      </c>
      <c r="D90" s="11" t="s">
        <v>376</v>
      </c>
      <c r="E90" s="18" t="n">
        <v>0</v>
      </c>
      <c r="F90" s="12" t="str">
        <f aca="false">IF(E90=0,"Not started",IF(E90&lt;=2,"Partial","Implemented"))</f>
        <v>Not started</v>
      </c>
      <c r="G90" s="11" t="s">
        <v>380</v>
      </c>
      <c r="H90" s="12" t="str">
        <f aca="false">IF(G90="-","-",IF(DATEVALUE(G90)&lt;=DATEVALUE("2026-09-25"),"YES - overdue","No - not yet due"))</f>
        <v>No - not yet due</v>
      </c>
    </row>
    <row r="91" customFormat="false" ht="15" hidden="false" customHeight="true" outlineLevel="0" collapsed="false">
      <c r="A91" s="11" t="s">
        <v>352</v>
      </c>
      <c r="B91" s="11" t="s">
        <v>492</v>
      </c>
      <c r="C91" s="11" t="s">
        <v>462</v>
      </c>
      <c r="D91" s="11" t="s">
        <v>376</v>
      </c>
      <c r="E91" s="18" t="n">
        <v>0</v>
      </c>
      <c r="F91" s="12" t="str">
        <f aca="false">IF(E91=0,"Not started",IF(E91&lt;=2,"Partial","Implemented"))</f>
        <v>Not started</v>
      </c>
      <c r="G91" s="11" t="s">
        <v>400</v>
      </c>
      <c r="H91" s="12" t="str">
        <f aca="false">IF(G91="-","-",IF(DATEVALUE(G91)&lt;=DATEVALUE("2026-09-25"),"YES - overdue","No - not yet due"))</f>
        <v>No - not yet due</v>
      </c>
    </row>
    <row r="92" customFormat="false" ht="21.75" hidden="false" customHeight="true" outlineLevel="0" collapsed="false">
      <c r="A92" s="11" t="s">
        <v>493</v>
      </c>
      <c r="B92" s="11" t="s">
        <v>494</v>
      </c>
      <c r="C92" s="11" t="s">
        <v>462</v>
      </c>
      <c r="D92" s="13" t="s">
        <v>439</v>
      </c>
      <c r="E92" s="12"/>
      <c r="F92" s="12" t="s">
        <v>440</v>
      </c>
      <c r="G92" s="11" t="s">
        <v>441</v>
      </c>
      <c r="H92" s="11" t="s">
        <v>442</v>
      </c>
    </row>
    <row r="93" customFormat="false" ht="15" hidden="false" customHeight="true" outlineLevel="0" collapsed="false">
      <c r="A93" s="11" t="s">
        <v>353</v>
      </c>
      <c r="B93" s="11" t="s">
        <v>495</v>
      </c>
      <c r="C93" s="11" t="s">
        <v>462</v>
      </c>
      <c r="D93" s="11" t="s">
        <v>376</v>
      </c>
      <c r="E93" s="18" t="n">
        <v>0</v>
      </c>
      <c r="F93" s="12" t="str">
        <f aca="false">IF(E93=0,"Not started",IF(E93&lt;=2,"Partial","Implemented"))</f>
        <v>Not started</v>
      </c>
      <c r="G93" s="11" t="s">
        <v>380</v>
      </c>
      <c r="H93" s="12" t="str">
        <f aca="false">IF(G93="-","-",IF(DATEVALUE(G93)&lt;=DATEVALUE("2026-09-25"),"YES - overdue","No - not yet due"))</f>
        <v>No - not yet due</v>
      </c>
    </row>
    <row r="94" customFormat="false" ht="15" hidden="false" customHeight="true" outlineLevel="0" collapsed="false">
      <c r="A94" s="11" t="s">
        <v>310</v>
      </c>
      <c r="B94" s="11" t="s">
        <v>496</v>
      </c>
      <c r="C94" s="11" t="s">
        <v>462</v>
      </c>
      <c r="D94" s="11" t="s">
        <v>376</v>
      </c>
      <c r="E94" s="18" t="n">
        <v>0</v>
      </c>
      <c r="F94" s="12" t="str">
        <f aca="false">IF(E94=0,"Not started",IF(E94&lt;=2,"Partial","Implemented"))</f>
        <v>Not started</v>
      </c>
      <c r="G94" s="11" t="s">
        <v>380</v>
      </c>
      <c r="H94" s="12" t="str">
        <f aca="false">IF(G94="-","-",IF(DATEVALUE(G94)&lt;=DATEVALUE("2026-09-25"),"YES - overdue","No - not yet due"))</f>
        <v>No - not yet due</v>
      </c>
    </row>
    <row r="95" customFormat="false" ht="15" hidden="false" customHeight="true" outlineLevel="0" collapsed="false">
      <c r="A95" s="11" t="s">
        <v>354</v>
      </c>
      <c r="B95" s="11" t="s">
        <v>497</v>
      </c>
      <c r="C95" s="11" t="s">
        <v>462</v>
      </c>
      <c r="D95" s="11" t="s">
        <v>376</v>
      </c>
      <c r="E95" s="18" t="n">
        <v>0</v>
      </c>
      <c r="F95" s="12" t="str">
        <f aca="false">IF(E95=0,"Not started",IF(E95&lt;=2,"Partial","Implemented"))</f>
        <v>Not started</v>
      </c>
      <c r="G95" s="11" t="s">
        <v>380</v>
      </c>
      <c r="H95" s="12" t="str">
        <f aca="false">IF(G95="-","-",IF(DATEVALUE(G95)&lt;=DATEVALUE("2026-09-25"),"YES - overdue","No - not yet due"))</f>
        <v>No - not yet due</v>
      </c>
    </row>
    <row r="96" customFormat="false" ht="15" hidden="false" customHeight="true" outlineLevel="0" collapsed="false">
      <c r="A96" s="11" t="s">
        <v>498</v>
      </c>
      <c r="B96" s="11" t="s">
        <v>499</v>
      </c>
      <c r="C96" s="11" t="s">
        <v>462</v>
      </c>
      <c r="D96" s="11" t="s">
        <v>376</v>
      </c>
      <c r="E96" s="18" t="n">
        <v>0</v>
      </c>
      <c r="F96" s="12" t="str">
        <f aca="false">IF(E96=0,"Not started",IF(E96&lt;=2,"Partial","Implemented"))</f>
        <v>Not started</v>
      </c>
      <c r="G96" s="11" t="s">
        <v>386</v>
      </c>
      <c r="H96" s="12" t="str">
        <f aca="false">IF(G96="-","-",IF(DATEVALUE(G96)&lt;=DATEVALUE("2026-09-25"),"YES - overdue","No - not yet due"))</f>
        <v>No - not yet due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60"/>
    <col collapsed="false" customWidth="true" hidden="false" outlineLevel="0" max="3" min="3" style="1" width="12"/>
    <col collapsed="false" customWidth="true" hidden="false" outlineLevel="0" max="4" min="4" style="1" width="13"/>
    <col collapsed="false" customWidth="true" hidden="false" outlineLevel="0" max="5" min="5" style="1" width="20"/>
    <col collapsed="false" customWidth="true" hidden="false" outlineLevel="0" max="6" min="6" style="1" width="12"/>
  </cols>
  <sheetData>
    <row r="1" customFormat="false" ht="15" hidden="false" customHeight="true" outlineLevel="0" collapsed="false">
      <c r="A1" s="9" t="s">
        <v>500</v>
      </c>
    </row>
    <row r="3" customFormat="false" ht="42" hidden="false" customHeight="true" outlineLevel="0" collapsed="false">
      <c r="A3" s="10" t="s">
        <v>501</v>
      </c>
      <c r="B3" s="10" t="s">
        <v>502</v>
      </c>
      <c r="C3" s="10" t="s">
        <v>503</v>
      </c>
      <c r="D3" s="10" t="s">
        <v>504</v>
      </c>
      <c r="E3" s="10" t="s">
        <v>505</v>
      </c>
      <c r="F3" s="10" t="s">
        <v>506</v>
      </c>
    </row>
    <row r="4" customFormat="false" ht="15" hidden="false" customHeight="true" outlineLevel="0" collapsed="false">
      <c r="A4" s="11" t="s">
        <v>305</v>
      </c>
      <c r="B4" s="11" t="s">
        <v>507</v>
      </c>
      <c r="C4" s="18" t="n">
        <v>1</v>
      </c>
      <c r="D4" s="11" t="s">
        <v>439</v>
      </c>
      <c r="E4" s="12" t="n">
        <f aca="false">IF(C4=0,0,IF(C4=1,2,3))</f>
        <v>2</v>
      </c>
      <c r="F4" s="12" t="str">
        <f aca="false">IF(C4=2,"Met","Not met")</f>
        <v>Not met</v>
      </c>
    </row>
    <row r="5" customFormat="false" ht="15" hidden="false" customHeight="true" outlineLevel="0" collapsed="false">
      <c r="A5" s="11" t="s">
        <v>304</v>
      </c>
      <c r="B5" s="11" t="s">
        <v>508</v>
      </c>
      <c r="C5" s="18" t="n">
        <v>1</v>
      </c>
      <c r="D5" s="11" t="s">
        <v>439</v>
      </c>
      <c r="E5" s="12" t="n">
        <f aca="false">IF(C5=0,0,IF(C5=1,2,3))</f>
        <v>2</v>
      </c>
      <c r="F5" s="12" t="str">
        <f aca="false">IF(C5=2,"Met","Not met")</f>
        <v>Not met</v>
      </c>
    </row>
    <row r="6" customFormat="false" ht="15" hidden="false" customHeight="true" outlineLevel="0" collapsed="false">
      <c r="A6" s="11" t="s">
        <v>509</v>
      </c>
      <c r="B6" s="11" t="s">
        <v>510</v>
      </c>
      <c r="C6" s="18" t="n">
        <v>1</v>
      </c>
      <c r="D6" s="13" t="s">
        <v>376</v>
      </c>
      <c r="E6" s="12" t="n">
        <f aca="false">IF(C6=0,0,IF(C6=1,2,3))</f>
        <v>2</v>
      </c>
      <c r="F6" s="12" t="str">
        <f aca="false">IF(C6=2,"Met","Not met")</f>
        <v>Not met</v>
      </c>
    </row>
    <row r="7" customFormat="false" ht="15" hidden="false" customHeight="true" outlineLevel="0" collapsed="false">
      <c r="A7" s="11" t="s">
        <v>511</v>
      </c>
      <c r="B7" s="11" t="s">
        <v>512</v>
      </c>
      <c r="C7" s="18" t="n">
        <v>1</v>
      </c>
      <c r="D7" s="11" t="s">
        <v>439</v>
      </c>
      <c r="E7" s="12" t="n">
        <f aca="false">IF(C7=0,0,IF(C7=1,2,3))</f>
        <v>2</v>
      </c>
      <c r="F7" s="12" t="str">
        <f aca="false">IF(C7=2,"Met","Not met")</f>
        <v>Not met</v>
      </c>
    </row>
    <row r="8" customFormat="false" ht="15" hidden="false" customHeight="true" outlineLevel="0" collapsed="false">
      <c r="A8" s="11" t="s">
        <v>286</v>
      </c>
      <c r="B8" s="11" t="s">
        <v>513</v>
      </c>
      <c r="C8" s="18" t="n">
        <v>1</v>
      </c>
      <c r="D8" s="11" t="s">
        <v>439</v>
      </c>
      <c r="E8" s="12" t="n">
        <f aca="false">IF(C8=0,0,IF(C8=1,2,3))</f>
        <v>2</v>
      </c>
      <c r="F8" s="12" t="str">
        <f aca="false">IF(C8=2,"Met","Not met")</f>
        <v>Not met</v>
      </c>
    </row>
    <row r="9" customFormat="false" ht="15" hidden="false" customHeight="true" outlineLevel="0" collapsed="false">
      <c r="A9" s="11" t="s">
        <v>287</v>
      </c>
      <c r="B9" s="11" t="s">
        <v>514</v>
      </c>
      <c r="C9" s="18" t="n">
        <v>1</v>
      </c>
      <c r="D9" s="11" t="s">
        <v>439</v>
      </c>
      <c r="E9" s="12" t="n">
        <f aca="false">IF(C9=0,0,IF(C9=1,2,3))</f>
        <v>2</v>
      </c>
      <c r="F9" s="12" t="str">
        <f aca="false">IF(C9=2,"Met","Not met")</f>
        <v>Not met</v>
      </c>
    </row>
    <row r="10" customFormat="false" ht="15" hidden="false" customHeight="true" outlineLevel="0" collapsed="false">
      <c r="A10" s="11" t="s">
        <v>94</v>
      </c>
      <c r="B10" s="11" t="s">
        <v>515</v>
      </c>
      <c r="C10" s="18" t="n">
        <v>1</v>
      </c>
      <c r="D10" s="11" t="s">
        <v>439</v>
      </c>
      <c r="E10" s="12" t="n">
        <f aca="false">IF(C10=0,0,IF(C10=1,2,3))</f>
        <v>2</v>
      </c>
      <c r="F10" s="12" t="str">
        <f aca="false">IF(C10=2,"Met","Not met")</f>
        <v>Not met</v>
      </c>
    </row>
    <row r="11" customFormat="false" ht="15" hidden="false" customHeight="true" outlineLevel="0" collapsed="false">
      <c r="A11" s="11" t="s">
        <v>516</v>
      </c>
      <c r="B11" s="11" t="s">
        <v>517</v>
      </c>
      <c r="C11" s="18" t="n">
        <v>0</v>
      </c>
      <c r="D11" s="11" t="s">
        <v>439</v>
      </c>
      <c r="E11" s="12" t="n">
        <f aca="false">IF(C11=0,0,IF(C11=1,2,3))</f>
        <v>0</v>
      </c>
      <c r="F11" s="12" t="str">
        <f aca="false">IF(C11=2,"Met","Not met")</f>
        <v>Not met</v>
      </c>
    </row>
    <row r="12" customFormat="false" ht="15" hidden="false" customHeight="true" outlineLevel="0" collapsed="false">
      <c r="A12" s="11" t="s">
        <v>132</v>
      </c>
      <c r="B12" s="11" t="s">
        <v>518</v>
      </c>
      <c r="C12" s="18" t="n">
        <v>1</v>
      </c>
      <c r="D12" s="13" t="s">
        <v>376</v>
      </c>
      <c r="E12" s="12" t="n">
        <f aca="false">IF(C12=0,0,IF(C12=1,2,3))</f>
        <v>2</v>
      </c>
      <c r="F12" s="12" t="str">
        <f aca="false">IF(C12=2,"Met","Not met")</f>
        <v>Not met</v>
      </c>
    </row>
    <row r="13" customFormat="false" ht="15" hidden="false" customHeight="true" outlineLevel="0" collapsed="false">
      <c r="A13" s="11" t="s">
        <v>156</v>
      </c>
      <c r="B13" s="11" t="s">
        <v>519</v>
      </c>
      <c r="C13" s="18" t="n">
        <v>1</v>
      </c>
      <c r="D13" s="13" t="s">
        <v>376</v>
      </c>
      <c r="E13" s="12" t="n">
        <f aca="false">IF(C13=0,0,IF(C13=1,2,3))</f>
        <v>2</v>
      </c>
      <c r="F13" s="12" t="str">
        <f aca="false">IF(C13=2,"Met","Not met")</f>
        <v>Not met</v>
      </c>
    </row>
    <row r="14" customFormat="false" ht="15" hidden="false" customHeight="true" outlineLevel="0" collapsed="false">
      <c r="A14" s="11" t="s">
        <v>121</v>
      </c>
      <c r="B14" s="11" t="s">
        <v>520</v>
      </c>
      <c r="C14" s="18" t="n">
        <v>0</v>
      </c>
      <c r="D14" s="11" t="s">
        <v>439</v>
      </c>
      <c r="E14" s="12" t="n">
        <f aca="false">IF(C14=0,0,IF(C14=1,2,3))</f>
        <v>0</v>
      </c>
      <c r="F14" s="12" t="str">
        <f aca="false">IF(C14=2,"Met","Not met")</f>
        <v>Not met</v>
      </c>
    </row>
    <row r="15" customFormat="false" ht="15" hidden="false" customHeight="true" outlineLevel="0" collapsed="false">
      <c r="A15" s="11" t="s">
        <v>236</v>
      </c>
      <c r="B15" s="11" t="s">
        <v>521</v>
      </c>
      <c r="C15" s="18" t="n">
        <v>0</v>
      </c>
      <c r="D15" s="11" t="s">
        <v>439</v>
      </c>
      <c r="E15" s="12" t="n">
        <f aca="false">IF(C15=0,0,IF(C15=1,2,3))</f>
        <v>0</v>
      </c>
      <c r="F15" s="12" t="str">
        <f aca="false">IF(C15=2,"Met","Not met")</f>
        <v>Not met</v>
      </c>
    </row>
    <row r="16" customFormat="false" ht="15" hidden="false" customHeight="true" outlineLevel="0" collapsed="false">
      <c r="A16" s="11" t="s">
        <v>522</v>
      </c>
      <c r="B16" s="11" t="s">
        <v>523</v>
      </c>
      <c r="C16" s="18" t="n">
        <v>1</v>
      </c>
      <c r="D16" s="11" t="s">
        <v>439</v>
      </c>
      <c r="E16" s="12" t="n">
        <f aca="false">IF(C16=0,0,IF(C16=1,2,3))</f>
        <v>2</v>
      </c>
      <c r="F16" s="12" t="str">
        <f aca="false">IF(C16=2,"Met","Not met")</f>
        <v>Not met</v>
      </c>
    </row>
    <row r="17" customFormat="false" ht="15" hidden="false" customHeight="true" outlineLevel="0" collapsed="false">
      <c r="A17" s="11" t="s">
        <v>89</v>
      </c>
      <c r="B17" s="11" t="s">
        <v>524</v>
      </c>
      <c r="C17" s="18" t="n">
        <v>0</v>
      </c>
      <c r="D17" s="11" t="s">
        <v>439</v>
      </c>
      <c r="E17" s="12" t="n">
        <f aca="false">IF(C17=0,0,IF(C17=1,2,3))</f>
        <v>0</v>
      </c>
      <c r="F17" s="12" t="str">
        <f aca="false">IF(C17=2,"Met","Not met")</f>
        <v>Not met</v>
      </c>
    </row>
    <row r="18" customFormat="false" ht="15" hidden="false" customHeight="true" outlineLevel="0" collapsed="false">
      <c r="A18" s="11" t="s">
        <v>295</v>
      </c>
      <c r="B18" s="11" t="s">
        <v>525</v>
      </c>
      <c r="C18" s="18" t="n">
        <v>1</v>
      </c>
      <c r="D18" s="11" t="s">
        <v>439</v>
      </c>
      <c r="E18" s="12" t="n">
        <f aca="false">IF(C18=0,0,IF(C18=1,2,3))</f>
        <v>2</v>
      </c>
      <c r="F18" s="12" t="str">
        <f aca="false">IF(C18=2,"Met","Not met")</f>
        <v>Not met</v>
      </c>
    </row>
    <row r="19" customFormat="false" ht="15" hidden="false" customHeight="true" outlineLevel="0" collapsed="false">
      <c r="A19" s="11" t="s">
        <v>300</v>
      </c>
      <c r="B19" s="11" t="s">
        <v>526</v>
      </c>
      <c r="C19" s="18" t="n">
        <v>1</v>
      </c>
      <c r="D19" s="11" t="s">
        <v>439</v>
      </c>
      <c r="E19" s="12" t="n">
        <f aca="false">IF(C19=0,0,IF(C19=1,2,3))</f>
        <v>2</v>
      </c>
      <c r="F19" s="12" t="str">
        <f aca="false">IF(C19=2,"Met","Not met")</f>
        <v>Not met</v>
      </c>
    </row>
    <row r="20" customFormat="false" ht="15" hidden="false" customHeight="true" outlineLevel="0" collapsed="false">
      <c r="A20" s="11" t="s">
        <v>318</v>
      </c>
      <c r="B20" s="11" t="s">
        <v>527</v>
      </c>
      <c r="C20" s="18" t="n">
        <v>1</v>
      </c>
      <c r="D20" s="11" t="s">
        <v>439</v>
      </c>
      <c r="E20" s="12" t="n">
        <f aca="false">IF(C20=0,0,IF(C20=1,2,3))</f>
        <v>2</v>
      </c>
      <c r="F20" s="12" t="str">
        <f aca="false">IF(C20=2,"Met","Not met")</f>
        <v>Not met</v>
      </c>
    </row>
    <row r="21" customFormat="false" ht="15" hidden="false" customHeight="true" outlineLevel="0" collapsed="false">
      <c r="A21" s="11" t="s">
        <v>161</v>
      </c>
      <c r="B21" s="11" t="s">
        <v>528</v>
      </c>
      <c r="C21" s="18" t="n">
        <v>1</v>
      </c>
      <c r="D21" s="11" t="s">
        <v>439</v>
      </c>
      <c r="E21" s="12" t="n">
        <f aca="false">IF(C21=0,0,IF(C21=1,2,3))</f>
        <v>2</v>
      </c>
      <c r="F21" s="12" t="str">
        <f aca="false">IF(C21=2,"Met","Not met")</f>
        <v>Not met</v>
      </c>
    </row>
    <row r="22" customFormat="false" ht="15" hidden="false" customHeight="true" outlineLevel="0" collapsed="false">
      <c r="A22" s="11" t="s">
        <v>307</v>
      </c>
      <c r="B22" s="11" t="s">
        <v>529</v>
      </c>
      <c r="C22" s="18" t="n">
        <v>2</v>
      </c>
      <c r="D22" s="11" t="s">
        <v>439</v>
      </c>
      <c r="E22" s="12" t="n">
        <f aca="false">IF(C22=0,0,IF(C22=1,2,3))</f>
        <v>3</v>
      </c>
      <c r="F22" s="12" t="str">
        <f aca="false">IF(C22=2,"Met","Not met")</f>
        <v>Met</v>
      </c>
    </row>
    <row r="23" customFormat="false" ht="15" hidden="false" customHeight="true" outlineLevel="0" collapsed="false">
      <c r="A23" s="11" t="s">
        <v>530</v>
      </c>
      <c r="B23" s="11" t="s">
        <v>531</v>
      </c>
      <c r="C23" s="18" t="n">
        <v>1</v>
      </c>
      <c r="D23" s="11" t="s">
        <v>439</v>
      </c>
      <c r="E23" s="12" t="n">
        <f aca="false">IF(C23=0,0,IF(C23=1,2,3))</f>
        <v>2</v>
      </c>
      <c r="F23" s="12" t="str">
        <f aca="false">IF(C23=2,"Met","Not met")</f>
        <v>Not met</v>
      </c>
    </row>
    <row r="24" customFormat="false" ht="15" hidden="false" customHeight="true" outlineLevel="0" collapsed="false">
      <c r="A24" s="11" t="s">
        <v>101</v>
      </c>
      <c r="B24" s="11" t="s">
        <v>532</v>
      </c>
      <c r="C24" s="18" t="n">
        <v>1</v>
      </c>
      <c r="D24" s="11" t="s">
        <v>439</v>
      </c>
      <c r="E24" s="12" t="n">
        <f aca="false">IF(C24=0,0,IF(C24=1,2,3))</f>
        <v>2</v>
      </c>
      <c r="F24" s="12" t="str">
        <f aca="false">IF(C24=2,"Met","Not met")</f>
        <v>Not met</v>
      </c>
    </row>
    <row r="25" customFormat="false" ht="15" hidden="false" customHeight="true" outlineLevel="0" collapsed="false">
      <c r="A25" s="11" t="s">
        <v>311</v>
      </c>
      <c r="B25" s="11" t="s">
        <v>533</v>
      </c>
      <c r="C25" s="18" t="n">
        <v>0</v>
      </c>
      <c r="D25" s="13" t="s">
        <v>376</v>
      </c>
      <c r="E25" s="12" t="n">
        <f aca="false">IF(C25=0,0,IF(C25=1,2,3))</f>
        <v>0</v>
      </c>
      <c r="F25" s="12" t="str">
        <f aca="false">IF(C25=2,"Met","Not met")</f>
        <v>Not met</v>
      </c>
    </row>
    <row r="26" customFormat="false" ht="15" hidden="false" customHeight="true" outlineLevel="0" collapsed="false">
      <c r="A26" s="11" t="s">
        <v>312</v>
      </c>
      <c r="B26" s="11" t="s">
        <v>534</v>
      </c>
      <c r="C26" s="18" t="n">
        <v>0</v>
      </c>
      <c r="D26" s="13" t="s">
        <v>376</v>
      </c>
      <c r="E26" s="12" t="n">
        <f aca="false">IF(C26=0,0,IF(C26=1,2,3))</f>
        <v>0</v>
      </c>
      <c r="F26" s="12" t="str">
        <f aca="false">IF(C26=2,"Met","Not met")</f>
        <v>Not met</v>
      </c>
    </row>
    <row r="27" customFormat="false" ht="15" hidden="false" customHeight="true" outlineLevel="0" collapsed="false">
      <c r="A27" s="11" t="s">
        <v>291</v>
      </c>
      <c r="B27" s="11" t="s">
        <v>535</v>
      </c>
      <c r="C27" s="18" t="n">
        <v>0</v>
      </c>
      <c r="D27" s="13" t="s">
        <v>376</v>
      </c>
      <c r="E27" s="12" t="n">
        <f aca="false">IF(C27=0,0,IF(C27=1,2,3))</f>
        <v>0</v>
      </c>
      <c r="F27" s="12" t="str">
        <f aca="false">IF(C27=2,"Met","Not met")</f>
        <v>Not met</v>
      </c>
    </row>
    <row r="28" customFormat="false" ht="15" hidden="false" customHeight="true" outlineLevel="0" collapsed="false">
      <c r="A28" s="11" t="s">
        <v>314</v>
      </c>
      <c r="B28" s="11" t="s">
        <v>536</v>
      </c>
      <c r="C28" s="18" t="n">
        <v>0</v>
      </c>
      <c r="D28" s="13" t="s">
        <v>376</v>
      </c>
      <c r="E28" s="12" t="n">
        <f aca="false">IF(C28=0,0,IF(C28=1,2,3))</f>
        <v>0</v>
      </c>
      <c r="F28" s="12" t="str">
        <f aca="false">IF(C28=2,"Met","Not met")</f>
        <v>Not met</v>
      </c>
    </row>
    <row r="29" customFormat="false" ht="15" hidden="false" customHeight="true" outlineLevel="0" collapsed="false">
      <c r="A29" s="11" t="s">
        <v>537</v>
      </c>
      <c r="B29" s="11" t="s">
        <v>538</v>
      </c>
      <c r="C29" s="18" t="n">
        <v>0</v>
      </c>
      <c r="D29" s="13" t="s">
        <v>376</v>
      </c>
      <c r="E29" s="12" t="n">
        <f aca="false">IF(C29=0,0,IF(C29=1,2,3))</f>
        <v>0</v>
      </c>
      <c r="F29" s="12" t="str">
        <f aca="false">IF(C29=2,"Met","Not met")</f>
        <v>Not met</v>
      </c>
    </row>
    <row r="30" customFormat="false" ht="15" hidden="false" customHeight="true" outlineLevel="0" collapsed="false">
      <c r="A30" s="11" t="s">
        <v>539</v>
      </c>
      <c r="B30" s="11" t="s">
        <v>540</v>
      </c>
      <c r="C30" s="18" t="n">
        <v>1</v>
      </c>
      <c r="D30" s="11" t="s">
        <v>439</v>
      </c>
      <c r="E30" s="12" t="n">
        <f aca="false">IF(C30=0,0,IF(C30=1,2,3))</f>
        <v>2</v>
      </c>
      <c r="F30" s="12" t="str">
        <f aca="false">IF(C30=2,"Met","Not met")</f>
        <v>Not met</v>
      </c>
    </row>
    <row r="31" customFormat="false" ht="15" hidden="false" customHeight="true" outlineLevel="0" collapsed="false">
      <c r="A31" s="11" t="s">
        <v>230</v>
      </c>
      <c r="B31" s="11" t="s">
        <v>541</v>
      </c>
      <c r="C31" s="18" t="n">
        <v>0</v>
      </c>
      <c r="D31" s="11" t="s">
        <v>439</v>
      </c>
      <c r="E31" s="12" t="n">
        <f aca="false">IF(C31=0,0,IF(C31=1,2,3))</f>
        <v>0</v>
      </c>
      <c r="F31" s="12" t="str">
        <f aca="false">IF(C31=2,"Met","Not met")</f>
        <v>Not met</v>
      </c>
    </row>
    <row r="32" customFormat="false" ht="15" hidden="false" customHeight="true" outlineLevel="0" collapsed="false">
      <c r="A32" s="16" t="s">
        <v>542</v>
      </c>
      <c r="B32" s="16" t="s">
        <v>543</v>
      </c>
      <c r="C32" s="17" t="n">
        <f aca="false">SUM(C4:C31)</f>
        <v>19</v>
      </c>
      <c r="D32" s="16"/>
      <c r="E32" s="17" t="str">
        <f aca="false">TEXT(SUM(C4:C31)/56,"0.0%")&amp;" clause readiness"</f>
        <v>33.9% clause readiness</v>
      </c>
      <c r="F32"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6"/>
    <col collapsed="false" customWidth="true" hidden="false" outlineLevel="0" max="3" min="3" style="1" width="118"/>
  </cols>
  <sheetData>
    <row r="1" customFormat="false" ht="15" hidden="false" customHeight="true" outlineLevel="0" collapsed="false">
      <c r="A1" s="9" t="s">
        <v>544</v>
      </c>
    </row>
    <row r="3" customFormat="false" ht="42" hidden="false" customHeight="true" outlineLevel="0" collapsed="false">
      <c r="A3" s="10" t="s">
        <v>545</v>
      </c>
      <c r="B3" s="10" t="s">
        <v>546</v>
      </c>
      <c r="C3" s="10" t="s">
        <v>547</v>
      </c>
    </row>
    <row r="4" customFormat="false" ht="21.75" hidden="false" customHeight="true" outlineLevel="0" collapsed="false">
      <c r="A4" s="11" t="s">
        <v>548</v>
      </c>
      <c r="B4" s="15" t="s">
        <v>549</v>
      </c>
      <c r="C4" s="11" t="s">
        <v>550</v>
      </c>
    </row>
    <row r="5" customFormat="false" ht="42.75" hidden="false" customHeight="true" outlineLevel="0" collapsed="false">
      <c r="A5" s="11" t="s">
        <v>551</v>
      </c>
      <c r="B5" s="14" t="s">
        <v>552</v>
      </c>
      <c r="C5" s="11" t="s">
        <v>553</v>
      </c>
    </row>
    <row r="6" customFormat="false" ht="32.25" hidden="false" customHeight="true" outlineLevel="0" collapsed="false">
      <c r="A6" s="11" t="s">
        <v>554</v>
      </c>
      <c r="B6" s="15" t="s">
        <v>555</v>
      </c>
      <c r="C6" s="11" t="s">
        <v>556</v>
      </c>
    </row>
    <row r="7" customFormat="false" ht="42.75" hidden="false" customHeight="true" outlineLevel="0" collapsed="false">
      <c r="A7" s="11" t="s">
        <v>557</v>
      </c>
      <c r="B7" s="13" t="s">
        <v>558</v>
      </c>
      <c r="C7" s="11" t="s">
        <v>559</v>
      </c>
    </row>
    <row r="8" customFormat="false" ht="42.75" hidden="false" customHeight="true" outlineLevel="0" collapsed="false">
      <c r="A8" s="11" t="s">
        <v>560</v>
      </c>
      <c r="B8" s="13" t="s">
        <v>561</v>
      </c>
      <c r="C8" s="11" t="s">
        <v>562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44"/>
    <col collapsed="false" customWidth="true" hidden="false" outlineLevel="0" max="3" min="3" style="1" width="20"/>
    <col collapsed="false" customWidth="true" hidden="false" outlineLevel="0" max="4" min="4" style="1" width="46"/>
  </cols>
  <sheetData>
    <row r="1" customFormat="false" ht="15" hidden="false" customHeight="true" outlineLevel="0" collapsed="false">
      <c r="A1" s="9" t="s">
        <v>563</v>
      </c>
    </row>
    <row r="3" customFormat="false" ht="42" hidden="false" customHeight="true" outlineLevel="0" collapsed="false">
      <c r="A3" s="10" t="s">
        <v>564</v>
      </c>
      <c r="B3" s="10" t="s">
        <v>565</v>
      </c>
      <c r="C3" s="10" t="s">
        <v>566</v>
      </c>
      <c r="D3" s="10" t="s">
        <v>567</v>
      </c>
    </row>
    <row r="4" customFormat="false" ht="15" hidden="false" customHeight="true" outlineLevel="0" collapsed="false">
      <c r="A4" s="11" t="s">
        <v>568</v>
      </c>
      <c r="B4" s="11"/>
      <c r="C4" s="12" t="n">
        <f aca="false">COUNTA(01_TSC_Crosswalk!A4:A41)</f>
        <v>38</v>
      </c>
      <c r="D4" s="11"/>
    </row>
    <row r="5" customFormat="false" ht="15" hidden="false" customHeight="true" outlineLevel="0" collapsed="false">
      <c r="A5" s="11" t="s">
        <v>569</v>
      </c>
      <c r="B5" s="11"/>
      <c r="C5" s="12" t="n">
        <f aca="false">01_TSC_Crosswalk!L42</f>
        <v>41</v>
      </c>
      <c r="D5" s="11"/>
    </row>
    <row r="6" customFormat="false" ht="15" hidden="false" customHeight="true" outlineLevel="0" collapsed="false">
      <c r="A6" s="11" t="s">
        <v>570</v>
      </c>
      <c r="B6" s="11"/>
      <c r="C6" s="19" t="n">
        <f aca="false">C5/(C4*2)</f>
        <v>0.539473684210526</v>
      </c>
      <c r="D6" s="12" t="str">
        <f aca="false">IF(C6&gt;=0.85,"Ready",IF(C6&gt;=0.6,"Ready within 90 days","Not ready"))&amp;" - and see gate override"</f>
        <v>Not ready - and see gate override</v>
      </c>
    </row>
    <row r="7" customFormat="false" ht="15" hidden="false" customHeight="true" outlineLevel="0" collapsed="false">
      <c r="A7" s="11" t="s">
        <v>571</v>
      </c>
      <c r="B7" s="11"/>
      <c r="C7" s="12" t="n">
        <f aca="false">01_TSC_Crosswalk!K42</f>
        <v>41</v>
      </c>
      <c r="D7" s="11"/>
    </row>
    <row r="8" customFormat="false" ht="15" hidden="false" customHeight="true" outlineLevel="0" collapsed="false">
      <c r="A8" s="11" t="s">
        <v>572</v>
      </c>
      <c r="B8" s="11"/>
      <c r="C8" s="19" t="n">
        <f aca="false">C7/(C4*3)</f>
        <v>0.359649122807018</v>
      </c>
      <c r="D8" s="12" t="str">
        <f aca="false">IF(C8&gt;=0.85,"Ready",IF(C8&gt;=0.6,"Ready within 90 days","Not ready"))&amp;" - and zero criteria evidenced"</f>
        <v>Not ready - and zero criteria evidenced</v>
      </c>
    </row>
    <row r="9" customFormat="false" ht="15" hidden="false" customHeight="true" outlineLevel="0" collapsed="false">
      <c r="A9" s="11" t="s">
        <v>573</v>
      </c>
      <c r="B9" s="11"/>
      <c r="C9" s="12" t="n">
        <f aca="false">COUNTIF(01_TSC_Crosswalk!N4:N41,"Adequate")</f>
        <v>8</v>
      </c>
      <c r="D9" s="11"/>
    </row>
    <row r="10" customFormat="false" ht="15" hidden="false" customHeight="true" outlineLevel="0" collapsed="false">
      <c r="A10" s="11" t="s">
        <v>574</v>
      </c>
      <c r="B10" s="11"/>
      <c r="C10" s="12" t="n">
        <f aca="false">COUNTIF(01_TSC_Crosswalk!O4:O41,"Evidenced")</f>
        <v>0</v>
      </c>
      <c r="D10" s="11"/>
    </row>
    <row r="11" customFormat="false" ht="15" hidden="false" customHeight="true" outlineLevel="0" collapsed="false">
      <c r="A11" s="11" t="s">
        <v>575</v>
      </c>
      <c r="B11" s="11"/>
      <c r="C11" s="12" t="n">
        <f aca="false">COUNTIF(01_TSC_Crosswalk!K4:K41,0)</f>
        <v>6</v>
      </c>
      <c r="D11" s="11"/>
    </row>
    <row r="12" customFormat="false" ht="15" hidden="false" customHeight="true" outlineLevel="0" collapsed="false">
      <c r="A12" s="11" t="s">
        <v>576</v>
      </c>
      <c r="B12" s="11"/>
      <c r="C12" s="12" t="n">
        <f aca="false">COUNTIF(01_TSC_Crosswalk!K4:K41,1)</f>
        <v>23</v>
      </c>
      <c r="D12" s="11"/>
    </row>
    <row r="13" customFormat="false" ht="15" hidden="false" customHeight="true" outlineLevel="0" collapsed="false">
      <c r="A13" s="11" t="s">
        <v>577</v>
      </c>
      <c r="B13" s="11"/>
      <c r="C13" s="12" t="n">
        <f aca="false">COUNTIF(01_TSC_Crosswalk!K4:K41,2)</f>
        <v>9</v>
      </c>
      <c r="D13" s="11"/>
    </row>
    <row r="14" customFormat="false" ht="15" hidden="false" customHeight="true" outlineLevel="0" collapsed="false">
      <c r="A14" s="11" t="s">
        <v>578</v>
      </c>
      <c r="B14" s="11"/>
      <c r="C14" s="12" t="n">
        <f aca="false">COUNTIF(01_TSC_Crosswalk!K4:K41,3)</f>
        <v>0</v>
      </c>
      <c r="D14" s="11"/>
    </row>
    <row r="15" customFormat="false" ht="15" hidden="false" customHeight="true" outlineLevel="0" collapsed="false">
      <c r="A15" s="11" t="s">
        <v>579</v>
      </c>
      <c r="B15" s="11"/>
      <c r="C15" s="12" t="n">
        <f aca="false">COUNTIF(07_Gates!E4:E11,"FAIL")</f>
        <v>6</v>
      </c>
      <c r="D15" s="13" t="str">
        <f aca="false">IF(C15&gt;0,"NO-GO - gate override applies","No gate failures")</f>
        <v>NO-GO - gate override applies</v>
      </c>
    </row>
    <row r="17" customFormat="false" ht="21.75" hidden="false" customHeight="true" outlineLevel="0" collapsed="false">
      <c r="A17" s="16" t="s">
        <v>580</v>
      </c>
      <c r="B17" s="16"/>
      <c r="C17" s="20" t="str">
        <f aca="false">IF(AND(C6&gt;=0.85,C15=0),"GO","NO-GO")</f>
        <v>NO-GO</v>
      </c>
      <c r="D17" s="16" t="s">
        <v>581</v>
      </c>
    </row>
    <row r="18" customFormat="false" ht="32.25" hidden="false" customHeight="true" outlineLevel="0" collapsed="false">
      <c r="A18" s="16" t="s">
        <v>582</v>
      </c>
      <c r="B18" s="16"/>
      <c r="C18" s="20" t="str">
        <f aca="false">IF(AND(C8&gt;=0.85,C15=0,C10&gt;0),"GO","NO-GO")</f>
        <v>NO-GO</v>
      </c>
      <c r="D18" s="16" t="s">
        <v>583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52"/>
    <col collapsed="false" customWidth="true" hidden="false" outlineLevel="0" max="3" min="3" style="1" width="20"/>
    <col collapsed="false" customWidth="true" hidden="false" outlineLevel="0" max="4" min="4" style="1" width="62"/>
    <col collapsed="false" customWidth="true" hidden="false" outlineLevel="0" max="5" min="5" style="1" width="11"/>
    <col collapsed="false" customWidth="true" hidden="false" outlineLevel="0" max="6" min="6" style="1" width="54"/>
  </cols>
  <sheetData>
    <row r="1" customFormat="false" ht="15" hidden="false" customHeight="true" outlineLevel="0" collapsed="false">
      <c r="A1" s="9" t="s">
        <v>584</v>
      </c>
    </row>
    <row r="3" customFormat="false" ht="42" hidden="false" customHeight="true" outlineLevel="0" collapsed="false">
      <c r="A3" s="10" t="s">
        <v>59</v>
      </c>
      <c r="B3" s="10" t="s">
        <v>502</v>
      </c>
      <c r="C3" s="10" t="s">
        <v>585</v>
      </c>
      <c r="D3" s="10" t="s">
        <v>586</v>
      </c>
      <c r="E3" s="10" t="s">
        <v>566</v>
      </c>
      <c r="F3" s="10" t="s">
        <v>587</v>
      </c>
    </row>
    <row r="4" customFormat="false" ht="21.75" hidden="false" customHeight="true" outlineLevel="0" collapsed="false">
      <c r="A4" s="11" t="s">
        <v>588</v>
      </c>
      <c r="B4" s="11" t="s">
        <v>589</v>
      </c>
      <c r="C4" s="11" t="s">
        <v>69</v>
      </c>
      <c r="D4" s="11" t="s">
        <v>590</v>
      </c>
      <c r="E4" s="13" t="s">
        <v>591</v>
      </c>
      <c r="F4" s="11" t="s">
        <v>592</v>
      </c>
    </row>
    <row r="5" customFormat="false" ht="21.75" hidden="false" customHeight="true" outlineLevel="0" collapsed="false">
      <c r="A5" s="11" t="s">
        <v>76</v>
      </c>
      <c r="B5" s="11" t="s">
        <v>593</v>
      </c>
      <c r="C5" s="11" t="s">
        <v>70</v>
      </c>
      <c r="D5" s="11" t="s">
        <v>594</v>
      </c>
      <c r="E5" s="13" t="str">
        <f aca="false">IF(AND(VLOOKUP("CC1.2",01_TSC_Crosswalk!$A$4:$N$41,11,FALSE())&gt;=2,VLOOKUP("CC1.2",01_TSC_Crosswalk!$A$4:$N$41,14,FALSE())="Adequate"),"PASS","FAIL")</f>
        <v>FAIL</v>
      </c>
      <c r="F5" s="11" t="s">
        <v>595</v>
      </c>
    </row>
    <row r="6" customFormat="false" ht="21.75" hidden="false" customHeight="true" outlineLevel="0" collapsed="false">
      <c r="A6" s="11" t="s">
        <v>114</v>
      </c>
      <c r="B6" s="11" t="s">
        <v>596</v>
      </c>
      <c r="C6" s="11" t="s">
        <v>108</v>
      </c>
      <c r="D6" s="11" t="s">
        <v>597</v>
      </c>
      <c r="E6" s="13" t="str">
        <f aca="false">IF(AND(VLOOKUP("CC2.3",01_TSC_Crosswalk!$A$4:$N$41,11,FALSE())&gt;=2,VLOOKUP("CC2.3",01_TSC_Crosswalk!$A$4:$N$41,14,FALSE())="Adequate"),"PASS","FAIL")</f>
        <v>FAIL</v>
      </c>
      <c r="F6" s="11" t="s">
        <v>598</v>
      </c>
    </row>
    <row r="7" customFormat="false" ht="15" hidden="false" customHeight="true" outlineLevel="0" collapsed="false">
      <c r="A7" s="11" t="s">
        <v>127</v>
      </c>
      <c r="B7" s="11" t="s">
        <v>599</v>
      </c>
      <c r="C7" s="11" t="s">
        <v>122</v>
      </c>
      <c r="D7" s="11" t="s">
        <v>600</v>
      </c>
      <c r="E7" s="13" t="str">
        <f aca="false">IF(AND(VLOOKUP("CC3.2",01_TSC_Crosswalk!$A$4:$N$41,11,FALSE())&gt;=2,VLOOKUP("CC3.2",01_TSC_Crosswalk!$A$4:$N$41,14,FALSE())="Adequate"),"PASS","FAIL")</f>
        <v>FAIL</v>
      </c>
      <c r="F7" s="11" t="s">
        <v>601</v>
      </c>
    </row>
    <row r="8" customFormat="false" ht="21.75" hidden="false" customHeight="true" outlineLevel="0" collapsed="false">
      <c r="A8" s="11" t="s">
        <v>173</v>
      </c>
      <c r="B8" s="11" t="s">
        <v>602</v>
      </c>
      <c r="C8" s="11" t="s">
        <v>603</v>
      </c>
      <c r="D8" s="11" t="s">
        <v>604</v>
      </c>
      <c r="E8" s="13" t="str">
        <f aca="false">IF(AND(AND(VLOOKUP("CC6.1",01_TSC_Crosswalk!$A$4:$N$41,11,FALSE())&gt;=2,VLOOKUP("CC6.1",01_TSC_Crosswalk!$A$4:$N$41,14,FALSE())="Adequate"),AND(VLOOKUP("CC6.2",01_TSC_Crosswalk!$A$4:$N$41,11,FALSE())&gt;=2,VLOOKUP("CC6.2",01_TSC_Crosswalk!$A$4:$N$41,14,FALSE())="Adequate"),AND(VLOOKUP("CC6.3",01_TSC_Crosswalk!$A$4:$N$41,11,FALSE())&gt;=2,VLOOKUP("CC6.3",01_TSC_Crosswalk!$A$4:$N$41,14,FALSE())="Adequate")),"PASS","FAIL")</f>
        <v>FAIL</v>
      </c>
      <c r="F8" s="11" t="s">
        <v>605</v>
      </c>
    </row>
    <row r="9" customFormat="false" ht="15" hidden="false" customHeight="true" outlineLevel="0" collapsed="false">
      <c r="A9" s="11" t="s">
        <v>225</v>
      </c>
      <c r="B9" s="11" t="s">
        <v>606</v>
      </c>
      <c r="C9" s="11" t="s">
        <v>221</v>
      </c>
      <c r="D9" s="11" t="s">
        <v>607</v>
      </c>
      <c r="E9" s="15" t="str">
        <f aca="false">IF(AND(VLOOKUP("CC7.4",01_TSC_Crosswalk!$A$4:$N$41,11,FALSE())&gt;=2,VLOOKUP("CC7.4",01_TSC_Crosswalk!$A$4:$N$41,14,FALSE())="Adequate"),"PASS","FAIL")</f>
        <v>PASS</v>
      </c>
      <c r="F9" s="11" t="s">
        <v>608</v>
      </c>
    </row>
    <row r="10" customFormat="false" ht="21.75" hidden="false" customHeight="true" outlineLevel="0" collapsed="false">
      <c r="A10" s="11" t="s">
        <v>238</v>
      </c>
      <c r="B10" s="11" t="s">
        <v>609</v>
      </c>
      <c r="C10" s="11" t="s">
        <v>231</v>
      </c>
      <c r="D10" s="11" t="s">
        <v>610</v>
      </c>
      <c r="E10" s="13" t="str">
        <f aca="false">IF(AND(VLOOKUP("CC8.1",01_TSC_Crosswalk!$A$4:$N$41,11,FALSE())&gt;=2,VLOOKUP("CC8.1",01_TSC_Crosswalk!$A$4:$N$41,14,FALSE())="Adequate"),"PASS","FAIL")</f>
        <v>FAIL</v>
      </c>
      <c r="F10" s="11" t="s">
        <v>611</v>
      </c>
    </row>
    <row r="11" customFormat="false" ht="15" hidden="false" customHeight="true" outlineLevel="0" collapsed="false">
      <c r="A11" s="11" t="s">
        <v>249</v>
      </c>
      <c r="B11" s="11" t="s">
        <v>612</v>
      </c>
      <c r="C11" s="11" t="s">
        <v>245</v>
      </c>
      <c r="D11" s="11" t="s">
        <v>613</v>
      </c>
      <c r="E11" s="15" t="str">
        <f aca="false">IF(AND(VLOOKUP("CC9.2",01_TSC_Crosswalk!$A$4:$N$41,11,FALSE())&gt;=2,VLOOKUP("CC9.2",01_TSC_Crosswalk!$A$4:$N$41,14,FALSE())="Adequate"),"PASS","FAIL")</f>
        <v>PASS</v>
      </c>
      <c r="F11" s="11" t="s">
        <v>614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4" min="3" style="1" width="72"/>
    <col collapsed="false" customWidth="true" hidden="false" outlineLevel="0" max="5" min="5" style="1" width="20"/>
  </cols>
  <sheetData>
    <row r="1" customFormat="false" ht="15" hidden="false" customHeight="true" outlineLevel="0" collapsed="false">
      <c r="A1" s="9" t="s">
        <v>615</v>
      </c>
    </row>
    <row r="3" customFormat="false" ht="42" hidden="false" customHeight="true" outlineLevel="0" collapsed="false">
      <c r="A3" s="10" t="s">
        <v>616</v>
      </c>
      <c r="B3" s="10" t="s">
        <v>617</v>
      </c>
      <c r="C3" s="10" t="s">
        <v>618</v>
      </c>
      <c r="D3" s="10" t="s">
        <v>619</v>
      </c>
      <c r="E3" s="10" t="s">
        <v>620</v>
      </c>
    </row>
    <row r="4" customFormat="false" ht="21.75" hidden="false" customHeight="true" outlineLevel="0" collapsed="false">
      <c r="A4" s="11" t="s">
        <v>621</v>
      </c>
      <c r="B4" s="11" t="s">
        <v>622</v>
      </c>
      <c r="C4" s="11" t="s">
        <v>623</v>
      </c>
      <c r="D4" s="11" t="s">
        <v>624</v>
      </c>
      <c r="E4" s="11" t="s">
        <v>625</v>
      </c>
    </row>
    <row r="5" customFormat="false" ht="21.75" hidden="false" customHeight="true" outlineLevel="0" collapsed="false">
      <c r="A5" s="11" t="s">
        <v>626</v>
      </c>
      <c r="B5" s="11" t="s">
        <v>627</v>
      </c>
      <c r="C5" s="11" t="s">
        <v>628</v>
      </c>
      <c r="D5" s="11" t="s">
        <v>629</v>
      </c>
      <c r="E5" s="11" t="s">
        <v>630</v>
      </c>
    </row>
    <row r="6" customFormat="false" ht="21.75" hidden="false" customHeight="true" outlineLevel="0" collapsed="false">
      <c r="A6" s="11" t="s">
        <v>631</v>
      </c>
      <c r="B6" s="11" t="s">
        <v>632</v>
      </c>
      <c r="C6" s="11" t="s">
        <v>633</v>
      </c>
      <c r="D6" s="11" t="s">
        <v>634</v>
      </c>
      <c r="E6" s="11" t="s">
        <v>625</v>
      </c>
    </row>
    <row r="7" customFormat="false" ht="21.75" hidden="false" customHeight="true" outlineLevel="0" collapsed="false">
      <c r="A7" s="11" t="s">
        <v>635</v>
      </c>
      <c r="B7" s="11" t="s">
        <v>636</v>
      </c>
      <c r="C7" s="11" t="s">
        <v>637</v>
      </c>
      <c r="D7" s="11" t="s">
        <v>638</v>
      </c>
      <c r="E7" s="11" t="s">
        <v>625</v>
      </c>
    </row>
    <row r="8" customFormat="false" ht="21.75" hidden="false" customHeight="true" outlineLevel="0" collapsed="false">
      <c r="A8" s="11" t="s">
        <v>639</v>
      </c>
      <c r="B8" s="11" t="s">
        <v>640</v>
      </c>
      <c r="C8" s="11" t="s">
        <v>641</v>
      </c>
      <c r="D8" s="11" t="s">
        <v>642</v>
      </c>
      <c r="E8" s="11" t="s">
        <v>643</v>
      </c>
    </row>
    <row r="9" customFormat="false" ht="21.75" hidden="false" customHeight="true" outlineLevel="0" collapsed="false">
      <c r="A9" s="11" t="s">
        <v>644</v>
      </c>
      <c r="B9" s="11" t="s">
        <v>645</v>
      </c>
      <c r="C9" s="11" t="s">
        <v>646</v>
      </c>
      <c r="D9" s="11" t="s">
        <v>647</v>
      </c>
      <c r="E9" s="11" t="s">
        <v>648</v>
      </c>
    </row>
    <row r="10" customFormat="false" ht="32.25" hidden="false" customHeight="true" outlineLevel="0" collapsed="false">
      <c r="A10" s="11" t="s">
        <v>649</v>
      </c>
      <c r="B10" s="11" t="s">
        <v>650</v>
      </c>
      <c r="C10" s="11" t="s">
        <v>651</v>
      </c>
      <c r="D10" s="11" t="s">
        <v>652</v>
      </c>
      <c r="E10" s="11" t="s">
        <v>653</v>
      </c>
    </row>
    <row r="11" customFormat="false" ht="21.75" hidden="false" customHeight="true" outlineLevel="0" collapsed="false">
      <c r="A11" s="11" t="s">
        <v>654</v>
      </c>
      <c r="B11" s="11" t="s">
        <v>655</v>
      </c>
      <c r="C11" s="11" t="s">
        <v>656</v>
      </c>
      <c r="D11" s="11" t="s">
        <v>657</v>
      </c>
      <c r="E11" s="11" t="s">
        <v>658</v>
      </c>
    </row>
    <row r="12" customFormat="false" ht="21.75" hidden="false" customHeight="true" outlineLevel="0" collapsed="false">
      <c r="A12" s="11" t="s">
        <v>659</v>
      </c>
      <c r="B12" s="11" t="s">
        <v>660</v>
      </c>
      <c r="C12" s="11" t="s">
        <v>661</v>
      </c>
      <c r="D12" s="11" t="s">
        <v>662</v>
      </c>
      <c r="E12" s="11" t="s">
        <v>272</v>
      </c>
    </row>
    <row r="13" customFormat="false" ht="21.75" hidden="false" customHeight="true" outlineLevel="0" collapsed="false">
      <c r="A13" s="11" t="s">
        <v>663</v>
      </c>
      <c r="B13" s="11" t="s">
        <v>664</v>
      </c>
      <c r="C13" s="11" t="s">
        <v>665</v>
      </c>
      <c r="D13" s="11" t="s">
        <v>666</v>
      </c>
      <c r="E13" s="11" t="s">
        <v>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6"/>
    <col collapsed="false" customWidth="true" hidden="false" outlineLevel="0" max="3" min="3" style="1" width="72"/>
    <col collapsed="false" customWidth="true" hidden="false" outlineLevel="0" max="4" min="4" style="1" width="18"/>
    <col collapsed="false" customWidth="true" hidden="false" outlineLevel="0" max="5" min="5" style="1" width="66"/>
  </cols>
  <sheetData>
    <row r="1" customFormat="false" ht="15" hidden="false" customHeight="true" outlineLevel="0" collapsed="false">
      <c r="A1" s="9" t="s">
        <v>668</v>
      </c>
    </row>
    <row r="3" customFormat="false" ht="42" hidden="false" customHeight="true" outlineLevel="0" collapsed="false">
      <c r="A3" s="10" t="s">
        <v>669</v>
      </c>
      <c r="B3" s="10" t="s">
        <v>670</v>
      </c>
      <c r="C3" s="10" t="s">
        <v>671</v>
      </c>
      <c r="D3" s="10" t="s">
        <v>620</v>
      </c>
      <c r="E3" s="10" t="s">
        <v>672</v>
      </c>
    </row>
    <row r="4" customFormat="false" ht="21.75" hidden="false" customHeight="true" outlineLevel="0" collapsed="false">
      <c r="A4" s="11" t="s">
        <v>673</v>
      </c>
      <c r="B4" s="11" t="s">
        <v>674</v>
      </c>
      <c r="C4" s="11" t="s">
        <v>675</v>
      </c>
      <c r="D4" s="11" t="s">
        <v>676</v>
      </c>
      <c r="E4" s="11" t="s">
        <v>677</v>
      </c>
    </row>
    <row r="5" customFormat="false" ht="15" hidden="false" customHeight="true" outlineLevel="0" collapsed="false">
      <c r="A5" s="11" t="s">
        <v>678</v>
      </c>
      <c r="B5" s="11" t="s">
        <v>674</v>
      </c>
      <c r="C5" s="11" t="s">
        <v>679</v>
      </c>
      <c r="D5" s="11" t="s">
        <v>188</v>
      </c>
      <c r="E5" s="11" t="s">
        <v>680</v>
      </c>
    </row>
    <row r="6" customFormat="false" ht="21.75" hidden="false" customHeight="true" outlineLevel="0" collapsed="false">
      <c r="A6" s="11" t="s">
        <v>681</v>
      </c>
      <c r="B6" s="11" t="s">
        <v>674</v>
      </c>
      <c r="C6" s="11" t="s">
        <v>682</v>
      </c>
      <c r="D6" s="11" t="s">
        <v>683</v>
      </c>
      <c r="E6" s="11" t="s">
        <v>684</v>
      </c>
    </row>
    <row r="7" customFormat="false" ht="21.75" hidden="false" customHeight="true" outlineLevel="0" collapsed="false">
      <c r="A7" s="11" t="s">
        <v>685</v>
      </c>
      <c r="B7" s="11" t="s">
        <v>674</v>
      </c>
      <c r="C7" s="11" t="s">
        <v>686</v>
      </c>
      <c r="D7" s="11" t="s">
        <v>687</v>
      </c>
      <c r="E7" s="11" t="s">
        <v>688</v>
      </c>
    </row>
    <row r="8" customFormat="false" ht="21.75" hidden="false" customHeight="true" outlineLevel="0" collapsed="false">
      <c r="A8" s="11" t="s">
        <v>689</v>
      </c>
      <c r="B8" s="11" t="s">
        <v>674</v>
      </c>
      <c r="C8" s="11" t="s">
        <v>690</v>
      </c>
      <c r="D8" s="11" t="s">
        <v>198</v>
      </c>
      <c r="E8" s="11" t="s">
        <v>691</v>
      </c>
    </row>
    <row r="9" customFormat="false" ht="15" hidden="false" customHeight="true" outlineLevel="0" collapsed="false">
      <c r="A9" s="11" t="s">
        <v>692</v>
      </c>
      <c r="B9" s="11" t="s">
        <v>674</v>
      </c>
      <c r="C9" s="11" t="s">
        <v>693</v>
      </c>
      <c r="D9" s="11" t="s">
        <v>694</v>
      </c>
      <c r="E9" s="11" t="s">
        <v>680</v>
      </c>
    </row>
    <row r="12" customFormat="false" ht="15" hidden="false" customHeight="true" outlineLevel="0" collapsed="false">
      <c r="A12" s="21" t="s">
        <v>695</v>
      </c>
    </row>
    <row r="13" customFormat="false" ht="42.75" hidden="false" customHeight="true" outlineLevel="0" collapsed="false">
      <c r="A13" s="22" t="s">
        <v>696</v>
      </c>
      <c r="B13" s="22" t="s">
        <v>697</v>
      </c>
      <c r="C13" s="22" t="s">
        <v>698</v>
      </c>
      <c r="D13" s="22" t="s">
        <v>699</v>
      </c>
    </row>
    <row r="14" customFormat="false" ht="74.25" hidden="false" customHeight="true" outlineLevel="0" collapsed="false">
      <c r="A14" s="11" t="s">
        <v>700</v>
      </c>
      <c r="B14" s="11" t="s">
        <v>701</v>
      </c>
      <c r="C14" s="13" t="s">
        <v>702</v>
      </c>
      <c r="D14" s="11" t="s">
        <v>703</v>
      </c>
    </row>
    <row r="15" customFormat="false" ht="63.75" hidden="false" customHeight="true" outlineLevel="0" collapsed="false">
      <c r="A15" s="11" t="s">
        <v>704</v>
      </c>
      <c r="B15" s="11" t="s">
        <v>705</v>
      </c>
      <c r="C15" s="13" t="s">
        <v>706</v>
      </c>
      <c r="D15" s="11" t="s">
        <v>707</v>
      </c>
    </row>
    <row r="16" customFormat="false" ht="74.25" hidden="false" customHeight="true" outlineLevel="0" collapsed="false">
      <c r="A16" s="11" t="s">
        <v>708</v>
      </c>
      <c r="B16" s="11" t="s">
        <v>709</v>
      </c>
      <c r="C16" s="13" t="s">
        <v>710</v>
      </c>
      <c r="D16" s="11" t="s">
        <v>711</v>
      </c>
    </row>
    <row r="17" customFormat="false" ht="74.25" hidden="false" customHeight="true" outlineLevel="0" collapsed="false">
      <c r="A17" s="11" t="s">
        <v>712</v>
      </c>
      <c r="B17" s="11" t="s">
        <v>713</v>
      </c>
      <c r="C17" s="13" t="s">
        <v>714</v>
      </c>
      <c r="D17" s="11" t="s">
        <v>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52"/>
    <col collapsed="false" customWidth="true" hidden="false" outlineLevel="0" max="4" min="4" style="1" width="20"/>
    <col collapsed="false" customWidth="true" hidden="false" outlineLevel="0" max="5" min="5" style="1" width="86"/>
  </cols>
  <sheetData>
    <row r="1" customFormat="false" ht="15" hidden="false" customHeight="true" outlineLevel="0" collapsed="false">
      <c r="A1" s="9" t="s">
        <v>716</v>
      </c>
    </row>
    <row r="3" customFormat="false" ht="42" hidden="false" customHeight="true" outlineLevel="0" collapsed="false">
      <c r="A3" s="10" t="s">
        <v>717</v>
      </c>
      <c r="B3" s="10" t="s">
        <v>718</v>
      </c>
      <c r="C3" s="10" t="s">
        <v>367</v>
      </c>
      <c r="D3" s="10" t="s">
        <v>719</v>
      </c>
      <c r="E3" s="10" t="s">
        <v>720</v>
      </c>
    </row>
    <row r="4" customFormat="false" ht="15" hidden="false" customHeight="true" outlineLevel="0" collapsed="false">
      <c r="A4" s="14" t="s">
        <v>721</v>
      </c>
      <c r="B4" s="11" t="s">
        <v>384</v>
      </c>
      <c r="C4" s="11" t="s">
        <v>385</v>
      </c>
      <c r="D4" s="11" t="n">
        <v>0</v>
      </c>
      <c r="E4" s="11" t="s">
        <v>722</v>
      </c>
    </row>
    <row r="5" customFormat="false" ht="15" hidden="false" customHeight="true" outlineLevel="0" collapsed="false">
      <c r="A5" s="14" t="s">
        <v>721</v>
      </c>
      <c r="B5" s="11" t="s">
        <v>413</v>
      </c>
      <c r="C5" s="11" t="s">
        <v>414</v>
      </c>
      <c r="D5" s="11" t="n">
        <v>1</v>
      </c>
      <c r="E5" s="11" t="s">
        <v>722</v>
      </c>
    </row>
    <row r="6" customFormat="false" ht="15" hidden="false" customHeight="true" outlineLevel="0" collapsed="false">
      <c r="A6" s="14" t="s">
        <v>721</v>
      </c>
      <c r="B6" s="11" t="s">
        <v>415</v>
      </c>
      <c r="C6" s="11" t="s">
        <v>416</v>
      </c>
      <c r="D6" s="11" t="n">
        <v>0</v>
      </c>
      <c r="E6" s="11" t="s">
        <v>722</v>
      </c>
    </row>
    <row r="7" customFormat="false" ht="15" hidden="false" customHeight="true" outlineLevel="0" collapsed="false">
      <c r="A7" s="14" t="s">
        <v>721</v>
      </c>
      <c r="B7" s="11" t="s">
        <v>430</v>
      </c>
      <c r="C7" s="11" t="s">
        <v>431</v>
      </c>
      <c r="D7" s="11" t="n">
        <v>2</v>
      </c>
      <c r="E7" s="11" t="s">
        <v>722</v>
      </c>
    </row>
    <row r="8" customFormat="false" ht="15" hidden="false" customHeight="true" outlineLevel="0" collapsed="false">
      <c r="A8" s="14" t="s">
        <v>721</v>
      </c>
      <c r="B8" s="11" t="s">
        <v>446</v>
      </c>
      <c r="C8" s="11" t="s">
        <v>447</v>
      </c>
      <c r="D8" s="11" t="n">
        <v>2</v>
      </c>
      <c r="E8" s="11" t="s">
        <v>722</v>
      </c>
    </row>
    <row r="9" customFormat="false" ht="15" hidden="false" customHeight="true" outlineLevel="0" collapsed="false">
      <c r="A9" s="14" t="s">
        <v>721</v>
      </c>
      <c r="B9" s="11" t="s">
        <v>448</v>
      </c>
      <c r="C9" s="11" t="s">
        <v>449</v>
      </c>
      <c r="D9" s="11" t="n">
        <v>0</v>
      </c>
      <c r="E9" s="11" t="s">
        <v>722</v>
      </c>
    </row>
    <row r="10" customFormat="false" ht="15" hidden="false" customHeight="true" outlineLevel="0" collapsed="false">
      <c r="A10" s="14" t="s">
        <v>721</v>
      </c>
      <c r="B10" s="11" t="s">
        <v>450</v>
      </c>
      <c r="C10" s="11" t="s">
        <v>451</v>
      </c>
      <c r="D10" s="11" t="n">
        <v>1</v>
      </c>
      <c r="E10" s="11" t="s">
        <v>722</v>
      </c>
    </row>
    <row r="11" customFormat="false" ht="15" hidden="false" customHeight="true" outlineLevel="0" collapsed="false">
      <c r="A11" s="14" t="s">
        <v>721</v>
      </c>
      <c r="B11" s="11" t="s">
        <v>457</v>
      </c>
      <c r="C11" s="11" t="s">
        <v>458</v>
      </c>
      <c r="D11" s="11" t="n">
        <v>0</v>
      </c>
      <c r="E11" s="11" t="s">
        <v>722</v>
      </c>
    </row>
    <row r="12" customFormat="false" ht="15" hidden="false" customHeight="true" outlineLevel="0" collapsed="false">
      <c r="A12" s="14" t="s">
        <v>721</v>
      </c>
      <c r="B12" s="11" t="s">
        <v>460</v>
      </c>
      <c r="C12" s="11" t="s">
        <v>461</v>
      </c>
      <c r="D12" s="11" t="n">
        <v>1</v>
      </c>
      <c r="E12" s="11" t="s">
        <v>722</v>
      </c>
    </row>
    <row r="13" customFormat="false" ht="15" hidden="false" customHeight="true" outlineLevel="0" collapsed="false">
      <c r="A13" s="14" t="s">
        <v>721</v>
      </c>
      <c r="B13" s="11" t="s">
        <v>489</v>
      </c>
      <c r="C13" s="11" t="s">
        <v>490</v>
      </c>
      <c r="D13" s="11" t="n">
        <v>0</v>
      </c>
      <c r="E13" s="11" t="s">
        <v>722</v>
      </c>
    </row>
    <row r="14" customFormat="false" ht="15" hidden="false" customHeight="true" outlineLevel="0" collapsed="false">
      <c r="A14" s="14" t="s">
        <v>721</v>
      </c>
      <c r="B14" s="11" t="s">
        <v>498</v>
      </c>
      <c r="C14" s="11" t="s">
        <v>499</v>
      </c>
      <c r="D14" s="11" t="n">
        <v>0</v>
      </c>
      <c r="E14" s="11" t="s">
        <v>722</v>
      </c>
    </row>
    <row r="15" customFormat="false" ht="15" hidden="false" customHeight="true" outlineLevel="0" collapsed="false">
      <c r="A15" s="14" t="s">
        <v>723</v>
      </c>
      <c r="B15" s="11" t="s">
        <v>509</v>
      </c>
      <c r="C15" s="11" t="s">
        <v>510</v>
      </c>
      <c r="D15" s="11" t="n">
        <v>1</v>
      </c>
      <c r="E15" s="11" t="s">
        <v>724</v>
      </c>
    </row>
    <row r="16" customFormat="false" ht="15" hidden="false" customHeight="true" outlineLevel="0" collapsed="false">
      <c r="A16" s="14" t="s">
        <v>723</v>
      </c>
      <c r="B16" s="11" t="s">
        <v>511</v>
      </c>
      <c r="C16" s="11" t="s">
        <v>512</v>
      </c>
      <c r="D16" s="11" t="n">
        <v>1</v>
      </c>
      <c r="E16" s="11" t="s">
        <v>724</v>
      </c>
    </row>
    <row r="17" customFormat="false" ht="15" hidden="false" customHeight="true" outlineLevel="0" collapsed="false">
      <c r="A17" s="14" t="s">
        <v>723</v>
      </c>
      <c r="B17" s="11" t="s">
        <v>516</v>
      </c>
      <c r="C17" s="11" t="s">
        <v>517</v>
      </c>
      <c r="D17" s="11" t="n">
        <v>0</v>
      </c>
      <c r="E17" s="11" t="s">
        <v>724</v>
      </c>
    </row>
    <row r="18" customFormat="false" ht="15" hidden="false" customHeight="true" outlineLevel="0" collapsed="false">
      <c r="A18" s="14" t="s">
        <v>723</v>
      </c>
      <c r="B18" s="11" t="s">
        <v>522</v>
      </c>
      <c r="C18" s="11" t="s">
        <v>523</v>
      </c>
      <c r="D18" s="11" t="n">
        <v>1</v>
      </c>
      <c r="E18" s="11" t="s">
        <v>724</v>
      </c>
    </row>
    <row r="19" customFormat="false" ht="15" hidden="false" customHeight="true" outlineLevel="0" collapsed="false">
      <c r="A19" s="14" t="s">
        <v>723</v>
      </c>
      <c r="B19" s="11" t="s">
        <v>530</v>
      </c>
      <c r="C19" s="11" t="s">
        <v>531</v>
      </c>
      <c r="D19" s="11" t="n">
        <v>1</v>
      </c>
      <c r="E19" s="11" t="s">
        <v>724</v>
      </c>
    </row>
    <row r="20" customFormat="false" ht="15" hidden="false" customHeight="true" outlineLevel="0" collapsed="false">
      <c r="A20" s="14" t="s">
        <v>723</v>
      </c>
      <c r="B20" s="11" t="s">
        <v>537</v>
      </c>
      <c r="C20" s="11" t="s">
        <v>538</v>
      </c>
      <c r="D20" s="11" t="n">
        <v>0</v>
      </c>
      <c r="E20" s="11" t="s">
        <v>724</v>
      </c>
    </row>
    <row r="21" customFormat="false" ht="15" hidden="false" customHeight="true" outlineLevel="0" collapsed="false">
      <c r="A21" s="14" t="s">
        <v>723</v>
      </c>
      <c r="B21" s="11" t="s">
        <v>539</v>
      </c>
      <c r="C21" s="11" t="s">
        <v>540</v>
      </c>
      <c r="D21" s="11" t="n">
        <v>1</v>
      </c>
      <c r="E21" s="11" t="s">
        <v>724</v>
      </c>
    </row>
    <row r="22" customFormat="false" ht="21.75" hidden="false" customHeight="true" outlineLevel="0" collapsed="false">
      <c r="A22" s="13" t="s">
        <v>725</v>
      </c>
      <c r="B22" s="11" t="s">
        <v>70</v>
      </c>
      <c r="C22" s="11" t="s">
        <v>726</v>
      </c>
      <c r="D22" s="11" t="s">
        <v>69</v>
      </c>
      <c r="E22" s="11" t="s">
        <v>727</v>
      </c>
    </row>
    <row r="23" customFormat="false" ht="15" hidden="false" customHeight="true" outlineLevel="0" collapsed="false">
      <c r="A23" s="13" t="s">
        <v>725</v>
      </c>
      <c r="B23" s="11" t="s">
        <v>728</v>
      </c>
      <c r="C23" s="11" t="s">
        <v>729</v>
      </c>
      <c r="D23" s="11" t="s">
        <v>69</v>
      </c>
      <c r="E23" s="11" t="s">
        <v>730</v>
      </c>
    </row>
    <row r="24" customFormat="false" ht="15" hidden="false" customHeight="true" outlineLevel="0" collapsed="false">
      <c r="A24" s="13" t="s">
        <v>725</v>
      </c>
      <c r="B24" s="11" t="s">
        <v>128</v>
      </c>
      <c r="C24" s="11" t="s">
        <v>731</v>
      </c>
      <c r="D24" s="11" t="s">
        <v>69</v>
      </c>
      <c r="E24" s="11" t="s">
        <v>732</v>
      </c>
    </row>
    <row r="25" customFormat="false" ht="15" hidden="false" customHeight="true" outlineLevel="0" collapsed="false">
      <c r="A25" s="13" t="s">
        <v>725</v>
      </c>
      <c r="B25" s="11" t="s">
        <v>733</v>
      </c>
      <c r="C25" s="11" t="s">
        <v>734</v>
      </c>
      <c r="D25" s="11" t="s">
        <v>69</v>
      </c>
      <c r="E25" s="11" t="s">
        <v>735</v>
      </c>
    </row>
    <row r="26" customFormat="false" ht="21.75" hidden="false" customHeight="true" outlineLevel="0" collapsed="false">
      <c r="A26" s="13" t="s">
        <v>725</v>
      </c>
      <c r="B26" s="11" t="s">
        <v>736</v>
      </c>
      <c r="C26" s="11" t="s">
        <v>737</v>
      </c>
      <c r="D26" s="11" t="s">
        <v>69</v>
      </c>
      <c r="E26" s="11" t="s">
        <v>738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4"/>
    <col collapsed="false" customWidth="true" hidden="false" outlineLevel="0" max="3" min="3" style="1" width="52"/>
    <col collapsed="false" customWidth="true" hidden="false" outlineLevel="0" max="4" min="4" style="1" width="60"/>
    <col collapsed="false" customWidth="true" hidden="false" outlineLevel="0" max="5" min="5" style="1" width="52"/>
    <col collapsed="false" customWidth="true" hidden="false" outlineLevel="0" max="6" min="6" style="1" width="60"/>
    <col collapsed="false" customWidth="true" hidden="false" outlineLevel="0" max="8" min="7" style="1" width="34"/>
    <col collapsed="false" customWidth="true" hidden="false" outlineLevel="0" max="9" min="9" style="1" width="86"/>
    <col collapsed="false" customWidth="true" hidden="false" outlineLevel="0" max="10" min="10" style="1" width="72"/>
    <col collapsed="false" customWidth="true" hidden="false" outlineLevel="0" max="12" min="11" style="1" width="60"/>
    <col collapsed="false" customWidth="true" hidden="false" outlineLevel="0" max="13" min="13" style="1" width="80"/>
    <col collapsed="false" customWidth="true" hidden="false" outlineLevel="0" max="14" min="14" style="1" width="18"/>
    <col collapsed="false" customWidth="true" hidden="false" outlineLevel="0" max="15" min="15" style="1" width="11"/>
    <col collapsed="false" customWidth="true" hidden="false" outlineLevel="0" max="16" min="16" style="1" width="12"/>
    <col collapsed="false" customWidth="true" hidden="false" outlineLevel="0" max="17" min="17" style="1" width="42"/>
  </cols>
  <sheetData>
    <row r="1" customFormat="false" ht="15" hidden="false" customHeight="true" outlineLevel="0" collapsed="false">
      <c r="A1" s="9" t="s">
        <v>739</v>
      </c>
    </row>
    <row r="3" customFormat="false" ht="42" hidden="false" customHeight="true" outlineLevel="0" collapsed="false">
      <c r="A3" s="10" t="s">
        <v>740</v>
      </c>
      <c r="B3" s="10" t="s">
        <v>617</v>
      </c>
      <c r="C3" s="10" t="s">
        <v>741</v>
      </c>
      <c r="D3" s="10" t="s">
        <v>742</v>
      </c>
      <c r="E3" s="10" t="s">
        <v>743</v>
      </c>
      <c r="F3" s="10" t="s">
        <v>744</v>
      </c>
      <c r="G3" s="10" t="s">
        <v>745</v>
      </c>
      <c r="H3" s="10" t="s">
        <v>746</v>
      </c>
      <c r="I3" s="10" t="s">
        <v>747</v>
      </c>
      <c r="J3" s="10" t="s">
        <v>748</v>
      </c>
      <c r="K3" s="10" t="s">
        <v>749</v>
      </c>
      <c r="L3" s="10" t="s">
        <v>750</v>
      </c>
      <c r="M3" s="10" t="s">
        <v>751</v>
      </c>
      <c r="N3" s="10" t="s">
        <v>752</v>
      </c>
      <c r="O3" s="10" t="s">
        <v>10</v>
      </c>
      <c r="P3" s="10" t="s">
        <v>14</v>
      </c>
      <c r="Q3" s="10" t="s">
        <v>753</v>
      </c>
    </row>
    <row r="4" customFormat="false" ht="32.25" hidden="false" customHeight="true" outlineLevel="0" collapsed="false">
      <c r="A4" s="11" t="s">
        <v>754</v>
      </c>
      <c r="B4" s="11" t="s">
        <v>755</v>
      </c>
      <c r="C4" s="11" t="s">
        <v>756</v>
      </c>
      <c r="D4" s="11" t="s">
        <v>757</v>
      </c>
      <c r="E4" s="11" t="s">
        <v>758</v>
      </c>
      <c r="F4" s="11" t="s">
        <v>759</v>
      </c>
      <c r="G4" s="11" t="s">
        <v>760</v>
      </c>
      <c r="H4" s="11" t="s">
        <v>761</v>
      </c>
      <c r="I4" s="11" t="s">
        <v>762</v>
      </c>
      <c r="J4" s="11" t="s">
        <v>763</v>
      </c>
      <c r="K4" s="13" t="s">
        <v>764</v>
      </c>
      <c r="L4" s="13" t="s">
        <v>765</v>
      </c>
      <c r="M4" s="11" t="s">
        <v>766</v>
      </c>
      <c r="N4" s="11" t="s">
        <v>767</v>
      </c>
      <c r="O4" s="11" t="s">
        <v>768</v>
      </c>
      <c r="P4" s="11" t="s">
        <v>769</v>
      </c>
      <c r="Q4" s="11" t="s">
        <v>770</v>
      </c>
    </row>
    <row r="5" customFormat="false" ht="32.25" hidden="false" customHeight="true" outlineLevel="0" collapsed="false">
      <c r="A5" s="11" t="s">
        <v>771</v>
      </c>
      <c r="B5" s="11" t="s">
        <v>772</v>
      </c>
      <c r="C5" s="11" t="s">
        <v>773</v>
      </c>
      <c r="D5" s="11" t="s">
        <v>774</v>
      </c>
      <c r="E5" s="11" t="s">
        <v>775</v>
      </c>
      <c r="F5" s="11" t="s">
        <v>759</v>
      </c>
      <c r="G5" s="11" t="s">
        <v>760</v>
      </c>
      <c r="H5" s="11" t="s">
        <v>776</v>
      </c>
      <c r="I5" s="11" t="s">
        <v>777</v>
      </c>
      <c r="J5" s="11" t="s">
        <v>778</v>
      </c>
      <c r="K5" s="14" t="s">
        <v>779</v>
      </c>
      <c r="L5" s="13" t="s">
        <v>780</v>
      </c>
      <c r="M5" s="11" t="s">
        <v>781</v>
      </c>
      <c r="N5" s="11" t="s">
        <v>782</v>
      </c>
      <c r="O5" s="11" t="s">
        <v>768</v>
      </c>
      <c r="P5" s="11" t="s">
        <v>769</v>
      </c>
      <c r="Q5" s="11" t="s">
        <v>770</v>
      </c>
    </row>
    <row r="6" customFormat="false" ht="32.25" hidden="false" customHeight="true" outlineLevel="0" collapsed="false">
      <c r="A6" s="11" t="s">
        <v>783</v>
      </c>
      <c r="B6" s="11" t="s">
        <v>784</v>
      </c>
      <c r="C6" s="11" t="s">
        <v>785</v>
      </c>
      <c r="D6" s="11" t="s">
        <v>786</v>
      </c>
      <c r="E6" s="11" t="s">
        <v>787</v>
      </c>
      <c r="F6" s="11" t="s">
        <v>788</v>
      </c>
      <c r="G6" s="11" t="s">
        <v>789</v>
      </c>
      <c r="H6" s="11" t="s">
        <v>790</v>
      </c>
      <c r="I6" s="11" t="s">
        <v>791</v>
      </c>
      <c r="J6" s="11" t="s">
        <v>792</v>
      </c>
      <c r="K6" s="13" t="s">
        <v>793</v>
      </c>
      <c r="L6" s="14" t="s">
        <v>794</v>
      </c>
      <c r="M6" s="11" t="s">
        <v>795</v>
      </c>
      <c r="N6" s="11" t="s">
        <v>796</v>
      </c>
      <c r="O6" s="11" t="s">
        <v>768</v>
      </c>
      <c r="P6" s="11" t="s">
        <v>769</v>
      </c>
      <c r="Q6" s="11" t="s">
        <v>770</v>
      </c>
    </row>
    <row r="7" customFormat="false" ht="21.75" hidden="false" customHeight="true" outlineLevel="0" collapsed="false">
      <c r="A7" s="11" t="s">
        <v>797</v>
      </c>
      <c r="B7" s="11" t="s">
        <v>798</v>
      </c>
      <c r="C7" s="11" t="s">
        <v>799</v>
      </c>
      <c r="D7" s="11" t="s">
        <v>800</v>
      </c>
      <c r="E7" s="11" t="s">
        <v>801</v>
      </c>
      <c r="F7" s="11" t="s">
        <v>802</v>
      </c>
      <c r="G7" s="11" t="s">
        <v>803</v>
      </c>
      <c r="H7" s="11" t="s">
        <v>804</v>
      </c>
      <c r="I7" s="11" t="s">
        <v>805</v>
      </c>
      <c r="J7" s="11" t="s">
        <v>806</v>
      </c>
      <c r="K7" s="13" t="s">
        <v>807</v>
      </c>
      <c r="L7" s="13" t="s">
        <v>808</v>
      </c>
      <c r="M7" s="11" t="s">
        <v>809</v>
      </c>
      <c r="N7" s="11" t="s">
        <v>810</v>
      </c>
      <c r="O7" s="11" t="s">
        <v>768</v>
      </c>
      <c r="P7" s="11" t="s">
        <v>769</v>
      </c>
      <c r="Q7" s="11" t="s">
        <v>770</v>
      </c>
    </row>
    <row r="8" customFormat="false" ht="32.25" hidden="false" customHeight="true" outlineLevel="0" collapsed="false">
      <c r="A8" s="11" t="s">
        <v>811</v>
      </c>
      <c r="B8" s="11" t="s">
        <v>812</v>
      </c>
      <c r="C8" s="11" t="s">
        <v>813</v>
      </c>
      <c r="D8" s="11" t="s">
        <v>814</v>
      </c>
      <c r="E8" s="11" t="s">
        <v>815</v>
      </c>
      <c r="F8" s="11" t="s">
        <v>816</v>
      </c>
      <c r="G8" s="11" t="s">
        <v>817</v>
      </c>
      <c r="H8" s="11" t="s">
        <v>818</v>
      </c>
      <c r="I8" s="11" t="s">
        <v>819</v>
      </c>
      <c r="J8" s="11" t="s">
        <v>820</v>
      </c>
      <c r="K8" s="14" t="s">
        <v>821</v>
      </c>
      <c r="L8" s="13" t="s">
        <v>822</v>
      </c>
      <c r="M8" s="11" t="s">
        <v>823</v>
      </c>
      <c r="N8" s="11" t="s">
        <v>824</v>
      </c>
      <c r="O8" s="11" t="s">
        <v>768</v>
      </c>
      <c r="P8" s="11" t="s">
        <v>769</v>
      </c>
      <c r="Q8" s="11" t="s">
        <v>770</v>
      </c>
    </row>
    <row r="9" customFormat="false" ht="32.25" hidden="false" customHeight="true" outlineLevel="0" collapsed="false">
      <c r="A9" s="11" t="s">
        <v>825</v>
      </c>
      <c r="B9" s="11" t="s">
        <v>826</v>
      </c>
      <c r="C9" s="11" t="s">
        <v>827</v>
      </c>
      <c r="D9" s="11" t="s">
        <v>828</v>
      </c>
      <c r="E9" s="11" t="s">
        <v>829</v>
      </c>
      <c r="F9" s="11" t="s">
        <v>830</v>
      </c>
      <c r="G9" s="11" t="s">
        <v>831</v>
      </c>
      <c r="H9" s="11" t="s">
        <v>832</v>
      </c>
      <c r="I9" s="11" t="s">
        <v>833</v>
      </c>
      <c r="J9" s="11" t="s">
        <v>834</v>
      </c>
      <c r="K9" s="15" t="s">
        <v>835</v>
      </c>
      <c r="L9" s="13" t="s">
        <v>836</v>
      </c>
      <c r="M9" s="11" t="s">
        <v>837</v>
      </c>
      <c r="N9" s="11" t="s">
        <v>838</v>
      </c>
      <c r="O9" s="11" t="s">
        <v>768</v>
      </c>
      <c r="P9" s="11" t="s">
        <v>769</v>
      </c>
      <c r="Q9" s="11" t="s">
        <v>770</v>
      </c>
    </row>
    <row r="10" customFormat="false" ht="21.75" hidden="false" customHeight="true" outlineLevel="0" collapsed="false">
      <c r="A10" s="11" t="s">
        <v>839</v>
      </c>
      <c r="B10" s="11" t="s">
        <v>840</v>
      </c>
      <c r="C10" s="11" t="s">
        <v>841</v>
      </c>
      <c r="D10" s="11" t="s">
        <v>842</v>
      </c>
      <c r="E10" s="11" t="s">
        <v>843</v>
      </c>
      <c r="F10" s="11" t="s">
        <v>844</v>
      </c>
      <c r="G10" s="11" t="s">
        <v>845</v>
      </c>
      <c r="H10" s="11" t="s">
        <v>846</v>
      </c>
      <c r="I10" s="11" t="s">
        <v>847</v>
      </c>
      <c r="J10" s="11" t="s">
        <v>848</v>
      </c>
      <c r="K10" s="13" t="s">
        <v>849</v>
      </c>
      <c r="L10" s="13" t="s">
        <v>808</v>
      </c>
      <c r="M10" s="11" t="s">
        <v>850</v>
      </c>
      <c r="N10" s="11" t="s">
        <v>851</v>
      </c>
      <c r="O10" s="11" t="s">
        <v>768</v>
      </c>
      <c r="P10" s="11" t="s">
        <v>769</v>
      </c>
      <c r="Q10" s="11" t="s">
        <v>770</v>
      </c>
    </row>
    <row r="11" customFormat="false" ht="21.75" hidden="false" customHeight="true" outlineLevel="0" collapsed="false">
      <c r="A11" s="11" t="s">
        <v>852</v>
      </c>
      <c r="B11" s="11" t="s">
        <v>853</v>
      </c>
      <c r="C11" s="11" t="s">
        <v>854</v>
      </c>
      <c r="D11" s="11" t="s">
        <v>855</v>
      </c>
      <c r="E11" s="11" t="s">
        <v>856</v>
      </c>
      <c r="F11" s="11" t="s">
        <v>857</v>
      </c>
      <c r="G11" s="11" t="s">
        <v>789</v>
      </c>
      <c r="H11" s="11" t="s">
        <v>858</v>
      </c>
      <c r="I11" s="11" t="s">
        <v>859</v>
      </c>
      <c r="J11" s="11" t="s">
        <v>860</v>
      </c>
      <c r="K11" s="13" t="s">
        <v>861</v>
      </c>
      <c r="L11" s="13" t="s">
        <v>765</v>
      </c>
      <c r="M11" s="11" t="s">
        <v>862</v>
      </c>
      <c r="N11" s="11" t="s">
        <v>863</v>
      </c>
      <c r="O11" s="11" t="s">
        <v>768</v>
      </c>
      <c r="P11" s="11" t="s">
        <v>769</v>
      </c>
      <c r="Q11" s="11" t="s">
        <v>770</v>
      </c>
    </row>
    <row r="12" customFormat="false" ht="32.25" hidden="false" customHeight="true" outlineLevel="0" collapsed="false">
      <c r="A12" s="11" t="s">
        <v>864</v>
      </c>
      <c r="B12" s="11" t="s">
        <v>865</v>
      </c>
      <c r="C12" s="11" t="s">
        <v>866</v>
      </c>
      <c r="D12" s="11" t="s">
        <v>867</v>
      </c>
      <c r="E12" s="11" t="s">
        <v>868</v>
      </c>
      <c r="F12" s="11" t="s">
        <v>869</v>
      </c>
      <c r="G12" s="11" t="s">
        <v>870</v>
      </c>
      <c r="H12" s="11" t="s">
        <v>871</v>
      </c>
      <c r="I12" s="11" t="s">
        <v>872</v>
      </c>
      <c r="J12" s="11" t="s">
        <v>873</v>
      </c>
      <c r="K12" s="14" t="s">
        <v>874</v>
      </c>
      <c r="L12" s="13" t="s">
        <v>875</v>
      </c>
      <c r="M12" s="11" t="s">
        <v>876</v>
      </c>
      <c r="N12" s="11" t="s">
        <v>877</v>
      </c>
      <c r="O12" s="11" t="s">
        <v>768</v>
      </c>
      <c r="P12" s="11" t="s">
        <v>769</v>
      </c>
      <c r="Q12" s="11" t="s">
        <v>770</v>
      </c>
    </row>
    <row r="13" customFormat="false" ht="21.75" hidden="false" customHeight="true" outlineLevel="0" collapsed="false">
      <c r="A13" s="11" t="s">
        <v>878</v>
      </c>
      <c r="B13" s="11" t="s">
        <v>879</v>
      </c>
      <c r="C13" s="11" t="s">
        <v>880</v>
      </c>
      <c r="D13" s="11" t="s">
        <v>881</v>
      </c>
      <c r="E13" s="11" t="s">
        <v>882</v>
      </c>
      <c r="F13" s="11" t="s">
        <v>883</v>
      </c>
      <c r="G13" s="11" t="s">
        <v>884</v>
      </c>
      <c r="H13" s="11" t="s">
        <v>885</v>
      </c>
      <c r="I13" s="11" t="s">
        <v>886</v>
      </c>
      <c r="J13" s="11" t="s">
        <v>887</v>
      </c>
      <c r="K13" s="14" t="s">
        <v>888</v>
      </c>
      <c r="L13" s="13" t="s">
        <v>889</v>
      </c>
      <c r="M13" s="11" t="s">
        <v>890</v>
      </c>
      <c r="N13" s="11" t="s">
        <v>891</v>
      </c>
      <c r="O13" s="11" t="s">
        <v>768</v>
      </c>
      <c r="P13" s="11" t="s">
        <v>769</v>
      </c>
      <c r="Q13" s="11" t="s">
        <v>770</v>
      </c>
    </row>
    <row r="14" customFormat="false" ht="32.25" hidden="false" customHeight="true" outlineLevel="0" collapsed="false">
      <c r="A14" s="11" t="s">
        <v>892</v>
      </c>
      <c r="B14" s="11" t="s">
        <v>893</v>
      </c>
      <c r="C14" s="11" t="s">
        <v>894</v>
      </c>
      <c r="D14" s="11" t="s">
        <v>895</v>
      </c>
      <c r="E14" s="11" t="s">
        <v>896</v>
      </c>
      <c r="F14" s="11" t="s">
        <v>897</v>
      </c>
      <c r="G14" s="11" t="s">
        <v>898</v>
      </c>
      <c r="H14" s="11" t="s">
        <v>899</v>
      </c>
      <c r="I14" s="11" t="s">
        <v>900</v>
      </c>
      <c r="J14" s="11" t="s">
        <v>901</v>
      </c>
      <c r="K14" s="15" t="s">
        <v>902</v>
      </c>
      <c r="L14" s="15" t="s">
        <v>903</v>
      </c>
      <c r="M14" s="11" t="s">
        <v>904</v>
      </c>
      <c r="N14" s="11" t="s">
        <v>905</v>
      </c>
      <c r="O14" s="11" t="s">
        <v>768</v>
      </c>
      <c r="P14" s="11" t="s">
        <v>769</v>
      </c>
      <c r="Q14" s="11" t="s">
        <v>770</v>
      </c>
    </row>
    <row r="15" customFormat="false" ht="21.75" hidden="false" customHeight="true" outlineLevel="0" collapsed="false">
      <c r="A15" s="11" t="s">
        <v>906</v>
      </c>
      <c r="B15" s="11" t="s">
        <v>907</v>
      </c>
      <c r="C15" s="11" t="s">
        <v>908</v>
      </c>
      <c r="D15" s="11" t="s">
        <v>909</v>
      </c>
      <c r="E15" s="11" t="s">
        <v>910</v>
      </c>
      <c r="F15" s="11" t="s">
        <v>911</v>
      </c>
      <c r="G15" s="11" t="s">
        <v>912</v>
      </c>
      <c r="H15" s="11" t="s">
        <v>913</v>
      </c>
      <c r="I15" s="11" t="s">
        <v>914</v>
      </c>
      <c r="J15" s="11" t="s">
        <v>915</v>
      </c>
      <c r="K15" s="14" t="s">
        <v>916</v>
      </c>
      <c r="L15" s="13" t="s">
        <v>917</v>
      </c>
      <c r="M15" s="11" t="s">
        <v>918</v>
      </c>
      <c r="N15" s="11" t="s">
        <v>919</v>
      </c>
      <c r="O15" s="11" t="s">
        <v>768</v>
      </c>
      <c r="P15" s="11" t="s">
        <v>769</v>
      </c>
      <c r="Q15" s="11" t="s">
        <v>770</v>
      </c>
    </row>
    <row r="16" customFormat="false" ht="32.25" hidden="false" customHeight="true" outlineLevel="0" collapsed="false">
      <c r="A16" s="11" t="s">
        <v>920</v>
      </c>
      <c r="B16" s="11" t="s">
        <v>921</v>
      </c>
      <c r="C16" s="11" t="s">
        <v>922</v>
      </c>
      <c r="D16" s="11" t="s">
        <v>923</v>
      </c>
      <c r="E16" s="11" t="s">
        <v>924</v>
      </c>
      <c r="F16" s="11" t="s">
        <v>925</v>
      </c>
      <c r="G16" s="11" t="s">
        <v>803</v>
      </c>
      <c r="H16" s="11" t="s">
        <v>926</v>
      </c>
      <c r="I16" s="11" t="s">
        <v>927</v>
      </c>
      <c r="J16" s="11" t="s">
        <v>928</v>
      </c>
      <c r="K16" s="13" t="s">
        <v>929</v>
      </c>
      <c r="L16" s="13" t="s">
        <v>930</v>
      </c>
      <c r="M16" s="11" t="s">
        <v>931</v>
      </c>
      <c r="N16" s="11" t="s">
        <v>932</v>
      </c>
      <c r="O16" s="11" t="s">
        <v>768</v>
      </c>
      <c r="P16" s="11" t="s">
        <v>769</v>
      </c>
      <c r="Q16" s="11" t="s">
        <v>770</v>
      </c>
    </row>
    <row r="17" customFormat="false" ht="21.75" hidden="false" customHeight="true" outlineLevel="0" collapsed="false">
      <c r="A17" s="11" t="s">
        <v>933</v>
      </c>
      <c r="B17" s="11" t="s">
        <v>934</v>
      </c>
      <c r="C17" s="11" t="s">
        <v>935</v>
      </c>
      <c r="D17" s="11" t="s">
        <v>936</v>
      </c>
      <c r="E17" s="11" t="s">
        <v>937</v>
      </c>
      <c r="F17" s="11" t="s">
        <v>938</v>
      </c>
      <c r="G17" s="11" t="s">
        <v>803</v>
      </c>
      <c r="H17" s="11" t="s">
        <v>939</v>
      </c>
      <c r="I17" s="11" t="s">
        <v>940</v>
      </c>
      <c r="J17" s="11" t="s">
        <v>941</v>
      </c>
      <c r="K17" s="13" t="s">
        <v>807</v>
      </c>
      <c r="L17" s="13" t="s">
        <v>808</v>
      </c>
      <c r="M17" s="11" t="s">
        <v>942</v>
      </c>
      <c r="N17" s="11" t="s">
        <v>943</v>
      </c>
      <c r="O17" s="11" t="s">
        <v>768</v>
      </c>
      <c r="P17" s="11" t="s">
        <v>769</v>
      </c>
      <c r="Q17" s="11" t="s">
        <v>770</v>
      </c>
    </row>
    <row r="18" customFormat="false" ht="21.75" hidden="false" customHeight="true" outlineLevel="0" collapsed="false">
      <c r="A18" s="11" t="s">
        <v>944</v>
      </c>
      <c r="B18" s="11" t="s">
        <v>945</v>
      </c>
      <c r="C18" s="11" t="s">
        <v>946</v>
      </c>
      <c r="D18" s="11" t="s">
        <v>947</v>
      </c>
      <c r="E18" s="11" t="s">
        <v>948</v>
      </c>
      <c r="F18" s="11" t="s">
        <v>949</v>
      </c>
      <c r="G18" s="11" t="s">
        <v>950</v>
      </c>
      <c r="H18" s="11" t="s">
        <v>951</v>
      </c>
      <c r="I18" s="11" t="s">
        <v>952</v>
      </c>
      <c r="J18" s="11" t="s">
        <v>953</v>
      </c>
      <c r="K18" s="13" t="s">
        <v>954</v>
      </c>
      <c r="L18" s="13" t="s">
        <v>955</v>
      </c>
      <c r="M18" s="11" t="s">
        <v>956</v>
      </c>
      <c r="N18" s="11" t="s">
        <v>957</v>
      </c>
      <c r="O18" s="11" t="s">
        <v>768</v>
      </c>
      <c r="P18" s="11" t="s">
        <v>769</v>
      </c>
      <c r="Q18" s="11" t="s">
        <v>770</v>
      </c>
    </row>
    <row r="19" customFormat="false" ht="32.25" hidden="false" customHeight="true" outlineLevel="0" collapsed="false">
      <c r="A19" s="11" t="s">
        <v>958</v>
      </c>
      <c r="B19" s="11" t="s">
        <v>959</v>
      </c>
      <c r="C19" s="11" t="s">
        <v>960</v>
      </c>
      <c r="D19" s="11" t="s">
        <v>961</v>
      </c>
      <c r="E19" s="11" t="s">
        <v>962</v>
      </c>
      <c r="F19" s="11" t="s">
        <v>963</v>
      </c>
      <c r="G19" s="11" t="s">
        <v>964</v>
      </c>
      <c r="H19" s="11" t="s">
        <v>965</v>
      </c>
      <c r="I19" s="11" t="s">
        <v>966</v>
      </c>
      <c r="J19" s="11" t="s">
        <v>967</v>
      </c>
      <c r="K19" s="15" t="s">
        <v>968</v>
      </c>
      <c r="L19" s="13" t="s">
        <v>969</v>
      </c>
      <c r="M19" s="11" t="s">
        <v>970</v>
      </c>
      <c r="N19" s="11" t="s">
        <v>971</v>
      </c>
      <c r="O19" s="11" t="s">
        <v>768</v>
      </c>
      <c r="P19" s="11" t="s">
        <v>769</v>
      </c>
      <c r="Q19" s="11" t="s">
        <v>770</v>
      </c>
    </row>
    <row r="20" customFormat="false" ht="32.25" hidden="false" customHeight="true" outlineLevel="0" collapsed="false">
      <c r="A20" s="11" t="s">
        <v>972</v>
      </c>
      <c r="B20" s="11" t="s">
        <v>973</v>
      </c>
      <c r="C20" s="11" t="s">
        <v>974</v>
      </c>
      <c r="D20" s="11" t="s">
        <v>975</v>
      </c>
      <c r="E20" s="11" t="s">
        <v>976</v>
      </c>
      <c r="F20" s="11" t="s">
        <v>977</v>
      </c>
      <c r="G20" s="11" t="s">
        <v>978</v>
      </c>
      <c r="H20" s="11" t="s">
        <v>979</v>
      </c>
      <c r="I20" s="11" t="s">
        <v>980</v>
      </c>
      <c r="J20" s="11" t="s">
        <v>981</v>
      </c>
      <c r="K20" s="14" t="s">
        <v>982</v>
      </c>
      <c r="L20" s="14" t="s">
        <v>983</v>
      </c>
      <c r="M20" s="11" t="s">
        <v>984</v>
      </c>
      <c r="N20" s="11" t="s">
        <v>985</v>
      </c>
      <c r="O20" s="11" t="s">
        <v>768</v>
      </c>
      <c r="P20" s="11" t="s">
        <v>769</v>
      </c>
      <c r="Q20" s="11" t="s">
        <v>770</v>
      </c>
    </row>
    <row r="21" customFormat="false" ht="42.75" hidden="false" customHeight="true" outlineLevel="0" collapsed="false">
      <c r="A21" s="11" t="s">
        <v>986</v>
      </c>
      <c r="B21" s="11" t="s">
        <v>987</v>
      </c>
      <c r="C21" s="11" t="s">
        <v>988</v>
      </c>
      <c r="D21" s="11" t="s">
        <v>989</v>
      </c>
      <c r="E21" s="11" t="s">
        <v>990</v>
      </c>
      <c r="F21" s="11" t="s">
        <v>991</v>
      </c>
      <c r="G21" s="11" t="s">
        <v>992</v>
      </c>
      <c r="H21" s="11" t="s">
        <v>993</v>
      </c>
      <c r="I21" s="11" t="s">
        <v>994</v>
      </c>
      <c r="J21" s="11" t="s">
        <v>995</v>
      </c>
      <c r="K21" s="15" t="s">
        <v>996</v>
      </c>
      <c r="L21" s="13" t="s">
        <v>997</v>
      </c>
      <c r="M21" s="11" t="s">
        <v>998</v>
      </c>
      <c r="N21" s="11" t="s">
        <v>999</v>
      </c>
      <c r="O21" s="11" t="s">
        <v>768</v>
      </c>
      <c r="P21" s="11" t="s">
        <v>769</v>
      </c>
      <c r="Q21" s="11" t="s">
        <v>770</v>
      </c>
    </row>
    <row r="22" customFormat="false" ht="32.25" hidden="false" customHeight="true" outlineLevel="0" collapsed="false">
      <c r="A22" s="11" t="s">
        <v>1000</v>
      </c>
      <c r="B22" s="11" t="s">
        <v>1001</v>
      </c>
      <c r="C22" s="11" t="s">
        <v>1002</v>
      </c>
      <c r="D22" s="11" t="s">
        <v>1003</v>
      </c>
      <c r="E22" s="11" t="s">
        <v>1004</v>
      </c>
      <c r="F22" s="11" t="s">
        <v>1005</v>
      </c>
      <c r="G22" s="11" t="s">
        <v>1006</v>
      </c>
      <c r="H22" s="11" t="s">
        <v>1007</v>
      </c>
      <c r="I22" s="11" t="s">
        <v>1008</v>
      </c>
      <c r="J22" s="11" t="s">
        <v>1009</v>
      </c>
      <c r="K22" s="14" t="s">
        <v>1010</v>
      </c>
      <c r="L22" s="13" t="s">
        <v>1011</v>
      </c>
      <c r="M22" s="11" t="s">
        <v>1012</v>
      </c>
      <c r="N22" s="11" t="s">
        <v>1013</v>
      </c>
      <c r="O22" s="11" t="s">
        <v>768</v>
      </c>
      <c r="P22" s="11" t="s">
        <v>769</v>
      </c>
      <c r="Q22" s="11" t="s">
        <v>770</v>
      </c>
    </row>
    <row r="23" customFormat="false" ht="32.25" hidden="false" customHeight="true" outlineLevel="0" collapsed="false">
      <c r="A23" s="11" t="s">
        <v>1014</v>
      </c>
      <c r="B23" s="11" t="s">
        <v>1015</v>
      </c>
      <c r="C23" s="11" t="s">
        <v>1016</v>
      </c>
      <c r="D23" s="11" t="s">
        <v>1017</v>
      </c>
      <c r="E23" s="11" t="s">
        <v>1018</v>
      </c>
      <c r="F23" s="11" t="s">
        <v>1019</v>
      </c>
      <c r="G23" s="11" t="s">
        <v>1020</v>
      </c>
      <c r="H23" s="11" t="s">
        <v>1021</v>
      </c>
      <c r="I23" s="11" t="s">
        <v>1022</v>
      </c>
      <c r="J23" s="11" t="s">
        <v>1023</v>
      </c>
      <c r="K23" s="15" t="s">
        <v>1024</v>
      </c>
      <c r="L23" s="14" t="s">
        <v>1025</v>
      </c>
      <c r="M23" s="11" t="s">
        <v>1026</v>
      </c>
      <c r="N23" s="11" t="s">
        <v>1027</v>
      </c>
      <c r="O23" s="11" t="s">
        <v>768</v>
      </c>
      <c r="P23" s="11" t="s">
        <v>769</v>
      </c>
      <c r="Q23" s="11" t="s">
        <v>770</v>
      </c>
    </row>
    <row r="24" customFormat="false" ht="32.25" hidden="false" customHeight="true" outlineLevel="0" collapsed="false">
      <c r="A24" s="11" t="s">
        <v>1028</v>
      </c>
      <c r="B24" s="11" t="s">
        <v>1029</v>
      </c>
      <c r="C24" s="11" t="s">
        <v>1030</v>
      </c>
      <c r="D24" s="11" t="s">
        <v>1031</v>
      </c>
      <c r="E24" s="11" t="s">
        <v>1032</v>
      </c>
      <c r="F24" s="11" t="s">
        <v>1033</v>
      </c>
      <c r="G24" s="11" t="s">
        <v>1034</v>
      </c>
      <c r="H24" s="11" t="s">
        <v>1035</v>
      </c>
      <c r="I24" s="11" t="s">
        <v>1036</v>
      </c>
      <c r="J24" s="11" t="s">
        <v>1037</v>
      </c>
      <c r="K24" s="13" t="s">
        <v>1038</v>
      </c>
      <c r="L24" s="14" t="s">
        <v>1039</v>
      </c>
      <c r="M24" s="11" t="s">
        <v>1040</v>
      </c>
      <c r="N24" s="11" t="s">
        <v>1041</v>
      </c>
      <c r="O24" s="11" t="s">
        <v>768</v>
      </c>
      <c r="P24" s="11" t="s">
        <v>769</v>
      </c>
      <c r="Q24" s="11" t="s">
        <v>770</v>
      </c>
    </row>
    <row r="25" customFormat="false" ht="42.75" hidden="false" customHeight="true" outlineLevel="0" collapsed="false">
      <c r="A25" s="11" t="s">
        <v>1042</v>
      </c>
      <c r="B25" s="11" t="s">
        <v>1043</v>
      </c>
      <c r="C25" s="11" t="s">
        <v>1044</v>
      </c>
      <c r="D25" s="11" t="s">
        <v>1045</v>
      </c>
      <c r="E25" s="11" t="s">
        <v>1046</v>
      </c>
      <c r="F25" s="11" t="s">
        <v>1047</v>
      </c>
      <c r="G25" s="11" t="s">
        <v>1048</v>
      </c>
      <c r="H25" s="11" t="s">
        <v>1049</v>
      </c>
      <c r="I25" s="11" t="s">
        <v>1050</v>
      </c>
      <c r="J25" s="11" t="s">
        <v>1051</v>
      </c>
      <c r="K25" s="13" t="s">
        <v>1052</v>
      </c>
      <c r="L25" s="14" t="s">
        <v>1053</v>
      </c>
      <c r="M25" s="11" t="s">
        <v>1054</v>
      </c>
      <c r="N25" s="11" t="s">
        <v>1055</v>
      </c>
      <c r="O25" s="11" t="s">
        <v>768</v>
      </c>
      <c r="P25" s="11" t="s">
        <v>769</v>
      </c>
      <c r="Q25" s="11" t="s">
        <v>770</v>
      </c>
    </row>
    <row r="26" customFormat="false" ht="42.75" hidden="false" customHeight="true" outlineLevel="0" collapsed="false">
      <c r="A26" s="11" t="s">
        <v>1056</v>
      </c>
      <c r="B26" s="11" t="s">
        <v>1057</v>
      </c>
      <c r="C26" s="11" t="s">
        <v>1058</v>
      </c>
      <c r="D26" s="11" t="s">
        <v>1059</v>
      </c>
      <c r="E26" s="11" t="s">
        <v>1060</v>
      </c>
      <c r="F26" s="11" t="s">
        <v>1061</v>
      </c>
      <c r="G26" s="11" t="s">
        <v>1062</v>
      </c>
      <c r="H26" s="11" t="s">
        <v>1063</v>
      </c>
      <c r="I26" s="11" t="s">
        <v>1064</v>
      </c>
      <c r="J26" s="11" t="s">
        <v>1065</v>
      </c>
      <c r="K26" s="13" t="s">
        <v>1066</v>
      </c>
      <c r="L26" s="13" t="s">
        <v>1067</v>
      </c>
      <c r="M26" s="11" t="s">
        <v>1068</v>
      </c>
      <c r="N26" s="11" t="s">
        <v>1069</v>
      </c>
      <c r="O26" s="11" t="s">
        <v>768</v>
      </c>
      <c r="P26" s="11" t="s">
        <v>769</v>
      </c>
      <c r="Q26" s="11" t="s">
        <v>770</v>
      </c>
    </row>
    <row r="27" customFormat="false" ht="32.25" hidden="false" customHeight="true" outlineLevel="0" collapsed="false">
      <c r="A27" s="11" t="s">
        <v>1070</v>
      </c>
      <c r="B27" s="11" t="s">
        <v>1071</v>
      </c>
      <c r="C27" s="11" t="s">
        <v>1072</v>
      </c>
      <c r="D27" s="11" t="s">
        <v>1073</v>
      </c>
      <c r="E27" s="11" t="s">
        <v>1074</v>
      </c>
      <c r="F27" s="11" t="s">
        <v>1075</v>
      </c>
      <c r="G27" s="11" t="s">
        <v>1076</v>
      </c>
      <c r="H27" s="11" t="s">
        <v>1077</v>
      </c>
      <c r="I27" s="11" t="s">
        <v>1078</v>
      </c>
      <c r="J27" s="11" t="s">
        <v>1079</v>
      </c>
      <c r="K27" s="14" t="s">
        <v>1080</v>
      </c>
      <c r="L27" s="13" t="s">
        <v>1081</v>
      </c>
      <c r="M27" s="11" t="s">
        <v>1082</v>
      </c>
      <c r="N27" s="11" t="s">
        <v>1083</v>
      </c>
      <c r="O27" s="11" t="s">
        <v>768</v>
      </c>
      <c r="P27" s="11" t="s">
        <v>769</v>
      </c>
      <c r="Q27" s="11" t="s">
        <v>770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6"/>
    <col collapsed="false" customWidth="true" hidden="false" outlineLevel="0" max="4" min="4" style="1" width="52"/>
    <col collapsed="false" customWidth="true" hidden="false" outlineLevel="0" max="5" min="5" style="1" width="104"/>
    <col collapsed="false" customWidth="true" hidden="false" outlineLevel="0" max="6" min="6" style="1" width="16"/>
    <col collapsed="false" customWidth="true" hidden="false" outlineLevel="0" max="7" min="7" style="1" width="30"/>
    <col collapsed="false" customWidth="true" hidden="false" outlineLevel="0" max="8" min="8" style="1" width="80"/>
    <col collapsed="false" customWidth="true" hidden="false" outlineLevel="0" max="9" min="9" style="1" width="13"/>
    <col collapsed="false" customWidth="true" hidden="false" outlineLevel="0" max="10" min="10" style="1" width="30"/>
  </cols>
  <sheetData>
    <row r="1" customFormat="false" ht="15" hidden="false" customHeight="true" outlineLevel="0" collapsed="false">
      <c r="A1" s="9" t="s">
        <v>1084</v>
      </c>
    </row>
    <row r="3" customFormat="false" ht="42" hidden="false" customHeight="true" outlineLevel="0" collapsed="false">
      <c r="A3" s="10" t="s">
        <v>1085</v>
      </c>
      <c r="B3" s="10" t="s">
        <v>1086</v>
      </c>
      <c r="C3" s="10" t="s">
        <v>1087</v>
      </c>
      <c r="D3" s="10" t="s">
        <v>367</v>
      </c>
      <c r="E3" s="10" t="s">
        <v>587</v>
      </c>
      <c r="F3" s="10" t="s">
        <v>740</v>
      </c>
      <c r="G3" s="10" t="s">
        <v>1088</v>
      </c>
      <c r="H3" s="10" t="s">
        <v>1089</v>
      </c>
      <c r="I3" s="10" t="s">
        <v>1090</v>
      </c>
      <c r="J3" s="10" t="s">
        <v>1091</v>
      </c>
    </row>
    <row r="4" customFormat="false" ht="21.75" hidden="false" customHeight="true" outlineLevel="0" collapsed="false">
      <c r="A4" s="11" t="s">
        <v>1092</v>
      </c>
      <c r="B4" s="13" t="s">
        <v>1093</v>
      </c>
      <c r="C4" s="11" t="s">
        <v>1094</v>
      </c>
      <c r="D4" s="11" t="s">
        <v>1095</v>
      </c>
      <c r="E4" s="11" t="s">
        <v>1096</v>
      </c>
      <c r="F4" s="11" t="s">
        <v>783</v>
      </c>
      <c r="G4" s="11" t="s">
        <v>1097</v>
      </c>
      <c r="H4" s="11" t="s">
        <v>1098</v>
      </c>
      <c r="I4" s="11" t="s">
        <v>377</v>
      </c>
      <c r="J4" s="11" t="s">
        <v>1099</v>
      </c>
    </row>
    <row r="5" customFormat="false" ht="21.75" hidden="false" customHeight="true" outlineLevel="0" collapsed="false">
      <c r="A5" s="11" t="s">
        <v>1100</v>
      </c>
      <c r="B5" s="13" t="s">
        <v>1093</v>
      </c>
      <c r="C5" s="11" t="s">
        <v>1101</v>
      </c>
      <c r="D5" s="11" t="s">
        <v>1102</v>
      </c>
      <c r="E5" s="11" t="s">
        <v>1103</v>
      </c>
      <c r="F5" s="11" t="s">
        <v>811</v>
      </c>
      <c r="G5" s="11" t="s">
        <v>1097</v>
      </c>
      <c r="H5" s="11" t="s">
        <v>1104</v>
      </c>
      <c r="I5" s="11" t="s">
        <v>377</v>
      </c>
      <c r="J5" s="11" t="s">
        <v>1105</v>
      </c>
    </row>
    <row r="6" customFormat="false" ht="21.75" hidden="false" customHeight="true" outlineLevel="0" collapsed="false">
      <c r="A6" s="11" t="s">
        <v>838</v>
      </c>
      <c r="B6" s="13" t="s">
        <v>1093</v>
      </c>
      <c r="C6" s="11" t="s">
        <v>1106</v>
      </c>
      <c r="D6" s="11" t="s">
        <v>1107</v>
      </c>
      <c r="E6" s="11" t="s">
        <v>1108</v>
      </c>
      <c r="F6" s="11" t="s">
        <v>825</v>
      </c>
      <c r="G6" s="11" t="s">
        <v>1097</v>
      </c>
      <c r="H6" s="11" t="s">
        <v>1109</v>
      </c>
      <c r="I6" s="11" t="s">
        <v>1110</v>
      </c>
      <c r="J6" s="11" t="s">
        <v>1111</v>
      </c>
    </row>
    <row r="7" customFormat="false" ht="21.75" hidden="false" customHeight="true" outlineLevel="0" collapsed="false">
      <c r="A7" s="11" t="s">
        <v>851</v>
      </c>
      <c r="B7" s="13" t="s">
        <v>1093</v>
      </c>
      <c r="C7" s="11" t="s">
        <v>1112</v>
      </c>
      <c r="D7" s="11" t="s">
        <v>1113</v>
      </c>
      <c r="E7" s="11" t="s">
        <v>1114</v>
      </c>
      <c r="F7" s="11" t="s">
        <v>839</v>
      </c>
      <c r="G7" s="11" t="s">
        <v>1115</v>
      </c>
      <c r="H7" s="11" t="s">
        <v>1116</v>
      </c>
      <c r="I7" s="11" t="s">
        <v>1110</v>
      </c>
      <c r="J7" s="11" t="s">
        <v>1117</v>
      </c>
    </row>
    <row r="8" customFormat="false" ht="15" hidden="false" customHeight="true" outlineLevel="0" collapsed="false">
      <c r="A8" s="11" t="s">
        <v>1118</v>
      </c>
      <c r="B8" s="13" t="s">
        <v>1093</v>
      </c>
      <c r="C8" s="11" t="s">
        <v>1119</v>
      </c>
      <c r="D8" s="11" t="s">
        <v>1120</v>
      </c>
      <c r="E8" s="11" t="s">
        <v>1121</v>
      </c>
      <c r="F8" s="11" t="s">
        <v>852</v>
      </c>
      <c r="G8" s="11" t="s">
        <v>1122</v>
      </c>
      <c r="H8" s="11" t="s">
        <v>1123</v>
      </c>
      <c r="I8" s="11" t="s">
        <v>380</v>
      </c>
      <c r="J8" s="11" t="s">
        <v>1124</v>
      </c>
    </row>
    <row r="9" customFormat="false" ht="21.75" hidden="false" customHeight="true" outlineLevel="0" collapsed="false">
      <c r="A9" s="11" t="s">
        <v>1125</v>
      </c>
      <c r="B9" s="13" t="s">
        <v>1093</v>
      </c>
      <c r="C9" s="11" t="s">
        <v>1126</v>
      </c>
      <c r="D9" s="11" t="s">
        <v>1127</v>
      </c>
      <c r="E9" s="11" t="s">
        <v>1128</v>
      </c>
      <c r="F9" s="11" t="s">
        <v>920</v>
      </c>
      <c r="G9" s="11" t="s">
        <v>1097</v>
      </c>
      <c r="H9" s="11" t="s">
        <v>1129</v>
      </c>
      <c r="I9" s="11" t="s">
        <v>420</v>
      </c>
      <c r="J9" s="11" t="s">
        <v>1130</v>
      </c>
    </row>
    <row r="10" customFormat="false" ht="21.75" hidden="false" customHeight="true" outlineLevel="0" collapsed="false">
      <c r="A10" s="11" t="s">
        <v>943</v>
      </c>
      <c r="B10" s="13" t="s">
        <v>1093</v>
      </c>
      <c r="C10" s="11" t="s">
        <v>1131</v>
      </c>
      <c r="D10" s="11" t="s">
        <v>1132</v>
      </c>
      <c r="E10" s="11" t="s">
        <v>1133</v>
      </c>
      <c r="F10" s="11" t="s">
        <v>933</v>
      </c>
      <c r="G10" s="11" t="s">
        <v>1097</v>
      </c>
      <c r="H10" s="11" t="s">
        <v>1134</v>
      </c>
      <c r="I10" s="11" t="s">
        <v>386</v>
      </c>
      <c r="J10" s="11" t="s">
        <v>1135</v>
      </c>
    </row>
    <row r="11" customFormat="false" ht="21.75" hidden="false" customHeight="true" outlineLevel="0" collapsed="false">
      <c r="A11" s="11" t="s">
        <v>1136</v>
      </c>
      <c r="B11" s="13" t="s">
        <v>1093</v>
      </c>
      <c r="C11" s="11" t="s">
        <v>1137</v>
      </c>
      <c r="D11" s="11" t="s">
        <v>1138</v>
      </c>
      <c r="E11" s="11" t="s">
        <v>1139</v>
      </c>
      <c r="F11" s="11" t="s">
        <v>944</v>
      </c>
      <c r="G11" s="11" t="s">
        <v>1115</v>
      </c>
      <c r="H11" s="11" t="s">
        <v>1140</v>
      </c>
      <c r="I11" s="11" t="s">
        <v>382</v>
      </c>
      <c r="J11" s="11" t="s">
        <v>1141</v>
      </c>
    </row>
    <row r="12" customFormat="false" ht="32.25" hidden="false" customHeight="true" outlineLevel="0" collapsed="false">
      <c r="A12" s="11" t="s">
        <v>1013</v>
      </c>
      <c r="B12" s="13" t="s">
        <v>1093</v>
      </c>
      <c r="C12" s="11" t="s">
        <v>1142</v>
      </c>
      <c r="D12" s="11" t="s">
        <v>1143</v>
      </c>
      <c r="E12" s="11" t="s">
        <v>1144</v>
      </c>
      <c r="F12" s="11" t="s">
        <v>1000</v>
      </c>
      <c r="G12" s="11" t="s">
        <v>1115</v>
      </c>
      <c r="H12" s="11" t="s">
        <v>1145</v>
      </c>
      <c r="I12" s="11" t="s">
        <v>377</v>
      </c>
      <c r="J12" s="11" t="s">
        <v>1146</v>
      </c>
    </row>
    <row r="13" customFormat="false" ht="21.75" hidden="false" customHeight="true" outlineLevel="0" collapsed="false">
      <c r="A13" s="11" t="s">
        <v>767</v>
      </c>
      <c r="B13" s="14" t="s">
        <v>1147</v>
      </c>
      <c r="C13" s="11" t="s">
        <v>1148</v>
      </c>
      <c r="D13" s="11" t="s">
        <v>1149</v>
      </c>
      <c r="E13" s="11" t="s">
        <v>1150</v>
      </c>
      <c r="F13" s="11" t="s">
        <v>754</v>
      </c>
      <c r="G13" s="11" t="s">
        <v>1097</v>
      </c>
      <c r="H13" s="11" t="s">
        <v>1151</v>
      </c>
      <c r="I13" s="11" t="s">
        <v>377</v>
      </c>
      <c r="J13" s="11" t="s">
        <v>1152</v>
      </c>
    </row>
    <row r="14" customFormat="false" ht="21.75" hidden="false" customHeight="true" outlineLevel="0" collapsed="false">
      <c r="A14" s="11" t="s">
        <v>1153</v>
      </c>
      <c r="B14" s="14" t="s">
        <v>1147</v>
      </c>
      <c r="C14" s="11" t="s">
        <v>1154</v>
      </c>
      <c r="D14" s="11" t="s">
        <v>1155</v>
      </c>
      <c r="E14" s="11" t="s">
        <v>1156</v>
      </c>
      <c r="F14" s="11" t="s">
        <v>771</v>
      </c>
      <c r="G14" s="11" t="s">
        <v>1097</v>
      </c>
      <c r="H14" s="11" t="s">
        <v>1157</v>
      </c>
      <c r="I14" s="11" t="s">
        <v>377</v>
      </c>
      <c r="J14" s="11" t="s">
        <v>1158</v>
      </c>
    </row>
    <row r="15" customFormat="false" ht="15" hidden="false" customHeight="true" outlineLevel="0" collapsed="false">
      <c r="A15" s="11" t="s">
        <v>1159</v>
      </c>
      <c r="B15" s="14" t="s">
        <v>1147</v>
      </c>
      <c r="C15" s="11" t="s">
        <v>1160</v>
      </c>
      <c r="D15" s="11" t="s">
        <v>1161</v>
      </c>
      <c r="E15" s="11" t="s">
        <v>1162</v>
      </c>
      <c r="F15" s="11" t="s">
        <v>1163</v>
      </c>
      <c r="G15" s="11" t="s">
        <v>1097</v>
      </c>
      <c r="H15" s="11" t="s">
        <v>1164</v>
      </c>
      <c r="I15" s="11" t="s">
        <v>377</v>
      </c>
      <c r="J15" s="11" t="s">
        <v>1099</v>
      </c>
    </row>
    <row r="16" customFormat="false" ht="21.75" hidden="false" customHeight="true" outlineLevel="0" collapsed="false">
      <c r="A16" s="11" t="s">
        <v>1165</v>
      </c>
      <c r="B16" s="14" t="s">
        <v>1147</v>
      </c>
      <c r="C16" s="11" t="s">
        <v>1166</v>
      </c>
      <c r="D16" s="11" t="s">
        <v>1167</v>
      </c>
      <c r="E16" s="11" t="s">
        <v>1168</v>
      </c>
      <c r="F16" s="11" t="s">
        <v>783</v>
      </c>
      <c r="G16" s="11" t="s">
        <v>1097</v>
      </c>
      <c r="H16" s="11" t="s">
        <v>1169</v>
      </c>
      <c r="I16" s="11" t="s">
        <v>377</v>
      </c>
      <c r="J16" s="11" t="s">
        <v>1170</v>
      </c>
    </row>
    <row r="17" customFormat="false" ht="21.75" hidden="false" customHeight="true" outlineLevel="0" collapsed="false">
      <c r="A17" s="11" t="s">
        <v>810</v>
      </c>
      <c r="B17" s="14" t="s">
        <v>1147</v>
      </c>
      <c r="C17" s="11" t="s">
        <v>1171</v>
      </c>
      <c r="D17" s="11" t="s">
        <v>1172</v>
      </c>
      <c r="E17" s="11" t="s">
        <v>1173</v>
      </c>
      <c r="F17" s="11" t="s">
        <v>797</v>
      </c>
      <c r="G17" s="11" t="s">
        <v>1115</v>
      </c>
      <c r="H17" s="11" t="s">
        <v>1174</v>
      </c>
      <c r="I17" s="11" t="s">
        <v>382</v>
      </c>
      <c r="J17" s="11" t="s">
        <v>1141</v>
      </c>
    </row>
    <row r="18" customFormat="false" ht="21.75" hidden="false" customHeight="true" outlineLevel="0" collapsed="false">
      <c r="A18" s="11" t="s">
        <v>1175</v>
      </c>
      <c r="B18" s="14" t="s">
        <v>1147</v>
      </c>
      <c r="C18" s="11" t="s">
        <v>1176</v>
      </c>
      <c r="D18" s="11" t="s">
        <v>1177</v>
      </c>
      <c r="E18" s="11" t="s">
        <v>1178</v>
      </c>
      <c r="F18" s="11" t="s">
        <v>1179</v>
      </c>
      <c r="G18" s="11" t="s">
        <v>1122</v>
      </c>
      <c r="H18" s="11" t="s">
        <v>1180</v>
      </c>
      <c r="I18" s="11" t="s">
        <v>380</v>
      </c>
      <c r="J18" s="11" t="s">
        <v>1181</v>
      </c>
    </row>
    <row r="19" customFormat="false" ht="21.75" hidden="false" customHeight="true" outlineLevel="0" collapsed="false">
      <c r="A19" s="11" t="s">
        <v>1182</v>
      </c>
      <c r="B19" s="14" t="s">
        <v>1147</v>
      </c>
      <c r="C19" s="11" t="s">
        <v>1183</v>
      </c>
      <c r="D19" s="11" t="s">
        <v>1184</v>
      </c>
      <c r="E19" s="11" t="s">
        <v>1185</v>
      </c>
      <c r="F19" s="11" t="s">
        <v>878</v>
      </c>
      <c r="G19" s="11" t="s">
        <v>1115</v>
      </c>
      <c r="H19" s="11" t="s">
        <v>1186</v>
      </c>
      <c r="I19" s="11" t="s">
        <v>382</v>
      </c>
      <c r="J19" s="11" t="s">
        <v>1141</v>
      </c>
    </row>
    <row r="20" customFormat="false" ht="21.75" hidden="false" customHeight="true" outlineLevel="0" collapsed="false">
      <c r="A20" s="11" t="s">
        <v>919</v>
      </c>
      <c r="B20" s="14" t="s">
        <v>1147</v>
      </c>
      <c r="C20" s="11" t="s">
        <v>1187</v>
      </c>
      <c r="D20" s="11" t="s">
        <v>1188</v>
      </c>
      <c r="E20" s="11" t="s">
        <v>1189</v>
      </c>
      <c r="F20" s="11" t="s">
        <v>906</v>
      </c>
      <c r="G20" s="11" t="s">
        <v>1115</v>
      </c>
      <c r="H20" s="11" t="s">
        <v>1190</v>
      </c>
      <c r="I20" s="11" t="s">
        <v>380</v>
      </c>
      <c r="J20" s="11" t="s">
        <v>1191</v>
      </c>
    </row>
    <row r="21" customFormat="false" ht="21.75" hidden="false" customHeight="true" outlineLevel="0" collapsed="false">
      <c r="A21" s="11" t="s">
        <v>1192</v>
      </c>
      <c r="B21" s="14" t="s">
        <v>1147</v>
      </c>
      <c r="C21" s="11" t="s">
        <v>1193</v>
      </c>
      <c r="D21" s="11" t="s">
        <v>1194</v>
      </c>
      <c r="E21" s="11" t="s">
        <v>1195</v>
      </c>
      <c r="F21" s="11" t="s">
        <v>1196</v>
      </c>
      <c r="G21" s="11" t="s">
        <v>1115</v>
      </c>
      <c r="H21" s="11" t="s">
        <v>1197</v>
      </c>
      <c r="I21" s="11" t="s">
        <v>382</v>
      </c>
      <c r="J21" s="11" t="s">
        <v>1141</v>
      </c>
    </row>
    <row r="22" customFormat="false" ht="21.75" hidden="false" customHeight="true" outlineLevel="0" collapsed="false">
      <c r="A22" s="11" t="s">
        <v>1198</v>
      </c>
      <c r="B22" s="14" t="s">
        <v>1147</v>
      </c>
      <c r="C22" s="11" t="s">
        <v>1199</v>
      </c>
      <c r="D22" s="11" t="s">
        <v>1200</v>
      </c>
      <c r="E22" s="11" t="s">
        <v>1201</v>
      </c>
      <c r="F22" s="11" t="s">
        <v>878</v>
      </c>
      <c r="G22" s="11" t="s">
        <v>1115</v>
      </c>
      <c r="H22" s="11" t="s">
        <v>1202</v>
      </c>
      <c r="I22" s="11" t="s">
        <v>382</v>
      </c>
      <c r="J22" s="11" t="s">
        <v>1141</v>
      </c>
    </row>
    <row r="23" customFormat="false" ht="32.25" hidden="false" customHeight="true" outlineLevel="0" collapsed="false">
      <c r="A23" s="11" t="s">
        <v>1041</v>
      </c>
      <c r="B23" s="12" t="s">
        <v>1203</v>
      </c>
      <c r="C23" s="11" t="s">
        <v>1204</v>
      </c>
      <c r="D23" s="11" t="s">
        <v>1205</v>
      </c>
      <c r="E23" s="11" t="s">
        <v>1206</v>
      </c>
      <c r="F23" s="11" t="s">
        <v>1028</v>
      </c>
      <c r="G23" s="11" t="s">
        <v>1207</v>
      </c>
      <c r="H23" s="11" t="s">
        <v>1208</v>
      </c>
      <c r="I23" s="11" t="s">
        <v>405</v>
      </c>
      <c r="J23" s="11" t="s">
        <v>1209</v>
      </c>
    </row>
    <row r="24" customFormat="false" ht="32.25" hidden="false" customHeight="true" outlineLevel="0" collapsed="false">
      <c r="A24" s="11" t="s">
        <v>1210</v>
      </c>
      <c r="B24" s="12" t="s">
        <v>1203</v>
      </c>
      <c r="C24" s="11" t="s">
        <v>1211</v>
      </c>
      <c r="D24" s="11" t="s">
        <v>1212</v>
      </c>
      <c r="E24" s="11" t="s">
        <v>1213</v>
      </c>
      <c r="F24" s="11" t="s">
        <v>1042</v>
      </c>
      <c r="G24" s="11" t="s">
        <v>1115</v>
      </c>
      <c r="H24" s="11" t="s">
        <v>1214</v>
      </c>
      <c r="I24" s="11" t="s">
        <v>380</v>
      </c>
      <c r="J24" s="11" t="s">
        <v>1215</v>
      </c>
    </row>
    <row r="25" customFormat="false" ht="21.75" hidden="false" customHeight="true" outlineLevel="0" collapsed="false">
      <c r="A25" s="11" t="s">
        <v>1216</v>
      </c>
      <c r="B25" s="12" t="s">
        <v>1203</v>
      </c>
      <c r="C25" s="11" t="s">
        <v>1217</v>
      </c>
      <c r="D25" s="11" t="s">
        <v>1218</v>
      </c>
      <c r="E25" s="11" t="s">
        <v>1219</v>
      </c>
      <c r="F25" s="11" t="s">
        <v>1056</v>
      </c>
      <c r="G25" s="11" t="s">
        <v>1207</v>
      </c>
      <c r="H25" s="11" t="s">
        <v>1220</v>
      </c>
      <c r="I25" s="11" t="s">
        <v>386</v>
      </c>
      <c r="J25" s="11" t="s">
        <v>1221</v>
      </c>
    </row>
    <row r="26" customFormat="false" ht="21.75" hidden="false" customHeight="true" outlineLevel="0" collapsed="false">
      <c r="A26" s="11" t="s">
        <v>1222</v>
      </c>
      <c r="B26" s="12" t="s">
        <v>1203</v>
      </c>
      <c r="C26" s="11" t="s">
        <v>1223</v>
      </c>
      <c r="D26" s="11" t="s">
        <v>1224</v>
      </c>
      <c r="E26" s="11" t="s">
        <v>1225</v>
      </c>
      <c r="F26" s="11" t="s">
        <v>864</v>
      </c>
      <c r="G26" s="11" t="s">
        <v>1122</v>
      </c>
      <c r="H26" s="11" t="s">
        <v>1226</v>
      </c>
      <c r="I26" s="11" t="s">
        <v>380</v>
      </c>
      <c r="J26" s="11" t="s">
        <v>1227</v>
      </c>
    </row>
    <row r="27" customFormat="false" ht="21.75" hidden="false" customHeight="true" outlineLevel="0" collapsed="false">
      <c r="A27" s="11" t="s">
        <v>1228</v>
      </c>
      <c r="B27" s="12" t="s">
        <v>1203</v>
      </c>
      <c r="C27" s="11" t="s">
        <v>1229</v>
      </c>
      <c r="D27" s="11" t="s">
        <v>1230</v>
      </c>
      <c r="E27" s="11" t="s">
        <v>1231</v>
      </c>
      <c r="F27" s="11" t="s">
        <v>1070</v>
      </c>
      <c r="G27" s="11" t="s">
        <v>1115</v>
      </c>
      <c r="H27" s="11" t="s">
        <v>1232</v>
      </c>
      <c r="I27" s="11" t="s">
        <v>400</v>
      </c>
      <c r="J27" s="11" t="s">
        <v>1233</v>
      </c>
    </row>
    <row r="28" customFormat="false" ht="32.25" hidden="false" customHeight="true" outlineLevel="0" collapsed="false">
      <c r="A28" s="11" t="s">
        <v>1234</v>
      </c>
      <c r="B28" s="12" t="s">
        <v>1203</v>
      </c>
      <c r="C28" s="11" t="s">
        <v>1235</v>
      </c>
      <c r="D28" s="11" t="s">
        <v>1236</v>
      </c>
      <c r="E28" s="11" t="s">
        <v>1237</v>
      </c>
      <c r="F28" s="11" t="s">
        <v>1238</v>
      </c>
      <c r="G28" s="11" t="s">
        <v>1122</v>
      </c>
      <c r="H28" s="11" t="s">
        <v>1239</v>
      </c>
      <c r="I28" s="11" t="s">
        <v>382</v>
      </c>
      <c r="J28" s="11" t="s">
        <v>1240</v>
      </c>
    </row>
    <row r="29" customFormat="false" ht="32.25" hidden="false" customHeight="true" outlineLevel="0" collapsed="false">
      <c r="A29" s="11" t="s">
        <v>1241</v>
      </c>
      <c r="B29" s="12" t="s">
        <v>1203</v>
      </c>
      <c r="C29" s="11" t="s">
        <v>1242</v>
      </c>
      <c r="D29" s="11" t="s">
        <v>1243</v>
      </c>
      <c r="E29" s="11" t="s">
        <v>1244</v>
      </c>
      <c r="F29" s="11" t="s">
        <v>1245</v>
      </c>
      <c r="G29" s="11" t="s">
        <v>1115</v>
      </c>
      <c r="H29" s="11" t="s">
        <v>1246</v>
      </c>
      <c r="I29" s="11" t="s">
        <v>405</v>
      </c>
      <c r="J29" s="11" t="s">
        <v>1247</v>
      </c>
    </row>
    <row r="30" customFormat="false" ht="21.75" hidden="false" customHeight="true" outlineLevel="0" collapsed="false">
      <c r="A30" s="11" t="s">
        <v>1248</v>
      </c>
      <c r="B30" s="12" t="s">
        <v>1203</v>
      </c>
      <c r="C30" s="11" t="s">
        <v>1249</v>
      </c>
      <c r="D30" s="11" t="s">
        <v>1250</v>
      </c>
      <c r="E30" s="11" t="s">
        <v>1251</v>
      </c>
      <c r="F30" s="11" t="s">
        <v>920</v>
      </c>
      <c r="G30" s="11" t="s">
        <v>1097</v>
      </c>
      <c r="H30" s="11" t="s">
        <v>1252</v>
      </c>
      <c r="I30" s="11" t="s">
        <v>380</v>
      </c>
      <c r="J30" s="11" t="s">
        <v>1130</v>
      </c>
    </row>
    <row r="31" customFormat="false" ht="21.75" hidden="false" customHeight="true" outlineLevel="0" collapsed="false">
      <c r="A31" s="11" t="s">
        <v>1253</v>
      </c>
      <c r="B31" s="12" t="s">
        <v>1203</v>
      </c>
      <c r="C31" s="11" t="s">
        <v>1254</v>
      </c>
      <c r="D31" s="11" t="s">
        <v>1255</v>
      </c>
      <c r="E31" s="11" t="s">
        <v>1256</v>
      </c>
      <c r="F31" s="11" t="s">
        <v>986</v>
      </c>
      <c r="G31" s="11" t="s">
        <v>1115</v>
      </c>
      <c r="H31" s="11" t="s">
        <v>1257</v>
      </c>
      <c r="I31" s="11" t="s">
        <v>405</v>
      </c>
      <c r="J31" s="11" t="s">
        <v>1258</v>
      </c>
    </row>
    <row r="32" customFormat="false" ht="21.75" hidden="false" customHeight="true" outlineLevel="0" collapsed="false">
      <c r="A32" s="11" t="s">
        <v>1259</v>
      </c>
      <c r="B32" s="12" t="s">
        <v>1203</v>
      </c>
      <c r="C32" s="11" t="s">
        <v>1260</v>
      </c>
      <c r="D32" s="11" t="s">
        <v>1261</v>
      </c>
      <c r="E32" s="11" t="s">
        <v>1262</v>
      </c>
      <c r="F32" s="11" t="s">
        <v>1070</v>
      </c>
      <c r="G32" s="11" t="s">
        <v>1115</v>
      </c>
      <c r="H32" s="11" t="s">
        <v>1263</v>
      </c>
      <c r="I32" s="11" t="s">
        <v>386</v>
      </c>
      <c r="J32" s="11" t="s">
        <v>1264</v>
      </c>
    </row>
    <row r="33" customFormat="false" ht="32.25" hidden="false" customHeight="true" outlineLevel="0" collapsed="false">
      <c r="A33" s="11" t="s">
        <v>1265</v>
      </c>
      <c r="B33" s="12" t="s">
        <v>1203</v>
      </c>
      <c r="C33" s="11" t="s">
        <v>1266</v>
      </c>
      <c r="D33" s="11" t="s">
        <v>1267</v>
      </c>
      <c r="E33" s="11" t="s">
        <v>1268</v>
      </c>
      <c r="F33" s="11" t="s">
        <v>811</v>
      </c>
      <c r="G33" s="11" t="s">
        <v>1097</v>
      </c>
      <c r="H33" s="11" t="s">
        <v>1269</v>
      </c>
      <c r="I33" s="11" t="s">
        <v>380</v>
      </c>
      <c r="J33" s="11" t="s">
        <v>1270</v>
      </c>
    </row>
    <row r="34" customFormat="false" ht="21.75" hidden="false" customHeight="true" outlineLevel="0" collapsed="false">
      <c r="A34" s="11" t="s">
        <v>1271</v>
      </c>
      <c r="B34" s="12" t="s">
        <v>1203</v>
      </c>
      <c r="C34" s="11" t="s">
        <v>1272</v>
      </c>
      <c r="D34" s="11" t="s">
        <v>1273</v>
      </c>
      <c r="E34" s="11" t="s">
        <v>1274</v>
      </c>
      <c r="F34" s="11" t="s">
        <v>1070</v>
      </c>
      <c r="G34" s="11" t="s">
        <v>1097</v>
      </c>
      <c r="H34" s="11" t="s">
        <v>1275</v>
      </c>
      <c r="I34" s="11" t="s">
        <v>386</v>
      </c>
      <c r="J34" s="11" t="s">
        <v>1276</v>
      </c>
    </row>
    <row r="35" customFormat="false" ht="21.75" hidden="false" customHeight="true" outlineLevel="0" collapsed="false">
      <c r="A35" s="11" t="s">
        <v>905</v>
      </c>
      <c r="B35" s="12" t="s">
        <v>1203</v>
      </c>
      <c r="C35" s="11" t="s">
        <v>1277</v>
      </c>
      <c r="D35" s="11" t="s">
        <v>1278</v>
      </c>
      <c r="E35" s="11" t="s">
        <v>1279</v>
      </c>
      <c r="F35" s="11" t="s">
        <v>892</v>
      </c>
      <c r="G35" s="11" t="s">
        <v>1115</v>
      </c>
      <c r="H35" s="11" t="s">
        <v>1280</v>
      </c>
      <c r="I35" s="11" t="s">
        <v>382</v>
      </c>
      <c r="J35" s="11" t="s">
        <v>1111</v>
      </c>
    </row>
    <row r="36" customFormat="false" ht="21.75" hidden="false" customHeight="true" outlineLevel="0" collapsed="false">
      <c r="A36" s="11" t="s">
        <v>1281</v>
      </c>
      <c r="B36" s="12" t="s">
        <v>1203</v>
      </c>
      <c r="C36" s="11" t="s">
        <v>1282</v>
      </c>
      <c r="D36" s="11" t="s">
        <v>1283</v>
      </c>
      <c r="E36" s="11" t="s">
        <v>1284</v>
      </c>
      <c r="F36" s="11" t="s">
        <v>958</v>
      </c>
      <c r="G36" s="11" t="s">
        <v>1115</v>
      </c>
      <c r="H36" s="11" t="s">
        <v>1285</v>
      </c>
      <c r="I36" s="11" t="s">
        <v>386</v>
      </c>
      <c r="J36" s="11" t="s">
        <v>1286</v>
      </c>
    </row>
    <row r="37" customFormat="false" ht="21.75" hidden="false" customHeight="true" outlineLevel="0" collapsed="false">
      <c r="A37" s="11" t="s">
        <v>1287</v>
      </c>
      <c r="B37" s="12" t="s">
        <v>1203</v>
      </c>
      <c r="C37" s="11" t="s">
        <v>1288</v>
      </c>
      <c r="D37" s="11" t="s">
        <v>1289</v>
      </c>
      <c r="E37" s="11" t="s">
        <v>1290</v>
      </c>
      <c r="F37" s="11" t="s">
        <v>972</v>
      </c>
      <c r="G37" s="11" t="s">
        <v>1207</v>
      </c>
      <c r="H37" s="11" t="s">
        <v>1291</v>
      </c>
      <c r="I37" s="11" t="s">
        <v>382</v>
      </c>
      <c r="J37" s="11" t="s">
        <v>1292</v>
      </c>
    </row>
    <row r="38" customFormat="false" ht="21.75" hidden="false" customHeight="true" outlineLevel="0" collapsed="false">
      <c r="A38" s="11" t="s">
        <v>1027</v>
      </c>
      <c r="B38" s="12" t="s">
        <v>1203</v>
      </c>
      <c r="C38" s="11" t="s">
        <v>1293</v>
      </c>
      <c r="D38" s="11" t="s">
        <v>1294</v>
      </c>
      <c r="E38" s="11" t="s">
        <v>1295</v>
      </c>
      <c r="F38" s="11" t="s">
        <v>1014</v>
      </c>
      <c r="G38" s="11" t="s">
        <v>1115</v>
      </c>
      <c r="H38" s="11" t="s">
        <v>1296</v>
      </c>
      <c r="I38" s="11" t="s">
        <v>386</v>
      </c>
      <c r="J38" s="11" t="s">
        <v>1286</v>
      </c>
    </row>
    <row r="39" customFormat="false" ht="21.75" hidden="false" customHeight="true" outlineLevel="0" collapsed="false">
      <c r="A39" s="11" t="s">
        <v>1297</v>
      </c>
      <c r="B39" s="12" t="s">
        <v>1203</v>
      </c>
      <c r="C39" s="11" t="s">
        <v>292</v>
      </c>
      <c r="D39" s="11" t="s">
        <v>1298</v>
      </c>
      <c r="E39" s="11" t="s">
        <v>1299</v>
      </c>
      <c r="F39" s="11" t="s">
        <v>1042</v>
      </c>
      <c r="G39" s="11" t="s">
        <v>1115</v>
      </c>
      <c r="H39" s="11" t="s">
        <v>1300</v>
      </c>
      <c r="I39" s="11" t="s">
        <v>380</v>
      </c>
      <c r="J39" s="11" t="s">
        <v>1301</v>
      </c>
    </row>
    <row r="40" customFormat="false" ht="21.75" hidden="false" customHeight="true" outlineLevel="0" collapsed="false">
      <c r="A40" s="11" t="s">
        <v>1302</v>
      </c>
      <c r="B40" s="12" t="s">
        <v>1203</v>
      </c>
      <c r="C40" s="11" t="s">
        <v>1303</v>
      </c>
      <c r="D40" s="11" t="s">
        <v>1304</v>
      </c>
      <c r="E40" s="11" t="s">
        <v>1305</v>
      </c>
      <c r="F40" s="11" t="s">
        <v>1070</v>
      </c>
      <c r="G40" s="11" t="s">
        <v>1207</v>
      </c>
      <c r="H40" s="11" t="s">
        <v>1306</v>
      </c>
      <c r="I40" s="11" t="s">
        <v>380</v>
      </c>
      <c r="J40" s="11" t="s">
        <v>1307</v>
      </c>
    </row>
    <row r="42" customFormat="false" ht="32.25" hidden="false" customHeight="true" outlineLevel="0" collapsed="false">
      <c r="A42" s="16" t="s">
        <v>1308</v>
      </c>
      <c r="B42" s="16"/>
      <c r="C42" s="17" t="n">
        <f aca="false">COUNTIF(B4:B40,"Major")</f>
        <v>9</v>
      </c>
    </row>
    <row r="43" customFormat="false" ht="32.25" hidden="false" customHeight="true" outlineLevel="0" collapsed="false">
      <c r="A43" s="16" t="s">
        <v>1309</v>
      </c>
      <c r="B43" s="16"/>
      <c r="C43" s="17" t="n">
        <f aca="false">COUNTIF(B4:B40,"Minor")</f>
        <v>10</v>
      </c>
    </row>
    <row r="44" customFormat="false" ht="32.25" hidden="false" customHeight="true" outlineLevel="0" collapsed="false">
      <c r="A44" s="16" t="s">
        <v>1310</v>
      </c>
      <c r="B44" s="16"/>
      <c r="C44" s="17" t="n">
        <f aca="false">COUNTIF(B4:B40,"OFI")</f>
        <v>18</v>
      </c>
    </row>
    <row r="45" customFormat="false" ht="21.75" hidden="false" customHeight="true" outlineLevel="0" collapsed="false">
      <c r="A45" s="16" t="s">
        <v>1311</v>
      </c>
      <c r="B45" s="16"/>
      <c r="C45" s="17" t="n">
        <f aca="false">COUNTA(A4:A40)</f>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66"/>
    <col collapsed="false" customWidth="true" hidden="false" outlineLevel="0" max="4" min="4" style="1" width="26"/>
    <col collapsed="false" customWidth="true" hidden="false" outlineLevel="0" max="6" min="5" style="1" width="30"/>
    <col collapsed="false" customWidth="true" hidden="false" outlineLevel="0" max="7" min="7" style="1" width="13"/>
    <col collapsed="false" customWidth="true" hidden="false" outlineLevel="0" max="8" min="8" style="1" width="52"/>
    <col collapsed="false" customWidth="true" hidden="false" outlineLevel="0" max="9" min="9" style="1" width="17"/>
  </cols>
  <sheetData>
    <row r="1" customFormat="false" ht="15" hidden="false" customHeight="true" outlineLevel="0" collapsed="false">
      <c r="A1" s="9" t="s">
        <v>1312</v>
      </c>
    </row>
    <row r="3" customFormat="false" ht="42" hidden="false" customHeight="true" outlineLevel="0" collapsed="false">
      <c r="A3" s="10" t="s">
        <v>1313</v>
      </c>
      <c r="B3" s="10" t="s">
        <v>617</v>
      </c>
      <c r="C3" s="10" t="s">
        <v>1314</v>
      </c>
      <c r="D3" s="10" t="s">
        <v>1315</v>
      </c>
      <c r="E3" s="10" t="s">
        <v>1316</v>
      </c>
      <c r="F3" s="10" t="s">
        <v>1088</v>
      </c>
      <c r="G3" s="10" t="s">
        <v>1090</v>
      </c>
      <c r="H3" s="10" t="s">
        <v>1317</v>
      </c>
      <c r="I3" s="10" t="s">
        <v>1318</v>
      </c>
    </row>
    <row r="4" customFormat="false" ht="15" hidden="false" customHeight="true" outlineLevel="0" collapsed="false">
      <c r="A4" s="11" t="s">
        <v>1319</v>
      </c>
      <c r="B4" s="11" t="s">
        <v>1320</v>
      </c>
      <c r="C4" s="11" t="s">
        <v>1321</v>
      </c>
      <c r="D4" s="11" t="s">
        <v>1322</v>
      </c>
      <c r="E4" s="11" t="s">
        <v>1323</v>
      </c>
      <c r="F4" s="11" t="s">
        <v>1097</v>
      </c>
      <c r="G4" s="11" t="s">
        <v>1324</v>
      </c>
      <c r="H4" s="13" t="s">
        <v>1325</v>
      </c>
      <c r="I4" s="11" t="s">
        <v>771</v>
      </c>
    </row>
    <row r="5" customFormat="false" ht="15" hidden="false" customHeight="true" outlineLevel="0" collapsed="false">
      <c r="A5" s="11" t="s">
        <v>1326</v>
      </c>
      <c r="B5" s="11" t="s">
        <v>1320</v>
      </c>
      <c r="C5" s="11" t="s">
        <v>1327</v>
      </c>
      <c r="D5" s="11" t="s">
        <v>1322</v>
      </c>
      <c r="E5" s="11" t="s">
        <v>1328</v>
      </c>
      <c r="F5" s="11" t="s">
        <v>1097</v>
      </c>
      <c r="G5" s="11" t="s">
        <v>1324</v>
      </c>
      <c r="H5" s="13" t="s">
        <v>1329</v>
      </c>
      <c r="I5" s="11" t="s">
        <v>783</v>
      </c>
    </row>
    <row r="6" customFormat="false" ht="15" hidden="false" customHeight="true" outlineLevel="0" collapsed="false">
      <c r="A6" s="11" t="s">
        <v>1330</v>
      </c>
      <c r="B6" s="11" t="s">
        <v>1320</v>
      </c>
      <c r="C6" s="11" t="s">
        <v>1331</v>
      </c>
      <c r="D6" s="11" t="s">
        <v>1332</v>
      </c>
      <c r="E6" s="11" t="s">
        <v>1328</v>
      </c>
      <c r="F6" s="11" t="s">
        <v>1097</v>
      </c>
      <c r="G6" s="11" t="s">
        <v>1324</v>
      </c>
      <c r="H6" s="13" t="s">
        <v>1329</v>
      </c>
      <c r="I6" s="11" t="s">
        <v>754</v>
      </c>
    </row>
    <row r="7" customFormat="false" ht="15" hidden="false" customHeight="true" outlineLevel="0" collapsed="false">
      <c r="A7" s="11" t="s">
        <v>1333</v>
      </c>
      <c r="B7" s="11" t="s">
        <v>1320</v>
      </c>
      <c r="C7" s="11" t="s">
        <v>1334</v>
      </c>
      <c r="D7" s="11" t="s">
        <v>1335</v>
      </c>
      <c r="E7" s="11" t="s">
        <v>1336</v>
      </c>
      <c r="F7" s="11" t="s">
        <v>1097</v>
      </c>
      <c r="G7" s="11" t="s">
        <v>1324</v>
      </c>
      <c r="H7" s="13" t="s">
        <v>1337</v>
      </c>
      <c r="I7" s="11" t="s">
        <v>1163</v>
      </c>
    </row>
    <row r="8" customFormat="false" ht="15" hidden="false" customHeight="true" outlineLevel="0" collapsed="false">
      <c r="A8" s="11" t="s">
        <v>1338</v>
      </c>
      <c r="B8" s="11" t="s">
        <v>1320</v>
      </c>
      <c r="C8" s="11" t="s">
        <v>1339</v>
      </c>
      <c r="D8" s="11" t="s">
        <v>1322</v>
      </c>
      <c r="E8" s="11" t="s">
        <v>1328</v>
      </c>
      <c r="F8" s="11" t="s">
        <v>1097</v>
      </c>
      <c r="G8" s="11" t="s">
        <v>1324</v>
      </c>
      <c r="H8" s="13" t="s">
        <v>1329</v>
      </c>
      <c r="I8" s="11" t="s">
        <v>783</v>
      </c>
    </row>
    <row r="9" customFormat="false" ht="15" hidden="false" customHeight="true" outlineLevel="0" collapsed="false">
      <c r="A9" s="11" t="s">
        <v>1340</v>
      </c>
      <c r="B9" s="11" t="s">
        <v>1341</v>
      </c>
      <c r="C9" s="11" t="s">
        <v>1342</v>
      </c>
      <c r="D9" s="11" t="s">
        <v>1322</v>
      </c>
      <c r="E9" s="11" t="s">
        <v>1328</v>
      </c>
      <c r="F9" s="11" t="s">
        <v>1115</v>
      </c>
      <c r="G9" s="11" t="s">
        <v>1324</v>
      </c>
      <c r="H9" s="14" t="s">
        <v>1343</v>
      </c>
      <c r="I9" s="11" t="s">
        <v>811</v>
      </c>
    </row>
    <row r="10" customFormat="false" ht="15" hidden="false" customHeight="true" outlineLevel="0" collapsed="false">
      <c r="A10" s="11" t="s">
        <v>1344</v>
      </c>
      <c r="B10" s="11" t="s">
        <v>1341</v>
      </c>
      <c r="C10" s="11" t="s">
        <v>1345</v>
      </c>
      <c r="D10" s="11" t="s">
        <v>1332</v>
      </c>
      <c r="E10" s="11" t="s">
        <v>1346</v>
      </c>
      <c r="F10" s="11" t="s">
        <v>1115</v>
      </c>
      <c r="G10" s="11" t="s">
        <v>1324</v>
      </c>
      <c r="H10" s="15" t="s">
        <v>1347</v>
      </c>
      <c r="I10" s="11" t="s">
        <v>1348</v>
      </c>
    </row>
    <row r="11" customFormat="false" ht="15" hidden="false" customHeight="true" outlineLevel="0" collapsed="false">
      <c r="A11" s="11" t="s">
        <v>1349</v>
      </c>
      <c r="B11" s="11" t="s">
        <v>1341</v>
      </c>
      <c r="C11" s="11" t="s">
        <v>1350</v>
      </c>
      <c r="D11" s="11" t="s">
        <v>1322</v>
      </c>
      <c r="E11" s="11" t="s">
        <v>1351</v>
      </c>
      <c r="F11" s="11" t="s">
        <v>1097</v>
      </c>
      <c r="G11" s="11" t="s">
        <v>1324</v>
      </c>
      <c r="H11" s="15" t="s">
        <v>1352</v>
      </c>
      <c r="I11" s="11" t="s">
        <v>811</v>
      </c>
    </row>
    <row r="12" customFormat="false" ht="15" hidden="false" customHeight="true" outlineLevel="0" collapsed="false">
      <c r="A12" s="11" t="s">
        <v>1353</v>
      </c>
      <c r="B12" s="11" t="s">
        <v>1341</v>
      </c>
      <c r="C12" s="11" t="s">
        <v>1354</v>
      </c>
      <c r="D12" s="11" t="s">
        <v>1355</v>
      </c>
      <c r="E12" s="11" t="s">
        <v>1328</v>
      </c>
      <c r="F12" s="11" t="s">
        <v>1097</v>
      </c>
      <c r="G12" s="11" t="s">
        <v>1324</v>
      </c>
      <c r="H12" s="14" t="s">
        <v>1356</v>
      </c>
      <c r="I12" s="11" t="s">
        <v>825</v>
      </c>
    </row>
    <row r="13" customFormat="false" ht="15" hidden="false" customHeight="true" outlineLevel="0" collapsed="false">
      <c r="A13" s="11" t="s">
        <v>1357</v>
      </c>
      <c r="B13" s="11" t="s">
        <v>1341</v>
      </c>
      <c r="C13" s="11" t="s">
        <v>1358</v>
      </c>
      <c r="D13" s="11" t="s">
        <v>1332</v>
      </c>
      <c r="E13" s="11" t="s">
        <v>1328</v>
      </c>
      <c r="F13" s="11" t="s">
        <v>1097</v>
      </c>
      <c r="G13" s="11" t="s">
        <v>1324</v>
      </c>
      <c r="H13" s="13" t="s">
        <v>1359</v>
      </c>
      <c r="I13" s="11" t="s">
        <v>825</v>
      </c>
    </row>
    <row r="14" customFormat="false" ht="15" hidden="false" customHeight="true" outlineLevel="0" collapsed="false">
      <c r="A14" s="11" t="s">
        <v>1360</v>
      </c>
      <c r="B14" s="11" t="s">
        <v>1341</v>
      </c>
      <c r="C14" s="11" t="s">
        <v>1361</v>
      </c>
      <c r="D14" s="11" t="s">
        <v>1332</v>
      </c>
      <c r="E14" s="11" t="s">
        <v>1336</v>
      </c>
      <c r="F14" s="11" t="s">
        <v>1115</v>
      </c>
      <c r="G14" s="11" t="s">
        <v>1324</v>
      </c>
      <c r="H14" s="13" t="s">
        <v>1329</v>
      </c>
      <c r="I14" s="11" t="s">
        <v>839</v>
      </c>
    </row>
    <row r="15" customFormat="false" ht="15" hidden="false" customHeight="true" outlineLevel="0" collapsed="false">
      <c r="A15" s="11" t="s">
        <v>1362</v>
      </c>
      <c r="B15" s="11" t="s">
        <v>424</v>
      </c>
      <c r="C15" s="11" t="s">
        <v>1363</v>
      </c>
      <c r="D15" s="11" t="s">
        <v>1364</v>
      </c>
      <c r="E15" s="11" t="s">
        <v>1365</v>
      </c>
      <c r="F15" s="11" t="s">
        <v>1122</v>
      </c>
      <c r="G15" s="11" t="s">
        <v>1324</v>
      </c>
      <c r="H15" s="13" t="s">
        <v>1366</v>
      </c>
      <c r="I15" s="11" t="s">
        <v>1238</v>
      </c>
    </row>
    <row r="16" customFormat="false" ht="15" hidden="false" customHeight="true" outlineLevel="0" collapsed="false">
      <c r="A16" s="11" t="s">
        <v>1367</v>
      </c>
      <c r="B16" s="11" t="s">
        <v>424</v>
      </c>
      <c r="C16" s="11" t="s">
        <v>1368</v>
      </c>
      <c r="D16" s="11" t="s">
        <v>1369</v>
      </c>
      <c r="E16" s="11" t="s">
        <v>1370</v>
      </c>
      <c r="F16" s="11" t="s">
        <v>1122</v>
      </c>
      <c r="G16" s="11" t="s">
        <v>1324</v>
      </c>
      <c r="H16" s="14" t="s">
        <v>1371</v>
      </c>
      <c r="I16" s="11" t="s">
        <v>864</v>
      </c>
    </row>
    <row r="17" customFormat="false" ht="15" hidden="false" customHeight="true" outlineLevel="0" collapsed="false">
      <c r="A17" s="11" t="s">
        <v>1372</v>
      </c>
      <c r="B17" s="11" t="s">
        <v>424</v>
      </c>
      <c r="C17" s="11" t="s">
        <v>1373</v>
      </c>
      <c r="D17" s="11" t="s">
        <v>1374</v>
      </c>
      <c r="E17" s="11" t="s">
        <v>1365</v>
      </c>
      <c r="F17" s="11" t="s">
        <v>1122</v>
      </c>
      <c r="G17" s="11" t="s">
        <v>1324</v>
      </c>
      <c r="H17" s="13" t="s">
        <v>1375</v>
      </c>
      <c r="I17" s="11" t="s">
        <v>972</v>
      </c>
    </row>
    <row r="18" customFormat="false" ht="15" hidden="false" customHeight="true" outlineLevel="0" collapsed="false">
      <c r="A18" s="11" t="s">
        <v>1376</v>
      </c>
      <c r="B18" s="11" t="s">
        <v>424</v>
      </c>
      <c r="C18" s="11" t="s">
        <v>1377</v>
      </c>
      <c r="D18" s="11" t="s">
        <v>1378</v>
      </c>
      <c r="E18" s="11" t="s">
        <v>1370</v>
      </c>
      <c r="F18" s="11" t="s">
        <v>1122</v>
      </c>
      <c r="G18" s="11" t="s">
        <v>1324</v>
      </c>
      <c r="H18" s="13" t="s">
        <v>1329</v>
      </c>
      <c r="I18" s="11" t="s">
        <v>852</v>
      </c>
    </row>
    <row r="19" customFormat="false" ht="15" hidden="false" customHeight="true" outlineLevel="0" collapsed="false">
      <c r="A19" s="11" t="s">
        <v>1379</v>
      </c>
      <c r="B19" s="11" t="s">
        <v>424</v>
      </c>
      <c r="C19" s="11" t="s">
        <v>1380</v>
      </c>
      <c r="D19" s="11" t="s">
        <v>1374</v>
      </c>
      <c r="E19" s="11" t="s">
        <v>1381</v>
      </c>
      <c r="F19" s="11" t="s">
        <v>1122</v>
      </c>
      <c r="G19" s="11" t="s">
        <v>1324</v>
      </c>
      <c r="H19" s="13" t="s">
        <v>1382</v>
      </c>
      <c r="I19" s="11" t="s">
        <v>958</v>
      </c>
    </row>
    <row r="20" customFormat="false" ht="15" hidden="false" customHeight="true" outlineLevel="0" collapsed="false">
      <c r="A20" s="11" t="s">
        <v>1383</v>
      </c>
      <c r="B20" s="11" t="s">
        <v>1384</v>
      </c>
      <c r="C20" s="11" t="s">
        <v>1385</v>
      </c>
      <c r="D20" s="11" t="s">
        <v>1386</v>
      </c>
      <c r="E20" s="11" t="s">
        <v>1323</v>
      </c>
      <c r="F20" s="11" t="s">
        <v>1207</v>
      </c>
      <c r="G20" s="11" t="s">
        <v>1324</v>
      </c>
      <c r="H20" s="14" t="s">
        <v>1387</v>
      </c>
      <c r="I20" s="11" t="s">
        <v>972</v>
      </c>
    </row>
    <row r="21" customFormat="false" ht="15" hidden="false" customHeight="true" outlineLevel="0" collapsed="false">
      <c r="A21" s="11" t="s">
        <v>1388</v>
      </c>
      <c r="B21" s="11" t="s">
        <v>1384</v>
      </c>
      <c r="C21" s="11" t="s">
        <v>1389</v>
      </c>
      <c r="D21" s="11" t="s">
        <v>1374</v>
      </c>
      <c r="E21" s="11" t="s">
        <v>1390</v>
      </c>
      <c r="F21" s="11" t="s">
        <v>1207</v>
      </c>
      <c r="G21" s="11" t="s">
        <v>1324</v>
      </c>
      <c r="H21" s="13" t="s">
        <v>1391</v>
      </c>
      <c r="I21" s="11" t="s">
        <v>972</v>
      </c>
    </row>
    <row r="22" customFormat="false" ht="15" hidden="false" customHeight="true" outlineLevel="0" collapsed="false">
      <c r="A22" s="11" t="s">
        <v>1392</v>
      </c>
      <c r="B22" s="11" t="s">
        <v>1384</v>
      </c>
      <c r="C22" s="11" t="s">
        <v>1393</v>
      </c>
      <c r="D22" s="11" t="s">
        <v>1332</v>
      </c>
      <c r="E22" s="11" t="s">
        <v>1323</v>
      </c>
      <c r="F22" s="11" t="s">
        <v>1207</v>
      </c>
      <c r="G22" s="11" t="s">
        <v>1324</v>
      </c>
      <c r="H22" s="13" t="s">
        <v>1329</v>
      </c>
      <c r="I22" s="11" t="s">
        <v>972</v>
      </c>
    </row>
    <row r="23" customFormat="false" ht="15" hidden="false" customHeight="true" outlineLevel="0" collapsed="false">
      <c r="A23" s="11" t="s">
        <v>1394</v>
      </c>
      <c r="B23" s="11" t="s">
        <v>1384</v>
      </c>
      <c r="C23" s="11" t="s">
        <v>1395</v>
      </c>
      <c r="D23" s="11" t="s">
        <v>1332</v>
      </c>
      <c r="E23" s="11" t="s">
        <v>1323</v>
      </c>
      <c r="F23" s="11" t="s">
        <v>1207</v>
      </c>
      <c r="G23" s="11" t="s">
        <v>1324</v>
      </c>
      <c r="H23" s="14" t="s">
        <v>1396</v>
      </c>
      <c r="I23" s="11" t="s">
        <v>1397</v>
      </c>
    </row>
    <row r="24" customFormat="false" ht="15" hidden="false" customHeight="true" outlineLevel="0" collapsed="false">
      <c r="A24" s="11" t="s">
        <v>1398</v>
      </c>
      <c r="B24" s="11" t="s">
        <v>1399</v>
      </c>
      <c r="C24" s="11" t="s">
        <v>1400</v>
      </c>
      <c r="D24" s="11" t="s">
        <v>1332</v>
      </c>
      <c r="E24" s="11" t="s">
        <v>1370</v>
      </c>
      <c r="F24" s="11" t="s">
        <v>1115</v>
      </c>
      <c r="G24" s="11" t="s">
        <v>1324</v>
      </c>
      <c r="H24" s="15" t="s">
        <v>1401</v>
      </c>
      <c r="I24" s="11" t="s">
        <v>1402</v>
      </c>
    </row>
    <row r="25" customFormat="false" ht="15" hidden="false" customHeight="true" outlineLevel="0" collapsed="false">
      <c r="A25" s="11" t="s">
        <v>1403</v>
      </c>
      <c r="B25" s="11" t="s">
        <v>1399</v>
      </c>
      <c r="C25" s="11" t="s">
        <v>1404</v>
      </c>
      <c r="D25" s="11" t="s">
        <v>1374</v>
      </c>
      <c r="E25" s="11" t="s">
        <v>1405</v>
      </c>
      <c r="F25" s="11" t="s">
        <v>1115</v>
      </c>
      <c r="G25" s="11" t="s">
        <v>1324</v>
      </c>
      <c r="H25" s="14" t="s">
        <v>1406</v>
      </c>
      <c r="I25" s="11" t="s">
        <v>1000</v>
      </c>
    </row>
    <row r="26" customFormat="false" ht="15" hidden="false" customHeight="true" outlineLevel="0" collapsed="false">
      <c r="A26" s="11" t="s">
        <v>1407</v>
      </c>
      <c r="B26" s="11" t="s">
        <v>1399</v>
      </c>
      <c r="C26" s="11" t="s">
        <v>1408</v>
      </c>
      <c r="D26" s="11" t="s">
        <v>1374</v>
      </c>
      <c r="E26" s="11" t="s">
        <v>1365</v>
      </c>
      <c r="F26" s="11" t="s">
        <v>1115</v>
      </c>
      <c r="G26" s="11" t="s">
        <v>1324</v>
      </c>
      <c r="H26" s="15" t="s">
        <v>1409</v>
      </c>
      <c r="I26" s="11" t="s">
        <v>986</v>
      </c>
    </row>
    <row r="27" customFormat="false" ht="15" hidden="false" customHeight="true" outlineLevel="0" collapsed="false">
      <c r="A27" s="11" t="s">
        <v>1410</v>
      </c>
      <c r="B27" s="11" t="s">
        <v>1399</v>
      </c>
      <c r="C27" s="11" t="s">
        <v>1411</v>
      </c>
      <c r="D27" s="11" t="s">
        <v>1322</v>
      </c>
      <c r="E27" s="11" t="s">
        <v>1370</v>
      </c>
      <c r="F27" s="11" t="s">
        <v>1115</v>
      </c>
      <c r="G27" s="11" t="s">
        <v>1324</v>
      </c>
      <c r="H27" s="13" t="s">
        <v>1412</v>
      </c>
      <c r="I27" s="11" t="s">
        <v>1245</v>
      </c>
    </row>
    <row r="28" customFormat="false" ht="15" hidden="false" customHeight="true" outlineLevel="0" collapsed="false">
      <c r="A28" s="11" t="s">
        <v>1413</v>
      </c>
      <c r="B28" s="11" t="s">
        <v>1399</v>
      </c>
      <c r="C28" s="11" t="s">
        <v>1414</v>
      </c>
      <c r="D28" s="11" t="s">
        <v>1415</v>
      </c>
      <c r="E28" s="11" t="s">
        <v>1370</v>
      </c>
      <c r="F28" s="11" t="s">
        <v>1115</v>
      </c>
      <c r="G28" s="11" t="s">
        <v>1324</v>
      </c>
      <c r="H28" s="13" t="s">
        <v>1416</v>
      </c>
      <c r="I28" s="11" t="s">
        <v>986</v>
      </c>
    </row>
    <row r="29" customFormat="false" ht="15" hidden="false" customHeight="true" outlineLevel="0" collapsed="false">
      <c r="A29" s="11" t="s">
        <v>1417</v>
      </c>
      <c r="B29" s="11" t="s">
        <v>1418</v>
      </c>
      <c r="C29" s="11" t="s">
        <v>1419</v>
      </c>
      <c r="D29" s="11" t="s">
        <v>1386</v>
      </c>
      <c r="E29" s="11" t="s">
        <v>1365</v>
      </c>
      <c r="F29" s="11" t="s">
        <v>1115</v>
      </c>
      <c r="G29" s="11" t="s">
        <v>1324</v>
      </c>
      <c r="H29" s="13" t="s">
        <v>1420</v>
      </c>
      <c r="I29" s="11" t="s">
        <v>1042</v>
      </c>
    </row>
    <row r="30" customFormat="false" ht="15" hidden="false" customHeight="true" outlineLevel="0" collapsed="false">
      <c r="A30" s="11" t="s">
        <v>1421</v>
      </c>
      <c r="B30" s="11" t="s">
        <v>1418</v>
      </c>
      <c r="C30" s="11" t="s">
        <v>1422</v>
      </c>
      <c r="D30" s="11" t="s">
        <v>1423</v>
      </c>
      <c r="E30" s="11" t="s">
        <v>1323</v>
      </c>
      <c r="F30" s="11" t="s">
        <v>1115</v>
      </c>
      <c r="G30" s="11" t="s">
        <v>1324</v>
      </c>
      <c r="H30" s="13" t="s">
        <v>1424</v>
      </c>
      <c r="I30" s="11" t="s">
        <v>1042</v>
      </c>
    </row>
    <row r="31" customFormat="false" ht="15" hidden="false" customHeight="true" outlineLevel="0" collapsed="false">
      <c r="A31" s="11" t="s">
        <v>1425</v>
      </c>
      <c r="B31" s="11" t="s">
        <v>1418</v>
      </c>
      <c r="C31" s="11" t="s">
        <v>1426</v>
      </c>
      <c r="D31" s="11" t="s">
        <v>1427</v>
      </c>
      <c r="E31" s="11" t="s">
        <v>1365</v>
      </c>
      <c r="F31" s="11" t="s">
        <v>1115</v>
      </c>
      <c r="G31" s="11" t="s">
        <v>1324</v>
      </c>
      <c r="H31" s="13" t="s">
        <v>1428</v>
      </c>
      <c r="I31" s="11" t="s">
        <v>1042</v>
      </c>
    </row>
    <row r="32" customFormat="false" ht="15" hidden="false" customHeight="true" outlineLevel="0" collapsed="false">
      <c r="A32" s="11" t="s">
        <v>1429</v>
      </c>
      <c r="B32" s="11" t="s">
        <v>1418</v>
      </c>
      <c r="C32" s="11" t="s">
        <v>1430</v>
      </c>
      <c r="D32" s="11" t="s">
        <v>1322</v>
      </c>
      <c r="E32" s="11" t="s">
        <v>1431</v>
      </c>
      <c r="F32" s="11" t="s">
        <v>1115</v>
      </c>
      <c r="G32" s="11" t="s">
        <v>1324</v>
      </c>
      <c r="H32" s="13" t="s">
        <v>1432</v>
      </c>
      <c r="I32" s="11" t="s">
        <v>1042</v>
      </c>
    </row>
    <row r="33" customFormat="false" ht="15" hidden="false" customHeight="true" outlineLevel="0" collapsed="false">
      <c r="A33" s="11" t="s">
        <v>1433</v>
      </c>
      <c r="B33" s="11" t="s">
        <v>1418</v>
      </c>
      <c r="C33" s="11" t="s">
        <v>1434</v>
      </c>
      <c r="D33" s="11" t="s">
        <v>1322</v>
      </c>
      <c r="E33" s="11" t="s">
        <v>1435</v>
      </c>
      <c r="F33" s="11" t="s">
        <v>1207</v>
      </c>
      <c r="G33" s="11" t="s">
        <v>1324</v>
      </c>
      <c r="H33" s="13" t="s">
        <v>1436</v>
      </c>
      <c r="I33" s="11" t="s">
        <v>1056</v>
      </c>
    </row>
    <row r="34" customFormat="false" ht="15" hidden="false" customHeight="true" outlineLevel="0" collapsed="false">
      <c r="A34" s="11" t="s">
        <v>1437</v>
      </c>
      <c r="B34" s="11" t="s">
        <v>1418</v>
      </c>
      <c r="C34" s="11" t="s">
        <v>1438</v>
      </c>
      <c r="D34" s="11" t="s">
        <v>1439</v>
      </c>
      <c r="E34" s="11" t="s">
        <v>1323</v>
      </c>
      <c r="F34" s="11" t="s">
        <v>1207</v>
      </c>
      <c r="G34" s="11" t="s">
        <v>1324</v>
      </c>
      <c r="H34" s="13" t="s">
        <v>1440</v>
      </c>
      <c r="I34" s="11" t="s">
        <v>1056</v>
      </c>
    </row>
    <row r="35" customFormat="false" ht="15" hidden="false" customHeight="true" outlineLevel="0" collapsed="false">
      <c r="A35" s="11" t="s">
        <v>1441</v>
      </c>
      <c r="B35" s="11" t="s">
        <v>1418</v>
      </c>
      <c r="C35" s="11" t="s">
        <v>1442</v>
      </c>
      <c r="D35" s="11" t="s">
        <v>1443</v>
      </c>
      <c r="E35" s="11" t="s">
        <v>1365</v>
      </c>
      <c r="F35" s="11" t="s">
        <v>1207</v>
      </c>
      <c r="G35" s="11" t="s">
        <v>1324</v>
      </c>
      <c r="H35" s="13" t="s">
        <v>1444</v>
      </c>
      <c r="I35" s="11" t="s">
        <v>1056</v>
      </c>
    </row>
    <row r="36" customFormat="false" ht="15" hidden="false" customHeight="true" outlineLevel="0" collapsed="false">
      <c r="A36" s="11" t="s">
        <v>1445</v>
      </c>
      <c r="B36" s="11" t="s">
        <v>1446</v>
      </c>
      <c r="C36" s="11" t="s">
        <v>1447</v>
      </c>
      <c r="D36" s="11" t="s">
        <v>1448</v>
      </c>
      <c r="E36" s="11" t="s">
        <v>1323</v>
      </c>
      <c r="F36" s="11" t="s">
        <v>1207</v>
      </c>
      <c r="G36" s="11" t="s">
        <v>1324</v>
      </c>
      <c r="H36" s="15" t="s">
        <v>1449</v>
      </c>
      <c r="I36" s="11" t="s">
        <v>1028</v>
      </c>
    </row>
    <row r="37" customFormat="false" ht="15" hidden="false" customHeight="true" outlineLevel="0" collapsed="false">
      <c r="A37" s="11" t="s">
        <v>1450</v>
      </c>
      <c r="B37" s="11" t="s">
        <v>1446</v>
      </c>
      <c r="C37" s="11" t="s">
        <v>1451</v>
      </c>
      <c r="D37" s="11" t="s">
        <v>1322</v>
      </c>
      <c r="E37" s="11" t="s">
        <v>1370</v>
      </c>
      <c r="F37" s="11" t="s">
        <v>1207</v>
      </c>
      <c r="G37" s="11" t="s">
        <v>1324</v>
      </c>
      <c r="H37" s="13" t="s">
        <v>1452</v>
      </c>
      <c r="I37" s="11" t="s">
        <v>1028</v>
      </c>
    </row>
    <row r="38" customFormat="false" ht="15" hidden="false" customHeight="true" outlineLevel="0" collapsed="false">
      <c r="A38" s="11" t="s">
        <v>1453</v>
      </c>
      <c r="B38" s="11" t="s">
        <v>1446</v>
      </c>
      <c r="C38" s="11" t="s">
        <v>1454</v>
      </c>
      <c r="D38" s="11" t="s">
        <v>1322</v>
      </c>
      <c r="E38" s="11" t="s">
        <v>1365</v>
      </c>
      <c r="F38" s="11" t="s">
        <v>1207</v>
      </c>
      <c r="G38" s="11" t="s">
        <v>1324</v>
      </c>
      <c r="H38" s="13" t="s">
        <v>1455</v>
      </c>
      <c r="I38" s="11" t="s">
        <v>1028</v>
      </c>
    </row>
    <row r="39" customFormat="false" ht="15" hidden="false" customHeight="true" outlineLevel="0" collapsed="false">
      <c r="A39" s="11" t="s">
        <v>1456</v>
      </c>
      <c r="B39" s="11" t="s">
        <v>1457</v>
      </c>
      <c r="C39" s="11" t="s">
        <v>1458</v>
      </c>
      <c r="D39" s="11" t="s">
        <v>1386</v>
      </c>
      <c r="E39" s="11" t="s">
        <v>1365</v>
      </c>
      <c r="F39" s="11" t="s">
        <v>1115</v>
      </c>
      <c r="G39" s="11" t="s">
        <v>1324</v>
      </c>
      <c r="H39" s="13" t="s">
        <v>1459</v>
      </c>
      <c r="I39" s="11" t="s">
        <v>1014</v>
      </c>
    </row>
    <row r="40" customFormat="false" ht="15" hidden="false" customHeight="true" outlineLevel="0" collapsed="false">
      <c r="A40" s="11" t="s">
        <v>1460</v>
      </c>
      <c r="B40" s="11" t="s">
        <v>1457</v>
      </c>
      <c r="C40" s="11" t="s">
        <v>1461</v>
      </c>
      <c r="D40" s="11" t="s">
        <v>1322</v>
      </c>
      <c r="E40" s="11" t="s">
        <v>1431</v>
      </c>
      <c r="F40" s="11" t="s">
        <v>1115</v>
      </c>
      <c r="G40" s="11" t="s">
        <v>1324</v>
      </c>
      <c r="H40" s="13" t="s">
        <v>1462</v>
      </c>
      <c r="I40" s="11" t="s">
        <v>1014</v>
      </c>
    </row>
    <row r="41" customFormat="false" ht="15" hidden="false" customHeight="true" outlineLevel="0" collapsed="false">
      <c r="A41" s="11" t="s">
        <v>1463</v>
      </c>
      <c r="B41" s="11" t="s">
        <v>1464</v>
      </c>
      <c r="C41" s="11" t="s">
        <v>1465</v>
      </c>
      <c r="D41" s="11" t="s">
        <v>1332</v>
      </c>
      <c r="E41" s="11" t="s">
        <v>1370</v>
      </c>
      <c r="F41" s="11" t="s">
        <v>1207</v>
      </c>
      <c r="G41" s="11" t="s">
        <v>1324</v>
      </c>
      <c r="H41" s="13" t="s">
        <v>1466</v>
      </c>
      <c r="I41" s="11" t="s">
        <v>1070</v>
      </c>
    </row>
    <row r="42" customFormat="false" ht="15" hidden="false" customHeight="true" outlineLevel="0" collapsed="false">
      <c r="A42" s="11" t="s">
        <v>1467</v>
      </c>
      <c r="B42" s="11" t="s">
        <v>1464</v>
      </c>
      <c r="C42" s="11" t="s">
        <v>1468</v>
      </c>
      <c r="D42" s="11" t="s">
        <v>1386</v>
      </c>
      <c r="E42" s="11" t="s">
        <v>1323</v>
      </c>
      <c r="F42" s="11" t="s">
        <v>1207</v>
      </c>
      <c r="G42" s="11" t="s">
        <v>1324</v>
      </c>
      <c r="H42" s="13" t="s">
        <v>1469</v>
      </c>
      <c r="I42" s="11" t="s">
        <v>1070</v>
      </c>
    </row>
    <row r="43" customFormat="false" ht="15" hidden="false" customHeight="true" outlineLevel="0" collapsed="false">
      <c r="A43" s="11" t="s">
        <v>1470</v>
      </c>
      <c r="B43" s="11" t="s">
        <v>1464</v>
      </c>
      <c r="C43" s="11" t="s">
        <v>1471</v>
      </c>
      <c r="D43" s="11" t="s">
        <v>1332</v>
      </c>
      <c r="E43" s="11" t="s">
        <v>1370</v>
      </c>
      <c r="F43" s="11" t="s">
        <v>1115</v>
      </c>
      <c r="G43" s="11" t="s">
        <v>1324</v>
      </c>
      <c r="H43" s="13" t="s">
        <v>1329</v>
      </c>
      <c r="I43" s="11" t="s">
        <v>1000</v>
      </c>
    </row>
    <row r="44" customFormat="false" ht="15" hidden="false" customHeight="true" outlineLevel="0" collapsed="false">
      <c r="A44" s="11" t="s">
        <v>1472</v>
      </c>
      <c r="B44" s="11" t="s">
        <v>1473</v>
      </c>
      <c r="C44" s="11" t="s">
        <v>1474</v>
      </c>
      <c r="D44" s="11" t="s">
        <v>1332</v>
      </c>
      <c r="E44" s="11" t="s">
        <v>1390</v>
      </c>
      <c r="F44" s="11" t="s">
        <v>1115</v>
      </c>
      <c r="G44" s="11" t="s">
        <v>1324</v>
      </c>
      <c r="H44" s="14" t="s">
        <v>1475</v>
      </c>
      <c r="I44" s="11" t="s">
        <v>906</v>
      </c>
    </row>
    <row r="45" customFormat="false" ht="15" hidden="false" customHeight="true" outlineLevel="0" collapsed="false">
      <c r="A45" s="11" t="s">
        <v>1476</v>
      </c>
      <c r="B45" s="11" t="s">
        <v>1473</v>
      </c>
      <c r="C45" s="11" t="s">
        <v>1477</v>
      </c>
      <c r="D45" s="11" t="s">
        <v>1322</v>
      </c>
      <c r="E45" s="11" t="s">
        <v>1478</v>
      </c>
      <c r="F45" s="11" t="s">
        <v>1097</v>
      </c>
      <c r="G45" s="11" t="s">
        <v>1324</v>
      </c>
      <c r="H45" s="13" t="s">
        <v>1479</v>
      </c>
      <c r="I45" s="11" t="s">
        <v>920</v>
      </c>
    </row>
    <row r="46" customFormat="false" ht="15" hidden="false" customHeight="true" outlineLevel="0" collapsed="false">
      <c r="A46" s="11" t="s">
        <v>1480</v>
      </c>
      <c r="B46" s="11" t="s">
        <v>1473</v>
      </c>
      <c r="C46" s="11" t="s">
        <v>1481</v>
      </c>
      <c r="D46" s="11" t="s">
        <v>1322</v>
      </c>
      <c r="E46" s="11" t="s">
        <v>1482</v>
      </c>
      <c r="F46" s="11" t="s">
        <v>1097</v>
      </c>
      <c r="G46" s="11" t="s">
        <v>1324</v>
      </c>
      <c r="H46" s="13" t="s">
        <v>1483</v>
      </c>
      <c r="I46" s="11" t="s">
        <v>933</v>
      </c>
    </row>
    <row r="47" customFormat="false" ht="15" hidden="false" customHeight="true" outlineLevel="0" collapsed="false">
      <c r="A47" s="11" t="s">
        <v>1484</v>
      </c>
      <c r="B47" s="11" t="s">
        <v>1473</v>
      </c>
      <c r="C47" s="11" t="s">
        <v>1485</v>
      </c>
      <c r="D47" s="11" t="s">
        <v>1332</v>
      </c>
      <c r="E47" s="11" t="s">
        <v>1365</v>
      </c>
      <c r="F47" s="11" t="s">
        <v>1115</v>
      </c>
      <c r="G47" s="11" t="s">
        <v>1324</v>
      </c>
      <c r="H47" s="13" t="s">
        <v>1329</v>
      </c>
      <c r="I47" s="11" t="s">
        <v>944</v>
      </c>
    </row>
    <row r="48" customFormat="false" ht="15" hidden="false" customHeight="true" outlineLevel="0" collapsed="false">
      <c r="A48" s="11" t="s">
        <v>1486</v>
      </c>
      <c r="B48" s="11" t="s">
        <v>1487</v>
      </c>
      <c r="C48" s="11" t="s">
        <v>1488</v>
      </c>
      <c r="D48" s="11" t="s">
        <v>1489</v>
      </c>
      <c r="E48" s="11" t="s">
        <v>1370</v>
      </c>
      <c r="F48" s="11" t="s">
        <v>1115</v>
      </c>
      <c r="G48" s="11" t="s">
        <v>1324</v>
      </c>
      <c r="H48" s="13" t="s">
        <v>1490</v>
      </c>
      <c r="I48" s="11" t="s">
        <v>1070</v>
      </c>
    </row>
    <row r="49" customFormat="false" ht="15" hidden="false" customHeight="true" outlineLevel="0" collapsed="false">
      <c r="A49" s="11" t="s">
        <v>1491</v>
      </c>
      <c r="B49" s="11" t="s">
        <v>1487</v>
      </c>
      <c r="C49" s="11" t="s">
        <v>1492</v>
      </c>
      <c r="D49" s="11" t="s">
        <v>1493</v>
      </c>
      <c r="E49" s="11" t="s">
        <v>1370</v>
      </c>
      <c r="F49" s="11" t="s">
        <v>1097</v>
      </c>
      <c r="G49" s="11" t="s">
        <v>1324</v>
      </c>
      <c r="H49" s="13" t="s">
        <v>1494</v>
      </c>
      <c r="I49" s="11" t="s">
        <v>1070</v>
      </c>
    </row>
    <row r="50" customFormat="false" ht="15" hidden="false" customHeight="true" outlineLevel="0" collapsed="false">
      <c r="A50" s="11" t="s">
        <v>1495</v>
      </c>
      <c r="B50" s="11" t="s">
        <v>1487</v>
      </c>
      <c r="C50" s="11" t="s">
        <v>1496</v>
      </c>
      <c r="D50" s="11" t="s">
        <v>1322</v>
      </c>
      <c r="E50" s="11" t="s">
        <v>1497</v>
      </c>
      <c r="F50" s="11" t="s">
        <v>1498</v>
      </c>
      <c r="G50" s="11" t="s">
        <v>1324</v>
      </c>
      <c r="H50" s="13" t="s">
        <v>1499</v>
      </c>
      <c r="I50" s="11" t="s">
        <v>1070</v>
      </c>
    </row>
    <row r="51" customFormat="false" ht="15" hidden="false" customHeight="true" outlineLevel="0" collapsed="false">
      <c r="A51" s="11" t="s">
        <v>1500</v>
      </c>
      <c r="B51" s="11" t="s">
        <v>1501</v>
      </c>
      <c r="C51" s="11" t="s">
        <v>1502</v>
      </c>
      <c r="D51" s="11" t="s">
        <v>1503</v>
      </c>
      <c r="E51" s="11" t="s">
        <v>1370</v>
      </c>
      <c r="F51" s="11" t="s">
        <v>1115</v>
      </c>
      <c r="G51" s="11" t="s">
        <v>1324</v>
      </c>
      <c r="H51" s="13" t="s">
        <v>1329</v>
      </c>
      <c r="I51" s="11" t="s">
        <v>878</v>
      </c>
    </row>
    <row r="52" customFormat="false" ht="15" hidden="false" customHeight="true" outlineLevel="0" collapsed="false">
      <c r="A52" s="11" t="s">
        <v>1504</v>
      </c>
      <c r="B52" s="11" t="s">
        <v>1501</v>
      </c>
      <c r="C52" s="11" t="s">
        <v>1505</v>
      </c>
      <c r="D52" s="11" t="s">
        <v>1374</v>
      </c>
      <c r="E52" s="11" t="s">
        <v>1506</v>
      </c>
      <c r="F52" s="11" t="s">
        <v>1115</v>
      </c>
      <c r="G52" s="11" t="s">
        <v>1324</v>
      </c>
      <c r="H52" s="15" t="s">
        <v>1507</v>
      </c>
      <c r="I52" s="11" t="s">
        <v>958</v>
      </c>
    </row>
    <row r="53" customFormat="false" ht="15" hidden="false" customHeight="true" outlineLevel="0" collapsed="false">
      <c r="A53" s="11" t="s">
        <v>1508</v>
      </c>
      <c r="B53" s="11" t="s">
        <v>1501</v>
      </c>
      <c r="C53" s="11" t="s">
        <v>1509</v>
      </c>
      <c r="D53" s="11" t="s">
        <v>1332</v>
      </c>
      <c r="E53" s="11" t="s">
        <v>1370</v>
      </c>
      <c r="F53" s="11" t="s">
        <v>1115</v>
      </c>
      <c r="G53" s="11" t="s">
        <v>1324</v>
      </c>
      <c r="H53" s="15" t="s">
        <v>1510</v>
      </c>
      <c r="I53" s="11" t="s">
        <v>944</v>
      </c>
    </row>
    <row r="55" customFormat="false" ht="15" hidden="false" customHeight="true" outlineLevel="0" collapsed="false">
      <c r="A55" s="16" t="s">
        <v>1511</v>
      </c>
      <c r="B55" s="16"/>
      <c r="C55" s="17" t="n">
        <f aca="false">COUNTIF(H4:H53,"Received*")</f>
        <v>7</v>
      </c>
    </row>
    <row r="56" customFormat="false" ht="15" hidden="false" customHeight="true" outlineLevel="0" collapsed="false">
      <c r="A56" s="16" t="s">
        <v>1512</v>
      </c>
      <c r="B56" s="16"/>
      <c r="C56" s="17" t="n">
        <f aca="false">COUNTIF(H4:H53,"Partial*")</f>
        <v>7</v>
      </c>
    </row>
    <row r="57" customFormat="false" ht="21.75" hidden="false" customHeight="true" outlineLevel="0" collapsed="false">
      <c r="A57" s="16" t="s">
        <v>1513</v>
      </c>
      <c r="B57" s="16"/>
      <c r="C57" s="17" t="n">
        <f aca="false">COUNTIF(H4:H53,"Not available*")</f>
        <v>36</v>
      </c>
    </row>
    <row r="58" customFormat="false" ht="21.75" hidden="false" customHeight="true" outlineLevel="0" collapsed="false">
      <c r="A58" s="16" t="s">
        <v>1514</v>
      </c>
      <c r="B58" s="16"/>
      <c r="C58" s="17" t="n">
        <f aca="false">COUNTA(A4:A53)</f>
        <v>50</v>
      </c>
    </row>
    <row r="59" customFormat="false" ht="53.25" hidden="false" customHeight="true" outlineLevel="0" collapsed="false">
      <c r="A59" s="16" t="s">
        <v>1515</v>
      </c>
      <c r="B59" s="16"/>
      <c r="C59" s="23" t="n">
        <f aca="false">ROUND(COUNTIF(H4:H53,"Not available*")/COUNTA(A4:A53),3)</f>
        <v>0.72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74"/>
    <col collapsed="false" customWidth="true" hidden="false" outlineLevel="0" max="3" min="3" style="1" width="18"/>
    <col collapsed="false" customWidth="true" hidden="false" outlineLevel="0" max="4" min="4" style="1" width="30"/>
    <col collapsed="false" customWidth="true" hidden="false" outlineLevel="0" max="6" min="5" style="1" width="12"/>
    <col collapsed="false" customWidth="true" hidden="false" outlineLevel="0" max="7" min="7" style="1" width="20"/>
    <col collapsed="false" customWidth="true" hidden="false" outlineLevel="0" max="8" min="8" style="1" width="14"/>
    <col collapsed="false" customWidth="true" hidden="false" outlineLevel="0" max="9" min="9" style="1" width="20"/>
    <col collapsed="false" customWidth="true" hidden="false" outlineLevel="0" max="10" min="10" style="1" width="60"/>
  </cols>
  <sheetData>
    <row r="1" customFormat="false" ht="15" hidden="false" customHeight="true" outlineLevel="0" collapsed="false">
      <c r="A1" s="9" t="s">
        <v>1516</v>
      </c>
    </row>
    <row r="3" customFormat="false" ht="42" hidden="false" customHeight="true" outlineLevel="0" collapsed="false">
      <c r="A3" s="10" t="s">
        <v>1517</v>
      </c>
      <c r="B3" s="10" t="s">
        <v>1518</v>
      </c>
      <c r="C3" s="10" t="s">
        <v>1519</v>
      </c>
      <c r="D3" s="10" t="s">
        <v>1088</v>
      </c>
      <c r="E3" s="10" t="s">
        <v>1520</v>
      </c>
      <c r="F3" s="10" t="s">
        <v>1090</v>
      </c>
      <c r="G3" s="10" t="s">
        <v>1521</v>
      </c>
      <c r="H3" s="10" t="s">
        <v>1522</v>
      </c>
      <c r="I3" s="10" t="s">
        <v>1523</v>
      </c>
      <c r="J3" s="10" t="s">
        <v>1524</v>
      </c>
    </row>
    <row r="4" customFormat="false" ht="21.75" hidden="false" customHeight="true" outlineLevel="0" collapsed="false">
      <c r="A4" s="11" t="s">
        <v>1525</v>
      </c>
      <c r="B4" s="11" t="s">
        <v>1526</v>
      </c>
      <c r="C4" s="11" t="s">
        <v>1527</v>
      </c>
      <c r="D4" s="11" t="s">
        <v>1097</v>
      </c>
      <c r="E4" s="11" t="s">
        <v>1528</v>
      </c>
      <c r="F4" s="11" t="s">
        <v>377</v>
      </c>
      <c r="G4" s="11" t="s">
        <v>1529</v>
      </c>
      <c r="H4" s="18" t="n">
        <v>0</v>
      </c>
      <c r="I4" s="11" t="s">
        <v>1158</v>
      </c>
      <c r="J4" s="11" t="s">
        <v>1530</v>
      </c>
    </row>
    <row r="5" customFormat="false" ht="21.75" hidden="false" customHeight="true" outlineLevel="0" collapsed="false">
      <c r="A5" s="11" t="s">
        <v>1264</v>
      </c>
      <c r="B5" s="11" t="s">
        <v>1531</v>
      </c>
      <c r="C5" s="11" t="s">
        <v>108</v>
      </c>
      <c r="D5" s="11" t="s">
        <v>1115</v>
      </c>
      <c r="E5" s="11" t="s">
        <v>1532</v>
      </c>
      <c r="F5" s="11" t="s">
        <v>386</v>
      </c>
      <c r="G5" s="11" t="s">
        <v>1533</v>
      </c>
      <c r="H5" s="18" t="n">
        <v>0</v>
      </c>
      <c r="I5" s="11" t="s">
        <v>1525</v>
      </c>
      <c r="J5" s="11" t="s">
        <v>1534</v>
      </c>
    </row>
    <row r="6" customFormat="false" ht="21.75" hidden="false" customHeight="true" outlineLevel="0" collapsed="false">
      <c r="A6" s="11" t="s">
        <v>1535</v>
      </c>
      <c r="B6" s="11" t="s">
        <v>1536</v>
      </c>
      <c r="C6" s="11" t="s">
        <v>70</v>
      </c>
      <c r="D6" s="11" t="s">
        <v>1097</v>
      </c>
      <c r="E6" s="11" t="s">
        <v>1532</v>
      </c>
      <c r="F6" s="11" t="s">
        <v>380</v>
      </c>
      <c r="G6" s="11" t="s">
        <v>1533</v>
      </c>
      <c r="H6" s="18" t="n">
        <v>4000</v>
      </c>
      <c r="I6" s="11" t="s">
        <v>1537</v>
      </c>
      <c r="J6" s="11" t="s">
        <v>1538</v>
      </c>
    </row>
    <row r="7" customFormat="false" ht="21.75" hidden="false" customHeight="true" outlineLevel="0" collapsed="false">
      <c r="A7" s="11" t="s">
        <v>1270</v>
      </c>
      <c r="B7" s="11" t="s">
        <v>1539</v>
      </c>
      <c r="C7" s="11" t="s">
        <v>128</v>
      </c>
      <c r="D7" s="11" t="s">
        <v>1097</v>
      </c>
      <c r="E7" s="11" t="s">
        <v>1532</v>
      </c>
      <c r="F7" s="11" t="s">
        <v>380</v>
      </c>
      <c r="G7" s="11" t="s">
        <v>1533</v>
      </c>
      <c r="H7" s="18" t="n">
        <v>0</v>
      </c>
      <c r="I7" s="11" t="s">
        <v>1540</v>
      </c>
      <c r="J7" s="11" t="s">
        <v>1541</v>
      </c>
    </row>
    <row r="8" customFormat="false" ht="21.75" hidden="false" customHeight="true" outlineLevel="0" collapsed="false">
      <c r="A8" s="11" t="s">
        <v>1276</v>
      </c>
      <c r="B8" s="11" t="s">
        <v>1542</v>
      </c>
      <c r="C8" s="11" t="s">
        <v>1543</v>
      </c>
      <c r="D8" s="11" t="s">
        <v>1097</v>
      </c>
      <c r="E8" s="11" t="s">
        <v>1532</v>
      </c>
      <c r="F8" s="11" t="s">
        <v>386</v>
      </c>
      <c r="G8" s="11" t="s">
        <v>1533</v>
      </c>
      <c r="H8" s="18" t="n">
        <v>0</v>
      </c>
      <c r="I8" s="11" t="s">
        <v>1041</v>
      </c>
      <c r="J8" s="11" t="s">
        <v>1544</v>
      </c>
    </row>
    <row r="9" customFormat="false" ht="15" hidden="false" customHeight="true" outlineLevel="0" collapsed="false">
      <c r="A9" s="11" t="s">
        <v>1545</v>
      </c>
      <c r="B9" s="11" t="s">
        <v>1546</v>
      </c>
      <c r="C9" s="11" t="s">
        <v>1527</v>
      </c>
      <c r="D9" s="11" t="s">
        <v>1115</v>
      </c>
      <c r="E9" s="11" t="s">
        <v>1547</v>
      </c>
      <c r="F9" s="11" t="s">
        <v>382</v>
      </c>
      <c r="G9" s="11" t="s">
        <v>1533</v>
      </c>
      <c r="H9" s="18" t="n">
        <v>0</v>
      </c>
      <c r="I9" s="11" t="s">
        <v>1111</v>
      </c>
      <c r="J9" s="11" t="s">
        <v>1548</v>
      </c>
    </row>
    <row r="10" customFormat="false" ht="21.75" hidden="false" customHeight="true" outlineLevel="0" collapsed="false">
      <c r="A10" s="11" t="s">
        <v>1549</v>
      </c>
      <c r="B10" s="11" t="s">
        <v>1550</v>
      </c>
      <c r="C10" s="11" t="s">
        <v>1527</v>
      </c>
      <c r="D10" s="11" t="s">
        <v>1115</v>
      </c>
      <c r="E10" s="11" t="s">
        <v>1532</v>
      </c>
      <c r="F10" s="11" t="s">
        <v>380</v>
      </c>
      <c r="G10" s="11" t="s">
        <v>1533</v>
      </c>
      <c r="H10" s="18" t="n">
        <v>3000</v>
      </c>
      <c r="I10" s="11" t="s">
        <v>1551</v>
      </c>
      <c r="J10" s="11" t="s">
        <v>1552</v>
      </c>
    </row>
    <row r="11" customFormat="false" ht="21.75" hidden="false" customHeight="true" outlineLevel="0" collapsed="false">
      <c r="A11" s="11" t="s">
        <v>1553</v>
      </c>
      <c r="B11" s="11" t="s">
        <v>1554</v>
      </c>
      <c r="C11" s="11" t="s">
        <v>1527</v>
      </c>
      <c r="D11" s="11" t="s">
        <v>1097</v>
      </c>
      <c r="E11" s="11" t="s">
        <v>1555</v>
      </c>
      <c r="F11" s="11" t="s">
        <v>1556</v>
      </c>
      <c r="G11" s="11" t="s">
        <v>1557</v>
      </c>
      <c r="H11" s="18" t="n">
        <v>0</v>
      </c>
      <c r="I11" s="11" t="s">
        <v>1558</v>
      </c>
      <c r="J11" s="11" t="s">
        <v>1559</v>
      </c>
    </row>
    <row r="12" customFormat="false" ht="15" hidden="false" customHeight="true" outlineLevel="0" collapsed="false">
      <c r="A12" s="11" t="s">
        <v>1560</v>
      </c>
      <c r="B12" s="11" t="s">
        <v>1561</v>
      </c>
      <c r="C12" s="11" t="s">
        <v>1527</v>
      </c>
      <c r="D12" s="11" t="s">
        <v>1115</v>
      </c>
      <c r="E12" s="11" t="s">
        <v>1562</v>
      </c>
      <c r="F12" s="11" t="s">
        <v>484</v>
      </c>
      <c r="G12" s="11" t="s">
        <v>1557</v>
      </c>
      <c r="H12" s="18" t="n">
        <v>0</v>
      </c>
      <c r="I12" s="11" t="s">
        <v>1549</v>
      </c>
      <c r="J12" s="11" t="s">
        <v>1563</v>
      </c>
    </row>
    <row r="13" customFormat="false" ht="15" hidden="false" customHeight="true" outlineLevel="0" collapsed="false">
      <c r="A13" s="11" t="s">
        <v>1564</v>
      </c>
      <c r="B13" s="11" t="s">
        <v>1565</v>
      </c>
      <c r="C13" s="11" t="s">
        <v>1527</v>
      </c>
      <c r="D13" s="11" t="s">
        <v>1097</v>
      </c>
      <c r="E13" s="11" t="s">
        <v>1566</v>
      </c>
      <c r="F13" s="11" t="s">
        <v>1567</v>
      </c>
      <c r="G13" s="11" t="s">
        <v>1568</v>
      </c>
      <c r="H13" s="18" t="n">
        <v>18000</v>
      </c>
      <c r="I13" s="11" t="s">
        <v>1560</v>
      </c>
      <c r="J13" s="11" t="s">
        <v>1569</v>
      </c>
    </row>
    <row r="14" customFormat="false" ht="15" hidden="false" customHeight="true" outlineLevel="0" collapsed="false">
      <c r="A14" s="11" t="s">
        <v>1570</v>
      </c>
      <c r="B14" s="11" t="s">
        <v>1571</v>
      </c>
      <c r="C14" s="11" t="s">
        <v>1527</v>
      </c>
      <c r="D14" s="11" t="s">
        <v>1115</v>
      </c>
      <c r="E14" s="11" t="s">
        <v>1572</v>
      </c>
      <c r="F14" s="11" t="s">
        <v>1573</v>
      </c>
      <c r="G14" s="11" t="s">
        <v>1568</v>
      </c>
      <c r="H14" s="18" t="n">
        <v>0</v>
      </c>
      <c r="I14" s="11" t="s">
        <v>1564</v>
      </c>
      <c r="J14" s="11" t="s">
        <v>1574</v>
      </c>
    </row>
    <row r="15" customFormat="false" ht="15" hidden="false" customHeight="true" outlineLevel="0" collapsed="false">
      <c r="A15" s="11" t="s">
        <v>1575</v>
      </c>
      <c r="B15" s="11" t="s">
        <v>1576</v>
      </c>
      <c r="C15" s="11" t="s">
        <v>1527</v>
      </c>
      <c r="D15" s="11" t="s">
        <v>1097</v>
      </c>
      <c r="E15" s="11" t="s">
        <v>1577</v>
      </c>
      <c r="F15" s="11" t="s">
        <v>1578</v>
      </c>
      <c r="G15" s="11" t="s">
        <v>1568</v>
      </c>
      <c r="H15" s="18" t="n">
        <v>25000</v>
      </c>
      <c r="I15" s="11" t="s">
        <v>1570</v>
      </c>
      <c r="J15" s="11" t="s">
        <v>1579</v>
      </c>
    </row>
    <row r="16" customFormat="false" ht="15" hidden="false" customHeight="true" outlineLevel="0" collapsed="false">
      <c r="A16" s="11" t="s">
        <v>1580</v>
      </c>
      <c r="B16" s="11" t="s">
        <v>1581</v>
      </c>
      <c r="C16" s="11" t="s">
        <v>108</v>
      </c>
      <c r="D16" s="11" t="s">
        <v>1498</v>
      </c>
      <c r="E16" s="11" t="s">
        <v>1562</v>
      </c>
      <c r="F16" s="11" t="s">
        <v>484</v>
      </c>
      <c r="G16" s="11" t="s">
        <v>1557</v>
      </c>
      <c r="H16" s="18" t="n">
        <v>0</v>
      </c>
      <c r="I16" s="11" t="s">
        <v>1264</v>
      </c>
      <c r="J16" s="11" t="s">
        <v>1582</v>
      </c>
    </row>
    <row r="17" customFormat="false" ht="21.75" hidden="false" customHeight="true" outlineLevel="0" collapsed="false">
      <c r="A17" s="11" t="s">
        <v>1583</v>
      </c>
      <c r="B17" s="11" t="s">
        <v>1584</v>
      </c>
      <c r="C17" s="11" t="s">
        <v>1527</v>
      </c>
      <c r="D17" s="11" t="s">
        <v>1097</v>
      </c>
      <c r="E17" s="11" t="s">
        <v>1585</v>
      </c>
      <c r="F17" s="11" t="s">
        <v>1586</v>
      </c>
      <c r="G17" s="11" t="s">
        <v>1587</v>
      </c>
      <c r="H17" s="18" t="n">
        <v>0</v>
      </c>
      <c r="I17" s="11" t="s">
        <v>1575</v>
      </c>
      <c r="J17" s="11" t="s">
        <v>1588</v>
      </c>
    </row>
    <row r="18" customFormat="false" ht="15" hidden="false" customHeight="true" outlineLevel="0" collapsed="false">
      <c r="A18" s="16" t="s">
        <v>542</v>
      </c>
      <c r="B18" s="16" t="s">
        <v>1589</v>
      </c>
      <c r="C18" s="16"/>
      <c r="D18" s="16"/>
      <c r="E18" s="16"/>
      <c r="F18" s="16"/>
      <c r="G18" s="16"/>
      <c r="H18" s="17" t="n">
        <f aca="false">SUM(H4:H17)</f>
        <v>50000</v>
      </c>
      <c r="I18" s="16"/>
      <c r="J18" s="16" t="s">
        <v>1590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6"/>
    <col collapsed="false" customWidth="true" hidden="false" outlineLevel="0" max="3" min="3" style="1" width="74"/>
    <col collapsed="false" customWidth="true" hidden="false" outlineLevel="0" max="4" min="4" style="1" width="86"/>
  </cols>
  <sheetData>
    <row r="1" customFormat="false" ht="15" hidden="false" customHeight="true" outlineLevel="0" collapsed="false">
      <c r="A1" s="9" t="s">
        <v>1591</v>
      </c>
    </row>
    <row r="3" customFormat="false" ht="42" hidden="false" customHeight="true" outlineLevel="0" collapsed="false">
      <c r="A3" s="10" t="s">
        <v>1517</v>
      </c>
      <c r="B3" s="10" t="s">
        <v>1592</v>
      </c>
      <c r="C3" s="10" t="s">
        <v>1593</v>
      </c>
      <c r="D3" s="10" t="s">
        <v>1594</v>
      </c>
    </row>
    <row r="4" customFormat="false" ht="21.75" hidden="false" customHeight="true" outlineLevel="0" collapsed="false">
      <c r="A4" s="14" t="s">
        <v>1595</v>
      </c>
      <c r="B4" s="11" t="s">
        <v>1596</v>
      </c>
      <c r="C4" s="11" t="s">
        <v>1597</v>
      </c>
      <c r="D4" s="11" t="s">
        <v>1598</v>
      </c>
    </row>
    <row r="5" customFormat="false" ht="21.75" hidden="false" customHeight="true" outlineLevel="0" collapsed="false">
      <c r="A5" s="14" t="s">
        <v>1599</v>
      </c>
      <c r="B5" s="11" t="s">
        <v>1600</v>
      </c>
      <c r="C5" s="11" t="s">
        <v>1601</v>
      </c>
      <c r="D5" s="11" t="s">
        <v>1602</v>
      </c>
    </row>
    <row r="6" customFormat="false" ht="21.75" hidden="false" customHeight="true" outlineLevel="0" collapsed="false">
      <c r="A6" s="14" t="s">
        <v>1603</v>
      </c>
      <c r="B6" s="11" t="s">
        <v>1604</v>
      </c>
      <c r="C6" s="11" t="s">
        <v>1605</v>
      </c>
      <c r="D6" s="11" t="s">
        <v>1606</v>
      </c>
    </row>
    <row r="7" customFormat="false" ht="21.75" hidden="false" customHeight="true" outlineLevel="0" collapsed="false">
      <c r="A7" s="14" t="s">
        <v>1607</v>
      </c>
      <c r="B7" s="11" t="s">
        <v>1608</v>
      </c>
      <c r="C7" s="11" t="s">
        <v>1609</v>
      </c>
      <c r="D7" s="11" t="s">
        <v>1610</v>
      </c>
    </row>
    <row r="8" customFormat="false" ht="21.75" hidden="false" customHeight="true" outlineLevel="0" collapsed="false">
      <c r="A8" s="14" t="s">
        <v>1611</v>
      </c>
      <c r="B8" s="11" t="s">
        <v>1612</v>
      </c>
      <c r="C8" s="11" t="s">
        <v>1613</v>
      </c>
      <c r="D8" s="11" t="s">
        <v>1614</v>
      </c>
    </row>
    <row r="9" customFormat="false" ht="21.75" hidden="false" customHeight="true" outlineLevel="0" collapsed="false">
      <c r="A9" s="14" t="s">
        <v>1615</v>
      </c>
      <c r="B9" s="11" t="s">
        <v>1616</v>
      </c>
      <c r="C9" s="11" t="s">
        <v>1617</v>
      </c>
      <c r="D9" s="11" t="s">
        <v>1618</v>
      </c>
    </row>
    <row r="10" customFormat="false" ht="21.75" hidden="false" customHeight="true" outlineLevel="0" collapsed="false">
      <c r="A10" s="14" t="s">
        <v>1619</v>
      </c>
      <c r="B10" s="11" t="s">
        <v>1620</v>
      </c>
      <c r="C10" s="11" t="s">
        <v>1621</v>
      </c>
      <c r="D10" s="11" t="s">
        <v>1622</v>
      </c>
    </row>
    <row r="11" customFormat="false" ht="21.75" hidden="false" customHeight="true" outlineLevel="0" collapsed="false">
      <c r="A11" s="14" t="s">
        <v>1623</v>
      </c>
      <c r="B11" s="11" t="s">
        <v>1624</v>
      </c>
      <c r="C11" s="11" t="s">
        <v>1625</v>
      </c>
      <c r="D11" s="11" t="s">
        <v>1626</v>
      </c>
    </row>
    <row r="14" customFormat="false" ht="15" hidden="false" customHeight="true" outlineLevel="0" collapsed="false">
      <c r="A14" s="24" t="s">
        <v>1627</v>
      </c>
    </row>
    <row r="15" customFormat="false" ht="21.75" hidden="false" customHeight="true" outlineLevel="0" collapsed="false">
      <c r="A15" s="22" t="s">
        <v>1628</v>
      </c>
      <c r="B15" s="22" t="s">
        <v>1629</v>
      </c>
      <c r="C15" s="22" t="s">
        <v>1630</v>
      </c>
      <c r="D15" s="22" t="s">
        <v>1631</v>
      </c>
      <c r="E15" s="22" t="s">
        <v>1632</v>
      </c>
    </row>
    <row r="16" customFormat="false" ht="199.5" hidden="false" customHeight="true" outlineLevel="0" collapsed="false">
      <c r="A16" s="11" t="s">
        <v>1633</v>
      </c>
      <c r="B16" s="11" t="s">
        <v>1634</v>
      </c>
      <c r="C16" s="11" t="s">
        <v>1635</v>
      </c>
      <c r="D16" s="11" t="s">
        <v>1636</v>
      </c>
      <c r="E16" s="11" t="s">
        <v>1637</v>
      </c>
    </row>
    <row r="17" customFormat="false" ht="126.75" hidden="false" customHeight="true" outlineLevel="0" collapsed="false">
      <c r="A17" s="11" t="s">
        <v>1638</v>
      </c>
      <c r="B17" s="11" t="s">
        <v>1639</v>
      </c>
      <c r="C17" s="11" t="s">
        <v>1640</v>
      </c>
      <c r="D17" s="11" t="s">
        <v>1641</v>
      </c>
      <c r="E17" s="11" t="s">
        <v>1642</v>
      </c>
    </row>
    <row r="18" customFormat="false" ht="303.75" hidden="false" customHeight="true" outlineLevel="0" collapsed="false">
      <c r="A18" s="11" t="s">
        <v>1643</v>
      </c>
      <c r="B18" s="11" t="s">
        <v>1644</v>
      </c>
      <c r="C18" s="11" t="s">
        <v>1645</v>
      </c>
      <c r="D18" s="11" t="s">
        <v>1646</v>
      </c>
      <c r="E18" s="11" t="s">
        <v>1647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86"/>
    <col collapsed="false" customWidth="true" hidden="false" outlineLevel="0" max="4" min="3" style="1" width="34"/>
    <col collapsed="false" customWidth="true" hidden="false" outlineLevel="0" max="5" min="5" style="1" width="12"/>
  </cols>
  <sheetData>
    <row r="1" customFormat="false" ht="15" hidden="false" customHeight="true" outlineLevel="0" collapsed="false">
      <c r="A1" s="9" t="s">
        <v>1648</v>
      </c>
    </row>
    <row r="3" customFormat="false" ht="42" hidden="false" customHeight="true" outlineLevel="0" collapsed="false">
      <c r="A3" s="10" t="s">
        <v>1649</v>
      </c>
      <c r="B3" s="10" t="s">
        <v>1650</v>
      </c>
      <c r="C3" s="10" t="s">
        <v>1651</v>
      </c>
      <c r="D3" s="10" t="s">
        <v>1652</v>
      </c>
      <c r="E3" s="10" t="s">
        <v>566</v>
      </c>
    </row>
    <row r="4" customFormat="false" ht="15" hidden="false" customHeight="true" outlineLevel="0" collapsed="false">
      <c r="A4" s="11" t="n">
        <v>1</v>
      </c>
      <c r="B4" s="11" t="s">
        <v>1653</v>
      </c>
      <c r="C4" s="11" t="s">
        <v>1654</v>
      </c>
      <c r="D4" s="12" t="n">
        <f aca="false">COUNTIF(01_TSC_Crosswalk!H4:H41,0)</f>
        <v>0</v>
      </c>
      <c r="E4" s="15" t="str">
        <f aca="false">IF(D4=0,"PASS","FAIL")</f>
        <v>PASS</v>
      </c>
    </row>
    <row r="5" customFormat="false" ht="15" hidden="false" customHeight="true" outlineLevel="0" collapsed="false">
      <c r="A5" s="11" t="n">
        <v>2</v>
      </c>
      <c r="B5" s="11" t="s">
        <v>1655</v>
      </c>
      <c r="C5" s="11" t="s">
        <v>1656</v>
      </c>
      <c r="D5" s="12" t="n">
        <f aca="false">COUNTA(01_TSC_Crosswalk!A4:A41)</f>
        <v>38</v>
      </c>
      <c r="E5" s="15" t="str">
        <f aca="false">IF(D5=38,"PASS","FAIL")</f>
        <v>PASS</v>
      </c>
    </row>
    <row r="6" customFormat="false" ht="15" hidden="false" customHeight="true" outlineLevel="0" collapsed="false">
      <c r="A6" s="11" t="n">
        <v>3</v>
      </c>
      <c r="B6" s="11" t="s">
        <v>1657</v>
      </c>
      <c r="C6" s="11" t="s">
        <v>1658</v>
      </c>
      <c r="D6" s="12" t="n">
        <f aca="false">COUNTIF(01_TSC_Crosswalk!B4:B41,"Security")</f>
        <v>33</v>
      </c>
      <c r="E6" s="15" t="str">
        <f aca="false">IF(D6=33,"PASS","FAIL")</f>
        <v>PASS</v>
      </c>
    </row>
    <row r="7" customFormat="false" ht="15" hidden="false" customHeight="true" outlineLevel="0" collapsed="false">
      <c r="A7" s="11" t="n">
        <v>4</v>
      </c>
      <c r="B7" s="11" t="s">
        <v>1659</v>
      </c>
      <c r="C7" s="11" t="s">
        <v>1660</v>
      </c>
      <c r="D7" s="12" t="n">
        <f aca="false">COUNTIF(01_TSC_Crosswalk!B4:B41,"Availability")+COUNTIF(01_TSC_Crosswalk!B4:B41,"Confidentiality")</f>
        <v>5</v>
      </c>
      <c r="E7" s="15" t="str">
        <f aca="false">IF(D7=5,"PASS","FAIL")</f>
        <v>PASS</v>
      </c>
    </row>
    <row r="8" customFormat="false" ht="15" hidden="false" customHeight="true" outlineLevel="0" collapsed="false">
      <c r="A8" s="11" t="n">
        <v>5</v>
      </c>
      <c r="B8" s="11" t="s">
        <v>1661</v>
      </c>
      <c r="C8" s="11" t="s">
        <v>1662</v>
      </c>
      <c r="D8" s="12" t="n">
        <f aca="false">COUNTA(03_AnnexA_Maturity!A4:A96)</f>
        <v>93</v>
      </c>
      <c r="E8" s="15" t="str">
        <f aca="false">IF(D8=93,"PASS","FAIL")</f>
        <v>PASS</v>
      </c>
    </row>
    <row r="9" customFormat="false" ht="15" hidden="false" customHeight="true" outlineLevel="0" collapsed="false">
      <c r="A9" s="11" t="n">
        <v>6</v>
      </c>
      <c r="B9" s="11" t="s">
        <v>1663</v>
      </c>
      <c r="C9" s="11" t="s">
        <v>1664</v>
      </c>
      <c r="D9" s="12" t="n">
        <f aca="false">COUNTIF(03_AnnexA_Maturity!D4:D96,"Y")</f>
        <v>88</v>
      </c>
      <c r="E9" s="15" t="str">
        <f aca="false">IF(D9=88,"PASS","FAIL")</f>
        <v>PASS</v>
      </c>
    </row>
    <row r="10" customFormat="false" ht="15" hidden="false" customHeight="true" outlineLevel="0" collapsed="false">
      <c r="A10" s="11" t="n">
        <v>7</v>
      </c>
      <c r="B10" s="11" t="s">
        <v>1665</v>
      </c>
      <c r="C10" s="11" t="s">
        <v>1660</v>
      </c>
      <c r="D10" s="12" t="n">
        <f aca="false">COUNTIF(03_AnnexA_Maturity!D4:D96,"N")</f>
        <v>5</v>
      </c>
      <c r="E10" s="15" t="str">
        <f aca="false">IF(D10=5,"PASS","FAIL")</f>
        <v>PASS</v>
      </c>
    </row>
    <row r="11" customFormat="false" ht="15" hidden="false" customHeight="true" outlineLevel="0" collapsed="false">
      <c r="A11" s="11" t="n">
        <v>8</v>
      </c>
      <c r="B11" s="11" t="s">
        <v>1666</v>
      </c>
      <c r="C11" s="11" t="s">
        <v>803</v>
      </c>
      <c r="D11" s="12" t="n">
        <f aca="false">COUNTIF(03_AnnexA_Maturity!F4:F96,"Implemented")</f>
        <v>0</v>
      </c>
      <c r="E11" s="15" t="str">
        <f aca="false">IF(D11=0,"PASS","FAIL")</f>
        <v>PASS</v>
      </c>
    </row>
    <row r="12" customFormat="false" ht="15" hidden="false" customHeight="true" outlineLevel="0" collapsed="false">
      <c r="A12" s="11" t="n">
        <v>9</v>
      </c>
      <c r="B12" s="11" t="s">
        <v>1667</v>
      </c>
      <c r="C12" s="11" t="s">
        <v>1668</v>
      </c>
      <c r="D12" s="12" t="n">
        <f aca="false">COUNTIF(03_AnnexA_Maturity!F4:F96,"Partial")</f>
        <v>45</v>
      </c>
      <c r="E12" s="15" t="str">
        <f aca="false">IF(D12=45,"PASS","FAIL")</f>
        <v>PASS</v>
      </c>
    </row>
    <row r="13" customFormat="false" ht="15" hidden="false" customHeight="true" outlineLevel="0" collapsed="false">
      <c r="A13" s="11" t="n">
        <v>10</v>
      </c>
      <c r="B13" s="11" t="s">
        <v>1669</v>
      </c>
      <c r="C13" s="11" t="s">
        <v>1670</v>
      </c>
      <c r="D13" s="12" t="n">
        <f aca="false">COUNTIF(03_AnnexA_Maturity!F4:F96,"Not started")</f>
        <v>43</v>
      </c>
      <c r="E13" s="15" t="str">
        <f aca="false">IF(D13=43,"PASS","FAIL")</f>
        <v>PASS</v>
      </c>
    </row>
    <row r="14" customFormat="false" ht="15" hidden="false" customHeight="true" outlineLevel="0" collapsed="false">
      <c r="A14" s="11" t="n">
        <v>11</v>
      </c>
      <c r="B14" s="11" t="s">
        <v>1671</v>
      </c>
      <c r="C14" s="11" t="s">
        <v>1672</v>
      </c>
      <c r="D14" s="12" t="n">
        <f aca="false">COUNTA(04_Clause_Readiness!A4:A31)</f>
        <v>28</v>
      </c>
      <c r="E14" s="15" t="str">
        <f aca="false">IF(D14=28,"PASS","FAIL")</f>
        <v>PASS</v>
      </c>
    </row>
    <row r="15" customFormat="false" ht="15" hidden="false" customHeight="true" outlineLevel="0" collapsed="false">
      <c r="A15" s="11" t="n">
        <v>12</v>
      </c>
      <c r="B15" s="11" t="s">
        <v>1673</v>
      </c>
      <c r="C15" s="11" t="s">
        <v>1674</v>
      </c>
      <c r="D15" s="12" t="n">
        <f aca="false">SUM(04_Clause_Readiness!C4:C31)</f>
        <v>19</v>
      </c>
      <c r="E15" s="15" t="str">
        <f aca="false">IF(D15=19,"PASS","FAIL")</f>
        <v>PASS</v>
      </c>
    </row>
    <row r="16" customFormat="false" ht="15" hidden="false" customHeight="true" outlineLevel="0" collapsed="false">
      <c r="A16" s="11" t="n">
        <v>13</v>
      </c>
      <c r="B16" s="11" t="s">
        <v>1675</v>
      </c>
      <c r="C16" s="11" t="s">
        <v>1676</v>
      </c>
      <c r="D16" s="12" t="n">
        <f aca="false">COUNTIF(04_Clause_Readiness!F4:F31,"Met")</f>
        <v>1</v>
      </c>
      <c r="E16" s="15" t="str">
        <f aca="false">IF(D16=1,"PASS","FAIL")</f>
        <v>PASS</v>
      </c>
    </row>
    <row r="17" customFormat="false" ht="15" hidden="false" customHeight="true" outlineLevel="0" collapsed="false">
      <c r="A17" s="11" t="n">
        <v>14</v>
      </c>
      <c r="B17" s="11" t="s">
        <v>1677</v>
      </c>
      <c r="C17" s="11" t="s">
        <v>1678</v>
      </c>
      <c r="D17" s="12" t="n">
        <f aca="false">COUNTIFS(04_Clause_Readiness!D4:D31,"Y",04_Clause_Readiness!F4:F31,"Not met")</f>
        <v>8</v>
      </c>
      <c r="E17" s="15" t="str">
        <f aca="false">IF(D17=8,"PASS","FAIL")</f>
        <v>PASS</v>
      </c>
    </row>
    <row r="18" customFormat="false" ht="15" hidden="false" customHeight="true" outlineLevel="0" collapsed="false">
      <c r="A18" s="11" t="n">
        <v>15</v>
      </c>
      <c r="B18" s="11" t="s">
        <v>574</v>
      </c>
      <c r="C18" s="11" t="s">
        <v>803</v>
      </c>
      <c r="D18" s="12" t="n">
        <f aca="false">COUNTIF(01_TSC_Crosswalk!O4:O41,"Evidenced")</f>
        <v>0</v>
      </c>
      <c r="E18" s="15" t="str">
        <f aca="false">IF(D18=0,"PASS","FAIL")</f>
        <v>PASS</v>
      </c>
    </row>
    <row r="19" customFormat="false" ht="15" hidden="false" customHeight="true" outlineLevel="0" collapsed="false">
      <c r="A19" s="11" t="n">
        <v>16</v>
      </c>
      <c r="B19" s="11" t="s">
        <v>573</v>
      </c>
      <c r="C19" s="11" t="s">
        <v>1678</v>
      </c>
      <c r="D19" s="12" t="n">
        <f aca="false">COUNTIF(01_TSC_Crosswalk!N4:N41,"Adequate")</f>
        <v>8</v>
      </c>
      <c r="E19" s="15" t="str">
        <f aca="false">IF(D19=8,"PASS","FAIL")</f>
        <v>PASS</v>
      </c>
    </row>
    <row r="20" customFormat="false" ht="15" hidden="false" customHeight="true" outlineLevel="0" collapsed="false">
      <c r="A20" s="11" t="n">
        <v>17</v>
      </c>
      <c r="B20" s="11" t="s">
        <v>1679</v>
      </c>
      <c r="C20" s="11" t="s">
        <v>1680</v>
      </c>
      <c r="D20" s="12" t="n">
        <f aca="false">COUNTIF(07_Gates!E4:E11,"FAIL")</f>
        <v>6</v>
      </c>
      <c r="E20" s="15" t="str">
        <f aca="false">IF(D20=6,"PASS","FAIL")</f>
        <v>PASS</v>
      </c>
    </row>
    <row r="21" customFormat="false" ht="15" hidden="false" customHeight="true" outlineLevel="0" collapsed="false">
      <c r="A21" s="11" t="n">
        <v>18</v>
      </c>
      <c r="B21" s="11" t="s">
        <v>1681</v>
      </c>
      <c r="C21" s="11" t="s">
        <v>1682</v>
      </c>
      <c r="D21" s="12" t="str">
        <f aca="false">TEXT(06_Readiness_Score!C6,"0.0%")</f>
        <v>53.9%</v>
      </c>
      <c r="E21" s="15" t="str">
        <f aca="false">IF(D21="53.9%","PASS","FAIL")</f>
        <v>PASS</v>
      </c>
    </row>
    <row r="22" customFormat="false" ht="15" hidden="false" customHeight="true" outlineLevel="0" collapsed="false">
      <c r="A22" s="11" t="n">
        <v>19</v>
      </c>
      <c r="B22" s="11" t="s">
        <v>1683</v>
      </c>
      <c r="C22" s="11" t="s">
        <v>1684</v>
      </c>
      <c r="D22" s="12" t="str">
        <f aca="false">TEXT(06_Readiness_Score!C8,"0.0%")</f>
        <v>36.0%</v>
      </c>
      <c r="E22" s="15" t="str">
        <f aca="false">IF(D22="36.0%","PASS","FAIL")</f>
        <v>PASS</v>
      </c>
    </row>
    <row r="23" customFormat="false" ht="15" hidden="false" customHeight="true" outlineLevel="0" collapsed="false">
      <c r="A23" s="11" t="n">
        <v>20</v>
      </c>
      <c r="B23" s="11" t="s">
        <v>1685</v>
      </c>
      <c r="C23" s="11" t="s">
        <v>1686</v>
      </c>
      <c r="D23" s="12" t="n">
        <f aca="false">COUNTA(11_Audit_Workpapers!A4:A27)</f>
        <v>24</v>
      </c>
      <c r="E23" s="15" t="str">
        <f aca="false">IF(D23=24,"PASS","FAIL")</f>
        <v>PASS</v>
      </c>
    </row>
    <row r="24" customFormat="false" ht="15" hidden="false" customHeight="true" outlineLevel="0" collapsed="false">
      <c r="A24" s="11" t="n">
        <v>21</v>
      </c>
      <c r="B24" s="11" t="s">
        <v>1308</v>
      </c>
      <c r="C24" s="11" t="s">
        <v>1687</v>
      </c>
      <c r="D24" s="12" t="n">
        <f aca="false">COUNTIF(12_Findings_Register!B4:B40,"Major")</f>
        <v>9</v>
      </c>
      <c r="E24" s="15" t="str">
        <f aca="false">IF(D24=9,"PASS","FAIL")</f>
        <v>PASS</v>
      </c>
    </row>
    <row r="25" customFormat="false" ht="15" hidden="false" customHeight="true" outlineLevel="0" collapsed="false">
      <c r="A25" s="11" t="n">
        <v>22</v>
      </c>
      <c r="B25" s="11" t="s">
        <v>1309</v>
      </c>
      <c r="C25" s="11" t="s">
        <v>1688</v>
      </c>
      <c r="D25" s="12" t="n">
        <f aca="false">COUNTIF(12_Findings_Register!B4:B40,"Minor")</f>
        <v>10</v>
      </c>
      <c r="E25" s="15" t="str">
        <f aca="false">IF(D25=10,"PASS","FAIL")</f>
        <v>PASS</v>
      </c>
    </row>
    <row r="26" customFormat="false" ht="15" hidden="false" customHeight="true" outlineLevel="0" collapsed="false">
      <c r="A26" s="11" t="n">
        <v>23</v>
      </c>
      <c r="B26" s="11" t="s">
        <v>1310</v>
      </c>
      <c r="C26" s="11" t="s">
        <v>1689</v>
      </c>
      <c r="D26" s="12" t="n">
        <f aca="false">COUNTIF(12_Findings_Register!B4:B40,"OFI")</f>
        <v>18</v>
      </c>
      <c r="E26" s="15" t="str">
        <f aca="false">IF(D26=18,"PASS","FAIL")</f>
        <v>PASS</v>
      </c>
    </row>
    <row r="27" customFormat="false" ht="15" hidden="false" customHeight="true" outlineLevel="0" collapsed="false">
      <c r="A27" s="11" t="n">
        <v>24</v>
      </c>
      <c r="B27" s="11" t="s">
        <v>1311</v>
      </c>
      <c r="C27" s="11" t="s">
        <v>1690</v>
      </c>
      <c r="D27" s="12" t="n">
        <f aca="false">COUNTA(12_Findings_Register!A4:A40)</f>
        <v>37</v>
      </c>
      <c r="E27" s="15" t="str">
        <f aca="false">IF(D27=37,"PASS","FAIL")</f>
        <v>PASS</v>
      </c>
    </row>
    <row r="28" customFormat="false" ht="15" hidden="false" customHeight="true" outlineLevel="0" collapsed="false">
      <c r="A28" s="11" t="n">
        <v>25</v>
      </c>
      <c r="B28" s="11" t="s">
        <v>1691</v>
      </c>
      <c r="C28" s="11" t="s">
        <v>1692</v>
      </c>
      <c r="D28" s="12" t="n">
        <f aca="false">COUNTBLANK(12_Findings_Register!G4:G40)+COUNTBLANK(12_Findings_Register!I4:I40)</f>
        <v>0</v>
      </c>
      <c r="E28" s="15" t="str">
        <f aca="false">IF(D28=0,"PASS","FAIL")</f>
        <v>PASS</v>
      </c>
    </row>
    <row r="29" customFormat="false" ht="15" hidden="false" customHeight="true" outlineLevel="0" collapsed="false">
      <c r="A29" s="11" t="n">
        <v>26</v>
      </c>
      <c r="B29" s="11" t="s">
        <v>1693</v>
      </c>
      <c r="C29" s="11" t="s">
        <v>1694</v>
      </c>
      <c r="D29" s="12" t="n">
        <f aca="false">COUNTA(13_PBC_List!A4:A53)</f>
        <v>50</v>
      </c>
      <c r="E29" s="15" t="str">
        <f aca="false">IF(D29=50,"PASS","FAIL")</f>
        <v>PASS</v>
      </c>
    </row>
    <row r="30" customFormat="false" ht="15" hidden="false" customHeight="true" outlineLevel="0" collapsed="false">
      <c r="A30" s="11" t="n">
        <v>27</v>
      </c>
      <c r="B30" s="11" t="s">
        <v>1695</v>
      </c>
      <c r="C30" s="11" t="s">
        <v>1696</v>
      </c>
      <c r="D30" s="12" t="n">
        <f aca="false">COUNTA(14_SOC2_Roadmap!A4:A17)</f>
        <v>14</v>
      </c>
      <c r="E30" s="15" t="str">
        <f aca="false">IF(D30=14,"PASS","FAIL")</f>
        <v>PASS</v>
      </c>
    </row>
    <row r="31" customFormat="false" ht="15" hidden="false" customHeight="true" outlineLevel="0" collapsed="false">
      <c r="A31" s="11" t="n">
        <v>28</v>
      </c>
      <c r="B31" s="11" t="s">
        <v>1697</v>
      </c>
      <c r="C31" s="11" t="s">
        <v>1678</v>
      </c>
      <c r="D31" s="12" t="n">
        <f aca="false">COUNTA(15_Conflicts_and_Projection!A4:A11)</f>
        <v>8</v>
      </c>
      <c r="E31" s="15" t="str">
        <f aca="false">IF(D31=8,"PASS","FAIL")</f>
        <v>PASS</v>
      </c>
    </row>
    <row r="32" customFormat="false" ht="15" hidden="false" customHeight="true" outlineLevel="0" collapsed="false">
      <c r="A32" s="11" t="n">
        <v>29</v>
      </c>
      <c r="B32" s="11" t="s">
        <v>1698</v>
      </c>
      <c r="C32" s="11" t="s">
        <v>1688</v>
      </c>
      <c r="D32" s="12" t="n">
        <f aca="false">COUNTA(08_CUEC_Schedule!A4:A13)</f>
        <v>10</v>
      </c>
      <c r="E32" s="15" t="str">
        <f aca="false">IF(D32=10,"PASS","FAIL")</f>
        <v>PASS</v>
      </c>
    </row>
    <row r="33" customFormat="false" ht="15" hidden="false" customHeight="true" outlineLevel="0" collapsed="false">
      <c r="A33" s="11" t="n">
        <v>30</v>
      </c>
      <c r="B33" s="11" t="s">
        <v>1699</v>
      </c>
      <c r="C33" s="11" t="s">
        <v>1680</v>
      </c>
      <c r="D33" s="12" t="n">
        <f aca="false">COUNTA(09_CSOC_and_Mirror!A4:A9)</f>
        <v>6</v>
      </c>
      <c r="E33" s="15" t="str">
        <f aca="false">IF(D33=6,"PASS","FAIL")</f>
        <v>PASS</v>
      </c>
    </row>
    <row r="34" customFormat="false" ht="15" hidden="false" customHeight="true" outlineLevel="0" collapsed="false">
      <c r="A34" s="16"/>
      <c r="B34" s="16" t="s">
        <v>1700</v>
      </c>
      <c r="C34" s="16" t="s">
        <v>1701</v>
      </c>
      <c r="D34" s="17" t="str">
        <f aca="false">COUNTIF(E4:E33,"PASS")&amp;" of 30 PASS"</f>
        <v>30 of 30 PASS</v>
      </c>
      <c r="E34" s="25" t="str">
        <f aca="false">IF(COUNTIF(E4:E33,"FAIL")=0,"PASS","FAIL")</f>
        <v>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2026-09-25T16:17:42Z</dcterms:created>
  <dc:creator>openpyxl</dc:creator>
  <dc:description/>
  <dc:language>en-US</dc:language>
  <cp:lastModifiedBy/>
  <dcterms:modified xsi:type="dcterms:W3CDTF">2026-10-13T14:22:26Z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