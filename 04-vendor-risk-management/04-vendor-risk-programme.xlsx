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README" sheetId="1" state="visible" r:id="rId3"/>
    <sheet name="01_Inventory" sheetId="2" state="visible" r:id="rId4"/>
    <sheet name="02_Tiering_Model" sheetId="3" state="visible" r:id="rId5"/>
    <sheet name="03_Questionnaire" sheetId="4" state="visible" r:id="rId6"/>
    <sheet name="04_Assessments" sheetId="5" state="visible" r:id="rId7"/>
    <sheet name="05_Risk_Addendum" sheetId="6" state="visible" r:id="rId8"/>
    <sheet name="06_KRIs" sheetId="7" state="visible" r:id="rId9"/>
    <sheet name="07_Clause_Checklist" sheetId="8" state="visible" r:id="rId10"/>
    <sheet name="08_Issue_Checklist" sheetId="9" state="visible" r:id="rId11"/>
  </sheets>
  <definedNames>
    <definedName function="false" hidden="true" localSheetId="1" name="_xlnm._FilterDatabase" vbProcedure="false">01_Inventory!$A$1:$Z$18</definedName>
    <definedName function="false" hidden="true" localSheetId="3" name="_xlnm._FilterDatabase" vbProcedure="false">03_Questionnaire!$A$1:$P$75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<sst xmlns="http://schemas.openxmlformats.org/spreadsheetml/2006/main" count="1703" uniqueCount="1110">
  <si>
    <t xml:space="preserve">CGI-TPR-001 — Third-Party / Vendor Risk Management Programme v1.0</t>
  </si>
  <si>
    <t xml:space="preserve">SIMULATED CASE STUDY. Cypher Group Inc. is a simulated company. Real product names are stand-ins: every assurance status, DPA status, report period, hosting region and finding attributed to them is invented and is not a statement about those companies.</t>
  </si>
  <si>
    <t xml:space="preserve">Commissioned by</t>
  </si>
  <si>
    <t xml:space="preserve">CGI-GAP-001 REC-15, following GAP-006 (GV.SC = 0).</t>
  </si>
  <si>
    <t xml:space="preserve">Prepared by</t>
  </si>
  <si>
    <t xml:space="preserve">O.S, Assessor</t>
  </si>
  <si>
    <t xml:space="preserve">Approved by</t>
  </si>
  <si>
    <t xml:space="preserve">Jerry Olugboye, Chief Executive Officer — 15 September 2026</t>
  </si>
  <si>
    <t xml:space="preserve">Risk method</t>
  </si>
  <si>
    <t xml:space="preserve">Identical NIST SP 800-30 Rev. 1 5 × 5 and thresholds as CGI-RSK-001 v1.0.</t>
  </si>
  <si>
    <t xml:space="preserve">Key rule</t>
  </si>
  <si>
    <t xml:space="preserve">Tier is decided by your exposure, never by the vendor's quality — and it is decided before any assessment.</t>
  </si>
  <si>
    <t xml:space="preserve">SHEETS</t>
  </si>
  <si>
    <t xml:space="preserve">01_Inventory</t>
  </si>
  <si>
    <t xml:space="preserve">17 vendors. Columns A–Q are the 17 mandated inventory columns; R–Z are governance columns. Tier, factor total and rating are formulas.</t>
  </si>
  <si>
    <t xml:space="preserve">02_Tiering_Model</t>
  </si>
  <si>
    <t xml:space="preserve">Factors, escalation triggers, tier rules and a live estate summary.</t>
  </si>
  <si>
    <t xml:space="preserve">03_Questionnaire</t>
  </si>
  <si>
    <t xml:space="preserve">CGI-TPR-002 — 74 questions, 16 domains, weights, evidence and dual mapping. Tier 2 flag is a formula.</t>
  </si>
  <si>
    <t xml:space="preserve">04_Assessments</t>
  </si>
  <si>
    <t xml:space="preserve">VRA-2026-001 to -003: scores, bands and decisions are formulas; findings, remediation and conditions below.</t>
  </si>
  <si>
    <t xml:space="preserve">05_Risk_Addendum</t>
  </si>
  <si>
    <t xml:space="preserve">VR-001 to VR-009 with score and rating formulas, plus the CGI-RSK-001 v1.1 merge calculation.</t>
  </si>
  <si>
    <t xml:space="preserve">06_KRIs</t>
  </si>
  <si>
    <t xml:space="preserve">KRI-V1 to KRI-V7. KRI-V1 (DPA coverage) is calculated live from the inventory.</t>
  </si>
  <si>
    <t xml:space="preserve">07_Clause_Checklist</t>
  </si>
  <si>
    <t xml:space="preserve">The 18 contractual security clauses by tier.</t>
  </si>
  <si>
    <t xml:space="preserve">08_Issue_Checklist</t>
  </si>
  <si>
    <t xml:space="preserve">Quality checks performed before issue.</t>
  </si>
  <si>
    <t xml:space="preserve">COLOUR LEGEND</t>
  </si>
  <si>
    <t xml:space="preserve">Yellow cell</t>
  </si>
  <si>
    <t xml:space="preserve">Input — type or choose here</t>
  </si>
  <si>
    <t xml:space="preserve">Grey cell</t>
  </si>
  <si>
    <t xml:space="preserve">Formula — do not overwrite</t>
  </si>
  <si>
    <t xml:space="preserve">Green</t>
  </si>
  <si>
    <t xml:space="preserve">Pass / compliant / low</t>
  </si>
  <si>
    <t xml:space="preserve">Amber</t>
  </si>
  <si>
    <t xml:space="preserve">Partial / condition / medium</t>
  </si>
  <si>
    <t xml:space="preserve">Red</t>
  </si>
  <si>
    <t xml:space="preserve">Fail / non-compliant / high or critical</t>
  </si>
  <si>
    <t xml:space="preserve">PUBLISHING</t>
  </si>
  <si>
    <t xml:space="preserve">GitHub</t>
  </si>
  <si>
    <t xml:space="preserve">Upload this .xlsx next to its .md file. GitHub cannot preview .xlsx, so the project README links to it as a download.</t>
  </si>
  <si>
    <t xml:space="preserve">Notion</t>
  </si>
  <si>
    <t xml:space="preserve">Import the matching CSV files from the data/ folder (Settings → Import → CSV) for sortable databases.</t>
  </si>
  <si>
    <t xml:space="preserve">Vendor ID</t>
  </si>
  <si>
    <t xml:space="preserve">Vendor Name</t>
  </si>
  <si>
    <t xml:space="preserve">Service Description</t>
  </si>
  <si>
    <t xml:space="preserve">Business Owner (Job Title)</t>
  </si>
  <si>
    <t xml:space="preserve">Data Classification Accessed</t>
  </si>
  <si>
    <t xml:space="preserve">Data Types Processed</t>
  </si>
  <si>
    <t xml:space="preserve">Volume / Criticality</t>
  </si>
  <si>
    <t xml:space="preserve">Hosting Region</t>
  </si>
  <si>
    <t xml:space="preserve">Sub-processors Used</t>
  </si>
  <si>
    <t xml:space="preserve">DPA in Place</t>
  </si>
  <si>
    <t xml:space="preserve">Assurance Artifact Held</t>
  </si>
  <si>
    <t xml:space="preserve">Tier</t>
  </si>
  <si>
    <t xml:space="preserve">Inherent Vendor Risk</t>
  </si>
  <si>
    <t xml:space="preserve">Assessment Status</t>
  </si>
  <si>
    <t xml:space="preserve">Next Review Date</t>
  </si>
  <si>
    <t xml:space="preserve">Related CGI-RSK-001 Risk ID</t>
  </si>
  <si>
    <t xml:space="preserve">Related CSF Category</t>
  </si>
  <si>
    <t xml:space="preserve">D Data Exposure (0-3)</t>
  </si>
  <si>
    <t xml:space="preserve">A Availability Dependency (0-3)</t>
  </si>
  <si>
    <t xml:space="preserve">C Connectivity / Privilege (0-3)</t>
  </si>
  <si>
    <t xml:space="preserve">R Replaceability (0-3)</t>
  </si>
  <si>
    <t xml:space="preserve">Factor Total</t>
  </si>
  <si>
    <t xml:space="preserve">Escalation Triggers Fired</t>
  </si>
  <si>
    <t xml:space="preserve">Inherent Rating</t>
  </si>
  <si>
    <t xml:space="preserve">SSO Federated</t>
  </si>
  <si>
    <t xml:space="preserve">Assessor Note</t>
  </si>
  <si>
    <t xml:space="preserve">CGI-VEN-001</t>
  </si>
  <si>
    <t xml:space="preserve">Amazon Web Services (AWS)</t>
  </si>
  <si>
    <t xml:space="preserve">Cloud hosting and infrastructure for the production platform</t>
  </si>
  <si>
    <t xml:space="preserve">Chief Technology Officer</t>
  </si>
  <si>
    <t xml:space="preserve">Restricted</t>
  </si>
  <si>
    <t xml:space="preserve">Customer account data, project content, payment metadata, backups, application logs</t>
  </si>
  <si>
    <t xml:space="preserve">All production data for approx. 200 customers / Critical</t>
  </si>
  <si>
    <t xml:space="preserve">eu-central-1 (Frankfurt), with us-east-1 for backups</t>
  </si>
  <si>
    <t xml:space="preserve">Y</t>
  </si>
  <si>
    <t xml:space="preserve">Y - 14 Feb 2024</t>
  </si>
  <si>
    <t xml:space="preserve">SOC 2 Type II (period ended 30 Jun 2026) + ISO/IEC 27001, 27017, 27018 - held on file</t>
  </si>
  <si>
    <t xml:space="preserve">Assessed - PASS WITH CONDITIONS (VRA-2026-001)</t>
  </si>
  <si>
    <t xml:space="preserve">15 Dec 2026 (conditions) / 15 Sep 2027 (full)</t>
  </si>
  <si>
    <t xml:space="preserve">R-005, R-002</t>
  </si>
  <si>
    <t xml:space="preserve">PR.IR, GV.SC, PR.DS</t>
  </si>
  <si>
    <t xml:space="preserve">T1-a, T1-b, T1-c, T1-d, T1-e</t>
  </si>
  <si>
    <t xml:space="preserve">Carve-out method; four CUECs unaccepted. No CIS baseline on the CGI side (CG-03).</t>
  </si>
  <si>
    <t xml:space="preserve">CGI-VEN-002</t>
  </si>
  <si>
    <t xml:space="preserve">GitHub (Microsoft)</t>
  </si>
  <si>
    <t xml:space="preserve">Source code hosting, CI/CD pipeline and secrets store</t>
  </si>
  <si>
    <t xml:space="preserve">Confidential</t>
  </si>
  <si>
    <t xml:space="preserve">Application source code, infrastructure-as-code, CI secrets, deployment credentials</t>
  </si>
  <si>
    <t xml:space="preserve">100% of the codebase / Critical</t>
  </si>
  <si>
    <t xml:space="preserve">United States (multi-region)</t>
  </si>
  <si>
    <t xml:space="preserve">Y - 09 Mar 2024</t>
  </si>
  <si>
    <t xml:space="preserve">SOC 2 Type II (period ended 31 Mar 2026) + ISO/IEC 27001 - held on file</t>
  </si>
  <si>
    <t xml:space="preserve">Assessed - Pass (VRA-2026-004)</t>
  </si>
  <si>
    <t xml:space="preserve">15 Sep 2027</t>
  </si>
  <si>
    <t xml:space="preserve">R-004</t>
  </si>
  <si>
    <t xml:space="preserve">PR.PS, GV.SC</t>
  </si>
  <si>
    <t xml:space="preserve">T1-c, T1-e</t>
  </si>
  <si>
    <t xml:space="preserve">No branch protection on the CGI side (CG-02). Vendor control strong; our use of it is not.</t>
  </si>
  <si>
    <t xml:space="preserve">CGI-VEN-003</t>
  </si>
  <si>
    <t xml:space="preserve">Google Workspace</t>
  </si>
  <si>
    <t xml:space="preserve">Email, documents, shared drives and primary identity provider</t>
  </si>
  <si>
    <t xml:space="preserve">IT Operations Manager</t>
  </si>
  <si>
    <t xml:space="preserve">Internal documents, employee email, contracts, limited customer PII</t>
  </si>
  <si>
    <t xml:space="preserve">50 mailboxes, all internal documents / High</t>
  </si>
  <si>
    <t xml:space="preserve">EU and US (global regions)</t>
  </si>
  <si>
    <t xml:space="preserve">Y - 22 Jan 2024</t>
  </si>
  <si>
    <t xml:space="preserve">SOC 2 Type II (period ended 31 May 2026) + ISO/IEC 27001, 27017, 27018 - held on file</t>
  </si>
  <si>
    <t xml:space="preserve">Assessed - Pass (VRA-2026-005)</t>
  </si>
  <si>
    <t xml:space="preserve">R-001, R-003</t>
  </si>
  <si>
    <t xml:space="preserve">PR.AA, PR.DS, GV.SC</t>
  </si>
  <si>
    <t xml:space="preserve">T1-d, T1-e</t>
  </si>
  <si>
    <t xml:space="preserve">No data-egress monitoring on the CGI side (CG-05). Acts as IdP, so a compromise is estate-wide.</t>
  </si>
  <si>
    <t xml:space="preserve">CGI-VEN-004</t>
  </si>
  <si>
    <t xml:space="preserve">Slack (Salesforce)</t>
  </si>
  <si>
    <t xml:space="preserve">Internal communications, incident channel and customer-facing shared channels</t>
  </si>
  <si>
    <t xml:space="preserve">Internal discussion, pasted credentials and screenshots, incidental customer PII, incident traffic</t>
  </si>
  <si>
    <t xml:space="preserve">50 users, 3 shared channels with customers / High</t>
  </si>
  <si>
    <t xml:space="preserve">United States</t>
  </si>
  <si>
    <t xml:space="preserve">N - NOT EXECUTED</t>
  </si>
  <si>
    <t xml:space="preserve">SOC 2 Type II (period ended 30 Nov 2025) - held on file, 9.5 months stale, no bridge letter</t>
  </si>
  <si>
    <t xml:space="preserve">Assessed - FAIL (VRA-2026-002)</t>
  </si>
  <si>
    <t xml:space="preserve">15 Dec 2026 (re-assessment)</t>
  </si>
  <si>
    <t xml:space="preserve">GV.SC, PR.DS, RS.CO</t>
  </si>
  <si>
    <t xml:space="preserve">T1-e</t>
  </si>
  <si>
    <t xml:space="preserve">N</t>
  </si>
  <si>
    <t xml:space="preserve">No DPA; no SCIM so CGI-POL-003 4.5.2 four-hour revocation is not technically achievable; unlimited retention; guest access uncontrolled.</t>
  </si>
  <si>
    <t xml:space="preserve">CGI-VEN-005</t>
  </si>
  <si>
    <t xml:space="preserve">Stripe</t>
  </si>
  <si>
    <t xml:space="preserve">Payment processing and subscription billing</t>
  </si>
  <si>
    <t xml:space="preserve">Finance Manager</t>
  </si>
  <si>
    <t xml:space="preserve">Billing contact details, payment metadata, invoices. No PAN held by CGI (AVD-001)</t>
  </si>
  <si>
    <t xml:space="preserve">approx. 200 billing relationships, USD 3.6M ARR / High</t>
  </si>
  <si>
    <t xml:space="preserve">United States and Ireland</t>
  </si>
  <si>
    <t xml:space="preserve">Y - 05 Apr 2024</t>
  </si>
  <si>
    <t xml:space="preserve">SOC 2 Type II (period ended 30 Apr 2026) + PCI DSS Level 1 AoC + ISO/IEC 27001 - held on file</t>
  </si>
  <si>
    <t xml:space="preserve">Assessed - Pass (VRA-2026-006)</t>
  </si>
  <si>
    <t xml:space="preserve">R-005</t>
  </si>
  <si>
    <t xml:space="preserve">GV.SC, PR.DS</t>
  </si>
  <si>
    <t xml:space="preserve">T1-a, T1-e</t>
  </si>
  <si>
    <t xml:space="preserve">Tier 1 by Restricted-data trigger yet only Medium inherent risk - tier and score are different measures.</t>
  </si>
  <si>
    <t xml:space="preserve">CGI-VEN-006</t>
  </si>
  <si>
    <t xml:space="preserve">Auth0 (Okta)</t>
  </si>
  <si>
    <t xml:space="preserve">Customer identity and authentication for the CGI platform</t>
  </si>
  <si>
    <t xml:space="preserve">Customer end-user identifiers, credentials, session and MFA enrolment data</t>
  </si>
  <si>
    <t xml:space="preserve">approx. 9,000 end-user identities across 200 customers / Critical</t>
  </si>
  <si>
    <t xml:space="preserve">eu (Frankfurt) tenant</t>
  </si>
  <si>
    <t xml:space="preserve">Y - 17 Jun 2024</t>
  </si>
  <si>
    <t xml:space="preserve">SOC 2 Type II (period ended 28 Feb 2026) + ISO/IEC 27001 - held on file</t>
  </si>
  <si>
    <t xml:space="preserve">Assessed - Pass (VRA-2026-007)</t>
  </si>
  <si>
    <t xml:space="preserve">R-001, R-004</t>
  </si>
  <si>
    <t xml:space="preserve">PR.AA, GV.SC</t>
  </si>
  <si>
    <t xml:space="preserve">T1-b, T1-d, T1-e</t>
  </si>
  <si>
    <t xml:space="preserve">Single point of authentication failure for every customer tenant.</t>
  </si>
  <si>
    <t xml:space="preserve">CGI-VEN-007</t>
  </si>
  <si>
    <t xml:space="preserve">Datadog</t>
  </si>
  <si>
    <t xml:space="preserve">Application performance monitoring and application log search (engineering use; not configured as a security log source)</t>
  </si>
  <si>
    <t xml:space="preserve">Production application logs, infrastructure telemetry, traces containing customer identifiers</t>
  </si>
  <si>
    <t xml:space="preserve">All production log traffic / High</t>
  </si>
  <si>
    <t xml:space="preserve">eu1 (Frankfurt)</t>
  </si>
  <si>
    <t xml:space="preserve">Y - 11 Nov 2025</t>
  </si>
  <si>
    <t xml:space="preserve">SOC 2 Type II (period ended 30 Jun 2026) + ISO/IEC 27001 - held on file</t>
  </si>
  <si>
    <t xml:space="preserve">Assessed - Pass (VRA-2026-008)</t>
  </si>
  <si>
    <t xml:space="preserve">R-003, R-005</t>
  </si>
  <si>
    <t xml:space="preserve">DE.CM, GV.SC</t>
  </si>
  <si>
    <t xml:space="preserve">T1-b, T1-c</t>
  </si>
  <si>
    <t xml:space="preserve">Log scrubbing rules not verified; agent holds read access across production hosts.</t>
  </si>
  <si>
    <t xml:space="preserve">CGI-VEN-008</t>
  </si>
  <si>
    <t xml:space="preserve">HubSpot</t>
  </si>
  <si>
    <t xml:space="preserve">CRM, marketing automation and customer lifecycle management</t>
  </si>
  <si>
    <t xml:space="preserve">Head of Customer Success</t>
  </si>
  <si>
    <t xml:space="preserve">Customer and prospect contact PII, commercial terms, support correspondence</t>
  </si>
  <si>
    <t xml:space="preserve">approx. 200 customer accounts plus approx. 4,000 prospect records / Medium</t>
  </si>
  <si>
    <t xml:space="preserve">EU (Frankfurt) data centre</t>
  </si>
  <si>
    <t xml:space="preserve">Y - 30 Aug 2024</t>
  </si>
  <si>
    <t xml:space="preserve">SOC 2 Type II (period ended 31 Jan 2026) - held on file</t>
  </si>
  <si>
    <t xml:space="preserve">Assessed - Pass with observation</t>
  </si>
  <si>
    <t xml:space="preserve">15 Mar 2028</t>
  </si>
  <si>
    <t xml:space="preserve">R-003</t>
  </si>
  <si>
    <t xml:space="preserve">-</t>
  </si>
  <si>
    <t xml:space="preserve">Largest single concentration of contact PII outside the platform. Marketing integrations not inventoried.</t>
  </si>
  <si>
    <t xml:space="preserve">CGI-VEN-009</t>
  </si>
  <si>
    <t xml:space="preserve">Zendesk</t>
  </si>
  <si>
    <t xml:space="preserve">Customer support ticketing and help centre</t>
  </si>
  <si>
    <t xml:space="preserve">Support tickets, customer screenshots and attachments, occasional credentials pasted by users</t>
  </si>
  <si>
    <t xml:space="preserve">approx. 350 tickets per month / Medium</t>
  </si>
  <si>
    <t xml:space="preserve">EU (Frankfurt)</t>
  </si>
  <si>
    <t xml:space="preserve">Y - 14 Oct 2024</t>
  </si>
  <si>
    <t xml:space="preserve">Assessed - Pass</t>
  </si>
  <si>
    <t xml:space="preserve">GV.SC, RS.CO</t>
  </si>
  <si>
    <t xml:space="preserve">Attachment content is the exposure, not the ticket text.</t>
  </si>
  <si>
    <t xml:space="preserve">CGI-VEN-010</t>
  </si>
  <si>
    <t xml:space="preserve">Personio</t>
  </si>
  <si>
    <t xml:space="preserve">HR information system, employee records and onboarding workflow</t>
  </si>
  <si>
    <t xml:space="preserve">Head of People and Operations</t>
  </si>
  <si>
    <t xml:space="preserve">Employee personal data, contracts, payroll reference data, onboarding records</t>
  </si>
  <si>
    <t xml:space="preserve">50 employee records / Medium</t>
  </si>
  <si>
    <t xml:space="preserve">EU (Germany)</t>
  </si>
  <si>
    <t xml:space="preserve">Y - 03 Feb 2025</t>
  </si>
  <si>
    <t xml:space="preserve">ISO/IEC 27001 - held on file. No SOC 2 published</t>
  </si>
  <si>
    <t xml:space="preserve">GV.SC</t>
  </si>
  <si>
    <t xml:space="preserve">Feeds the CGI-POL-003 joiner-mover-leaver process; an outage delays revocation evidence.</t>
  </si>
  <si>
    <t xml:space="preserve">CGI-VEN-011</t>
  </si>
  <si>
    <t xml:space="preserve">Internal knowledge base, runbooks and project documentation</t>
  </si>
  <si>
    <t xml:space="preserve">Internal procedures, architecture notes, meeting records, occasional customer names</t>
  </si>
  <si>
    <t xml:space="preserve">approx. 1,200 pages / Medium</t>
  </si>
  <si>
    <t xml:space="preserve">N - NOT EXECUTED (team plan, DPA never countersigned)</t>
  </si>
  <si>
    <t xml:space="preserve">SOC 2 Type II (period ended 31 Dec 2025) - vendor publishes, NOT obtained by CGI</t>
  </si>
  <si>
    <t xml:space="preserve">Assessed - Pass with conditions</t>
  </si>
  <si>
    <t xml:space="preserve">Public-share links are enabled tenant-wide and have never been audited.</t>
  </si>
  <si>
    <t xml:space="preserve">CGI-VEN-012</t>
  </si>
  <si>
    <t xml:space="preserve">Otter.ai</t>
  </si>
  <si>
    <t xml:space="preserve">AI meeting transcription and summarisation (joins customer and internal calls)</t>
  </si>
  <si>
    <t xml:space="preserve">Full audio and transcripts of internal and customer calls, including commercial and security discussion</t>
  </si>
  <si>
    <t xml:space="preserve">approx. 40 meetings per month / Medium</t>
  </si>
  <si>
    <t xml:space="preserve">N - not disclosed</t>
  </si>
  <si>
    <t xml:space="preserve">N - NO CONTRACT OF ANY KIND</t>
  </si>
  <si>
    <t xml:space="preserve">None held</t>
  </si>
  <si>
    <t xml:space="preserve">SHADOW IT - discovered 15 Sep 2026 in expense review; assessment in progress</t>
  </si>
  <si>
    <t xml:space="preserve">15 Oct 2026 (decision due)</t>
  </si>
  <si>
    <t xml:space="preserve">GV.SC, PR.DS, GV.OC</t>
  </si>
  <si>
    <t xml:space="preserve">T2-f</t>
  </si>
  <si>
    <t xml:space="preserve">Not provisioned (shadow IT)</t>
  </si>
  <si>
    <t xml:space="preserve">Procured on a personal card. Breaches CGI-POL-001 4.5 (AI use). Model-training terms unreviewed.</t>
  </si>
  <si>
    <t xml:space="preserve">CGI-VEN-013</t>
  </si>
  <si>
    <t xml:space="preserve">Grammarly Business</t>
  </si>
  <si>
    <t xml:space="preserve">AI writing assistance browser extension</t>
  </si>
  <si>
    <t xml:space="preserve">Any text typed into any web field, including Slack, Notion, the CGI admin console and email</t>
  </si>
  <si>
    <t xml:space="preserve">12 seats / Medium</t>
  </si>
  <si>
    <t xml:space="preserve">N - individual licences on expense</t>
  </si>
  <si>
    <t xml:space="preserve">None held (vendor publishes SOC 2 Type II - not obtained by CGI)</t>
  </si>
  <si>
    <t xml:space="preserve">Assessed - Pass with conditions (extension scope restricted)</t>
  </si>
  <si>
    <t xml:space="preserve">Scored 3 on the tiering factors; escalated to Tier 2 by trigger T2-f. Reads Confidential text by design.</t>
  </si>
  <si>
    <t xml:space="preserve">CGI-VEN-014</t>
  </si>
  <si>
    <t xml:space="preserve">Figma</t>
  </si>
  <si>
    <t xml:space="preserve">Product and interface design</t>
  </si>
  <si>
    <t xml:space="preserve">Internal</t>
  </si>
  <si>
    <t xml:space="preserve">UI designs, unreleased feature mock-ups, marketing assets. No customer data</t>
  </si>
  <si>
    <t xml:space="preserve">8 seats / Low</t>
  </si>
  <si>
    <t xml:space="preserve">Y - 19 May 2025</t>
  </si>
  <si>
    <t xml:space="preserve">SOC 2 Type II (period ended 30 Apr 2026) - held on file</t>
  </si>
  <si>
    <t xml:space="preserve">Assessed - Accepted (light touch)</t>
  </si>
  <si>
    <t xml:space="preserve">15 Sep 2028</t>
  </si>
  <si>
    <t xml:space="preserve">Roadmap confidentiality is the only exposure.</t>
  </si>
  <si>
    <t xml:space="preserve">CGI-VEN-015</t>
  </si>
  <si>
    <t xml:space="preserve">Calendly</t>
  </si>
  <si>
    <t xml:space="preserve">External meeting scheduling</t>
  </si>
  <si>
    <t xml:space="preserve">Invitee name, email address, meeting subject line. No account or platform data</t>
  </si>
  <si>
    <t xml:space="preserve">approx. 120 bookings per month / Low</t>
  </si>
  <si>
    <t xml:space="preserve">Y - 08 Jul 2025</t>
  </si>
  <si>
    <t xml:space="preserve">SOC 2 Type II (period ended 28 Feb 2026) - held on file</t>
  </si>
  <si>
    <t xml:space="preserve">Assessed - ACCEPTED with documented justification (VRA-2026-003)</t>
  </si>
  <si>
    <t xml:space="preserve">Calendar read-write scope is the only privilege of note. Replaceable within one business day.</t>
  </si>
  <si>
    <t xml:space="preserve">CGI-VEN-016</t>
  </si>
  <si>
    <t xml:space="preserve">Miro</t>
  </si>
  <si>
    <t xml:space="preserve">Collaborative whiteboarding for workshops and architecture sessions</t>
  </si>
  <si>
    <t xml:space="preserve">Architecture diagrams, workshop output, retrospective notes</t>
  </si>
  <si>
    <t xml:space="preserve">20 seats / Low</t>
  </si>
  <si>
    <t xml:space="preserve">EU and US</t>
  </si>
  <si>
    <t xml:space="preserve">Assessed - Accepted (light touch), DPA action open</t>
  </si>
  <si>
    <t xml:space="preserve">Architecture diagrams are a reconnaissance aid if the board is publicly shared.</t>
  </si>
  <si>
    <t xml:space="preserve">CGI-VEN-017</t>
  </si>
  <si>
    <t xml:space="preserve">Atlassian Statuspage</t>
  </si>
  <si>
    <t xml:space="preserve">Public service status page (required by CGI-GAP-001 REC-14)</t>
  </si>
  <si>
    <t xml:space="preserve">Public</t>
  </si>
  <si>
    <t xml:space="preserve">Incident status text and subscriber email addresses only</t>
  </si>
  <si>
    <t xml:space="preserve">approx. 200 subscribers expected / Low</t>
  </si>
  <si>
    <t xml:space="preserve">Pending</t>
  </si>
  <si>
    <t xml:space="preserve">Pending - in contract review</t>
  </si>
  <si>
    <t xml:space="preserve">None held - onboarding in progress</t>
  </si>
  <si>
    <t xml:space="preserve">ONBOARDING - in assessment under the CGI-TPR-001 workflow</t>
  </si>
  <si>
    <t xml:space="preserve">On go-live</t>
  </si>
  <si>
    <t xml:space="preserve">R-002</t>
  </si>
  <si>
    <t xml:space="preserve">RC.CO, GV.SC</t>
  </si>
  <si>
    <t xml:space="preserve">First vendor onboarded through the new workflow; used as the worked example in Part 7.</t>
  </si>
  <si>
    <t xml:space="preserve">Tiering model — published before any tier was assigned</t>
  </si>
  <si>
    <t xml:space="preserve">Factor</t>
  </si>
  <si>
    <t xml:space="preserve">0</t>
  </si>
  <si>
    <t xml:space="preserve">1</t>
  </si>
  <si>
    <t xml:space="preserve">2</t>
  </si>
  <si>
    <t xml:space="preserve">3</t>
  </si>
  <si>
    <t xml:space="preserve">D — Data exposure (highest CGI-POL-004 tier the vendor can reach)</t>
  </si>
  <si>
    <t xml:space="preserve">A — Availability dependency</t>
  </si>
  <si>
    <t xml:space="preserve">No operational effect</t>
  </si>
  <si>
    <t xml:space="preserve">Internal inconvenience</t>
  </si>
  <si>
    <t xml:space="preserve">Major internal disruption</t>
  </si>
  <si>
    <t xml:space="preserve">Customer-facing platform outage</t>
  </si>
  <si>
    <t xml:space="preserve">C — Connectivity / privilege</t>
  </si>
  <si>
    <t xml:space="preserve">No system access</t>
  </si>
  <si>
    <t xml:space="preserve">Read-only integration</t>
  </si>
  <si>
    <t xml:space="preserve">Read-write integration or SSO</t>
  </si>
  <si>
    <t xml:space="preserve">Production infrastructure or source-code access</t>
  </si>
  <si>
    <t xml:space="preserve">R — Replaceability</t>
  </si>
  <si>
    <t xml:space="preserve">Under 1 business day</t>
  </si>
  <si>
    <t xml:space="preserve">Under 1 week</t>
  </si>
  <si>
    <t xml:space="preserve">Under 1 month</t>
  </si>
  <si>
    <t xml:space="preserve">Over 1 month or contractual lock-in</t>
  </si>
  <si>
    <t xml:space="preserve">Trigger</t>
  </si>
  <si>
    <t xml:space="preserve">Condition</t>
  </si>
  <si>
    <t xml:space="preserve">Effect</t>
  </si>
  <si>
    <t xml:space="preserve">T1-a</t>
  </si>
  <si>
    <t xml:space="preserve">Processes or can access data classified Restricted under CGI-POL-004</t>
  </si>
  <si>
    <t xml:space="preserve">Forces Tier 1</t>
  </si>
  <si>
    <t xml:space="preserve">T1-b</t>
  </si>
  <si>
    <t xml:space="preserve">Holds or can access production customer data</t>
  </si>
  <si>
    <t xml:space="preserve">T1-c</t>
  </si>
  <si>
    <t xml:space="preserve">Has write access to production infrastructure or source code</t>
  </si>
  <si>
    <t xml:space="preserve">T1-d</t>
  </si>
  <si>
    <t xml:space="preserve">Failure causes a customer-facing outage of the platform</t>
  </si>
  <si>
    <t xml:space="preserve">Is named to customers as a sub-processor in the Cypher Group Inc. customer DPA</t>
  </si>
  <si>
    <t xml:space="preserve">Processes Cypher Group Inc. or customer content through an automated or AI system that may retain, review or train on that content (CGI-POL-001 §4.5)</t>
  </si>
  <si>
    <t xml:space="preserve">Forces minimum Tier 2</t>
  </si>
  <si>
    <t xml:space="preserve">Name</t>
  </si>
  <si>
    <t xml:space="preserve">Factor total</t>
  </si>
  <si>
    <t xml:space="preserve">Assessment depth</t>
  </si>
  <si>
    <t xml:space="preserve">Evidence standard</t>
  </si>
  <si>
    <t xml:space="preserve">Approval authority</t>
  </si>
  <si>
    <t xml:space="preserve">Review cadence</t>
  </si>
  <si>
    <t xml:space="preserve">Onboarding SLA</t>
  </si>
  <si>
    <t xml:space="preserve">Exit plan</t>
  </si>
  <si>
    <t xml:space="preserve">Critical</t>
  </si>
  <si>
    <t xml:space="preserve">≥ 8, or any T1 trigger</t>
  </si>
  <si>
    <t xml:space="preserve">Full 74-question VSQ + assurance artifact review including opinion, exceptions, CUECs, CSOCs and sub-service method + DPA review + data-flow review</t>
  </si>
  <si>
    <t xml:space="preserve">Independent attestation mandatory. A self-assessment is never sufficient</t>
  </si>
  <si>
    <t xml:space="preserve">Chief Executive Officer</t>
  </si>
  <si>
    <t xml:space="preserve">12 months and on material change</t>
  </si>
  <si>
    <t xml:space="preserve">15 business days</t>
  </si>
  <si>
    <t xml:space="preserve">Documented and reviewed annually</t>
  </si>
  <si>
    <t xml:space="preserve">Important</t>
  </si>
  <si>
    <t xml:space="preserve">4 – 7, or trigger T2-f</t>
  </si>
  <si>
    <t xml:space="preserve">VSQ Lite — the 24 risk-weight-5 questions — plus assurance artifact on file and DPA review</t>
  </si>
  <si>
    <t xml:space="preserve">Independent attestation preferred; self-assessment accepted with written justification</t>
  </si>
  <si>
    <t xml:space="preserve">18 months</t>
  </si>
  <si>
    <t xml:space="preserve">7 business days</t>
  </si>
  <si>
    <t xml:space="preserve">Documented</t>
  </si>
  <si>
    <t xml:space="preserve">Limited</t>
  </si>
  <si>
    <t xml:space="preserve">≤ 3</t>
  </si>
  <si>
    <t xml:space="preserve">Inventory entry, 6-question attestation, DPA confirmation</t>
  </si>
  <si>
    <t xml:space="preserve">Self-assessment accepted</t>
  </si>
  <si>
    <t xml:space="preserve">Business owner</t>
  </si>
  <si>
    <t xml:space="preserve">24 months or on renewal</t>
  </si>
  <si>
    <t xml:space="preserve">2 business days</t>
  </si>
  <si>
    <t xml:space="preserve">Not required</t>
  </si>
  <si>
    <t xml:space="preserve">Estate summary (live)</t>
  </si>
  <si>
    <t xml:space="preserve">Metric</t>
  </si>
  <si>
    <t xml:space="preserve">Value</t>
  </si>
  <si>
    <t xml:space="preserve">Vendors in scope</t>
  </si>
  <si>
    <t xml:space="preserve">Tier 1</t>
  </si>
  <si>
    <t xml:space="preserve">Tier 2</t>
  </si>
  <si>
    <t xml:space="preserve">Tier 3</t>
  </si>
  <si>
    <t xml:space="preserve">No executed DPA (N or Pending)</t>
  </si>
  <si>
    <t xml:space="preserve">No executed DPA (%)</t>
  </si>
  <si>
    <t xml:space="preserve">No assurance artifact held (excluding vendors still onboarding)</t>
  </si>
  <si>
    <t xml:space="preserve">Discovered as shadow IT (T2-f AI processors bought on expenses)</t>
  </si>
  <si>
    <t xml:space="preserve">Inherent Critical</t>
  </si>
  <si>
    <t xml:space="preserve">Inherent High</t>
  </si>
  <si>
    <t xml:space="preserve">Aggregate inherent vendor risk</t>
  </si>
  <si>
    <t xml:space="preserve">Mean inherent vendor risk</t>
  </si>
  <si>
    <t xml:space="preserve">Vendors not federated to SSO (must be on the leaver checklist)</t>
  </si>
  <si>
    <t xml:space="preserve">Question ID</t>
  </si>
  <si>
    <t xml:space="preserve">Domain</t>
  </si>
  <si>
    <t xml:space="preserve">Question</t>
  </si>
  <si>
    <t xml:space="preserve">Response Type</t>
  </si>
  <si>
    <t xml:space="preserve">Evidence Required</t>
  </si>
  <si>
    <t xml:space="preserve">Risk Weight (1-5)</t>
  </si>
  <si>
    <t xml:space="preserve">ISO/IEC 27001:2022 Annex A</t>
  </si>
  <si>
    <t xml:space="preserve">NIST CSF 2.0</t>
  </si>
  <si>
    <t xml:space="preserve">Tier 2 (Lite)</t>
  </si>
  <si>
    <t xml:space="preserve">Tier 3 (Attestation)</t>
  </si>
  <si>
    <t xml:space="preserve">Vendor Response</t>
  </si>
  <si>
    <t xml:space="preserve">Evidence Provided (Y/N)</t>
  </si>
  <si>
    <t xml:space="preserve">Reviewer Verdict (Met/Partial/Not Met/NA)</t>
  </si>
  <si>
    <t xml:space="preserve">Finding ID</t>
  </si>
  <si>
    <t xml:space="preserve">Reviewer Comment</t>
  </si>
  <si>
    <t xml:space="preserve">VQ-01</t>
  </si>
  <si>
    <t xml:space="preserve">1. Governance and Security Programme</t>
  </si>
  <si>
    <t xml:space="preserve">Do you maintain a documented information security programme formally approved by executive management?</t>
  </si>
  <si>
    <t xml:space="preserve">Yes/No + document</t>
  </si>
  <si>
    <t xml:space="preserve">Approved security policy set with an approval record</t>
  </si>
  <si>
    <t xml:space="preserve">A.5.1, A.5.4</t>
  </si>
  <si>
    <t xml:space="preserve">GV.PO</t>
  </si>
  <si>
    <t xml:space="preserve">VQ-02</t>
  </si>
  <si>
    <t xml:space="preserve">Is a named individual accountable for information security (CISO or equivalent)? State the role title.</t>
  </si>
  <si>
    <t xml:space="preserve">Yes/No + free text</t>
  </si>
  <si>
    <t xml:space="preserve">Organisation chart or role description</t>
  </si>
  <si>
    <t xml:space="preserve">A.5.2</t>
  </si>
  <si>
    <t xml:space="preserve">GV.RR</t>
  </si>
  <si>
    <t xml:space="preserve">VQ-03</t>
  </si>
  <si>
    <t xml:space="preserve">How many staff are dedicated to information security on a full-time basis?</t>
  </si>
  <si>
    <t xml:space="preserve">Numeric</t>
  </si>
  <si>
    <t xml:space="preserve">Written headcount statement</t>
  </si>
  <si>
    <t xml:space="preserve">VQ-04</t>
  </si>
  <si>
    <t xml:space="preserve">Are security policies reviewed at least annually? State the date of the last review.</t>
  </si>
  <si>
    <t xml:space="preserve">Yes/No + date</t>
  </si>
  <si>
    <t xml:space="preserve">Dated review or approval record</t>
  </si>
  <si>
    <t xml:space="preserve">A.5.1, A.5.36</t>
  </si>
  <si>
    <t xml:space="preserve">VQ-05</t>
  </si>
  <si>
    <t xml:space="preserve">Do you report security performance metrics to executive management at least quarterly?</t>
  </si>
  <si>
    <t xml:space="preserve">Yes/No</t>
  </si>
  <si>
    <t xml:space="preserve">Redacted sample management report</t>
  </si>
  <si>
    <t xml:space="preserve">A.5.35</t>
  </si>
  <si>
    <t xml:space="preserve">GV.OV</t>
  </si>
  <si>
    <t xml:space="preserve">VQ-06</t>
  </si>
  <si>
    <t xml:space="preserve">2. Risk Management</t>
  </si>
  <si>
    <t xml:space="preserve">Do you operate a documented information security risk assessment methodology?</t>
  </si>
  <si>
    <t xml:space="preserve">Methodology document naming the scoring method</t>
  </si>
  <si>
    <t xml:space="preserve">A.5.1</t>
  </si>
  <si>
    <t xml:space="preserve">ID.RA</t>
  </si>
  <si>
    <t xml:space="preserve">VQ-07</t>
  </si>
  <si>
    <t xml:space="preserve">When was your last enterprise information security risk assessment completed?</t>
  </si>
  <si>
    <t xml:space="preserve">Date</t>
  </si>
  <si>
    <t xml:space="preserve">Assessment summary or management report</t>
  </si>
  <si>
    <t xml:space="preserve">VQ-08</t>
  </si>
  <si>
    <t xml:space="preserve">Is there a documented risk acceptance process with a defined approval authority?</t>
  </si>
  <si>
    <t xml:space="preserve">Sample risk acceptance record</t>
  </si>
  <si>
    <t xml:space="preserve">A.5.4</t>
  </si>
  <si>
    <t xml:space="preserve">GV.RM</t>
  </si>
  <si>
    <t xml:space="preserve">VQ-09</t>
  </si>
  <si>
    <t xml:space="preserve">Does your risk register include risks arising from your own suppliers?</t>
  </si>
  <si>
    <t xml:space="preserve">Redacted register extract</t>
  </si>
  <si>
    <t xml:space="preserve">A.5.21</t>
  </si>
  <si>
    <t xml:space="preserve">VQ-10</t>
  </si>
  <si>
    <t xml:space="preserve">3. Policies, Compliance and Certifications</t>
  </si>
  <si>
    <t xml:space="preserve">Do you hold a current ISO/IEC 27001 certificate issued by an accredited certification body?</t>
  </si>
  <si>
    <t xml:space="preserve">Yes/No/NA + upload</t>
  </si>
  <si>
    <t xml:space="preserve">Certificate showing certification body and accreditation mark</t>
  </si>
  <si>
    <t xml:space="preserve">A.5.1, A.5.31</t>
  </si>
  <si>
    <t xml:space="preserve">GV.OC</t>
  </si>
  <si>
    <t xml:space="preserve">VQ-11</t>
  </si>
  <si>
    <t xml:space="preserve">State the exact scope of that certificate, transcribed as written on the certificate itself.</t>
  </si>
  <si>
    <t xml:space="preserve">Free text</t>
  </si>
  <si>
    <t xml:space="preserve">Certificate scope statement</t>
  </si>
  <si>
    <t xml:space="preserve">VQ-12</t>
  </si>
  <si>
    <t xml:space="preserve">Do you provide a SOC 2 Type II report, and what period does it cover?</t>
  </si>
  <si>
    <t xml:space="preserve">Yes/No + date range + upload</t>
  </si>
  <si>
    <t xml:space="preserve">Complete report including Section 4 test results</t>
  </si>
  <si>
    <t xml:space="preserve">VQ-13</t>
  </si>
  <si>
    <t xml:space="preserve">Does that report use the CARVE-OUT or the INCLUSIVE method for sub-service organisations? Name every carved-out sub-service organisation.</t>
  </si>
  <si>
    <t xml:space="preserve">Multiple choice + free text</t>
  </si>
  <si>
    <t xml:space="preserve">Report Section 3 system description</t>
  </si>
  <si>
    <t xml:space="preserve">A.5.21, A.5.23</t>
  </si>
  <si>
    <t xml:space="preserve">VQ-14</t>
  </si>
  <si>
    <t xml:space="preserve">List every exception, qualification or deviation in your most recent report, and its remediation status.</t>
  </si>
  <si>
    <t xml:space="preserve">Report Section 4 plus written remediation plan</t>
  </si>
  <si>
    <t xml:space="preserve">A.5.36</t>
  </si>
  <si>
    <t xml:space="preserve">VQ-15</t>
  </si>
  <si>
    <t xml:space="preserve">4. Identity and Access Management</t>
  </si>
  <si>
    <t xml:space="preserve">Is multi-factor authentication enforced for all personnel with access to customer data?</t>
  </si>
  <si>
    <t xml:space="preserve">Policy plus configuration evidence</t>
  </si>
  <si>
    <t xml:space="preserve">A.8.5, A.5.17</t>
  </si>
  <si>
    <t xml:space="preserve">PR.AA</t>
  </si>
  <si>
    <t xml:space="preserve">VQ-16</t>
  </si>
  <si>
    <t xml:space="preserve">Is phishing-resistant MFA enforced for privileged and administrative accounts?</t>
  </si>
  <si>
    <t xml:space="preserve">Configuration evidence</t>
  </si>
  <si>
    <t xml:space="preserve">A.8.2, A.8.5</t>
  </si>
  <si>
    <t xml:space="preserve">VQ-17</t>
  </si>
  <si>
    <t xml:space="preserve">Is access granted on a documented least-privilege, role-based model?</t>
  </si>
  <si>
    <t xml:space="preserve">Role-based access control model</t>
  </si>
  <si>
    <t xml:space="preserve">A.5.15, A.5.18</t>
  </si>
  <si>
    <t xml:space="preserve">VQ-18</t>
  </si>
  <si>
    <t xml:space="preserve">How frequently are user access rights reviewed? State the date of the last completed review.</t>
  </si>
  <si>
    <t xml:space="preserve">Multiple choice + date</t>
  </si>
  <si>
    <t xml:space="preserve">Signed and dated access review record</t>
  </si>
  <si>
    <t xml:space="preserve">A.5.18</t>
  </si>
  <si>
    <t xml:space="preserve">VQ-19</t>
  </si>
  <si>
    <t xml:space="preserve">What is your service-level commitment for revoking access on employee termination?</t>
  </si>
  <si>
    <t xml:space="preserve">Numeric (hours)</t>
  </si>
  <si>
    <t xml:space="preserve">Procedure plus a sample completed revocation record</t>
  </si>
  <si>
    <t xml:space="preserve">A.5.18, A.6.5</t>
  </si>
  <si>
    <t xml:space="preserve">VQ-20</t>
  </si>
  <si>
    <t xml:space="preserve">Do you support SSO (SAML or OIDC) and automated provisioning and deprovisioning (SCIM) for customer administrators?</t>
  </si>
  <si>
    <t xml:space="preserve">Product documentation</t>
  </si>
  <si>
    <t xml:space="preserve">A.5.16</t>
  </si>
  <si>
    <t xml:space="preserve">VQ-21</t>
  </si>
  <si>
    <t xml:space="preserve">5. Data Protection and Encryption</t>
  </si>
  <si>
    <t xml:space="preserve">Is customer data encrypted at rest? State the algorithm and key length.</t>
  </si>
  <si>
    <t xml:space="preserve">Encryption standard</t>
  </si>
  <si>
    <t xml:space="preserve">A.8.24</t>
  </si>
  <si>
    <t xml:space="preserve">PR.DS</t>
  </si>
  <si>
    <t xml:space="preserve">VQ-22</t>
  </si>
  <si>
    <t xml:space="preserve">Is customer data encrypted in transit? State the minimum TLS version enforced.</t>
  </si>
  <si>
    <t xml:space="preserve">TLS configuration evidence</t>
  </si>
  <si>
    <t xml:space="preserve">VQ-23</t>
  </si>
  <si>
    <t xml:space="preserve">How are encryption keys generated, stored and rotated? Is a customer-managed key option available?</t>
  </si>
  <si>
    <t xml:space="preserve">Key management procedure</t>
  </si>
  <si>
    <t xml:space="preserve">VQ-24</t>
  </si>
  <si>
    <t xml:space="preserve">Is customer data logically or physically segregated between tenants? Describe the mechanism.</t>
  </si>
  <si>
    <t xml:space="preserve">Architecture or multi-tenancy description</t>
  </si>
  <si>
    <t xml:space="preserve">A.8.22, A.8.31</t>
  </si>
  <si>
    <t xml:space="preserve">VQ-25</t>
  </si>
  <si>
    <t xml:space="preserve">Do you operate documented data retention and secure deletion schedules?</t>
  </si>
  <si>
    <t xml:space="preserve">Retention schedule</t>
  </si>
  <si>
    <t xml:space="preserve">A.8.10</t>
  </si>
  <si>
    <t xml:space="preserve">VQ-26</t>
  </si>
  <si>
    <t xml:space="preserve">Do you deploy data loss prevention or egress monitoring on systems holding customer data?</t>
  </si>
  <si>
    <t xml:space="preserve">DLP configuration summary</t>
  </si>
  <si>
    <t xml:space="preserve">A.8.12</t>
  </si>
  <si>
    <t xml:space="preserve">VQ-27</t>
  </si>
  <si>
    <t xml:space="preserve">6. Data Privacy and GDPR</t>
  </si>
  <si>
    <t xml:space="preserve">Will you execute our Data Processing Agreement, or provide one satisfying GDPR Article 28(3)?</t>
  </si>
  <si>
    <t xml:space="preserve">Executed DPA</t>
  </si>
  <si>
    <t xml:space="preserve">A.5.34, A.5.20</t>
  </si>
  <si>
    <t xml:space="preserve">VQ-28</t>
  </si>
  <si>
    <t xml:space="preserve">In which countries will our data be stored, processed and accessed from, including support access?</t>
  </si>
  <si>
    <t xml:space="preserve">Data residency statement</t>
  </si>
  <si>
    <t xml:space="preserve">A.5.34</t>
  </si>
  <si>
    <t xml:space="preserve">VQ-29</t>
  </si>
  <si>
    <t xml:space="preserve">Where data leaves the EEA, which GDPR Article 46 transfer mechanism applies?</t>
  </si>
  <si>
    <t xml:space="preserve">Standard Contractual Clauses or adequacy reference, plus transfer impact assessment</t>
  </si>
  <si>
    <t xml:space="preserve">VQ-30</t>
  </si>
  <si>
    <t xml:space="preserve">Have you appointed a Data Protection Officer or equivalent? Give the contact route.</t>
  </si>
  <si>
    <t xml:space="preserve">Appointment record</t>
  </si>
  <si>
    <t xml:space="preserve">VQ-31</t>
  </si>
  <si>
    <t xml:space="preserve">Can you support data subject access, rectification and erasure requests, and within what period?</t>
  </si>
  <si>
    <t xml:space="preserve">Yes/No + numeric (days)</t>
  </si>
  <si>
    <t xml:space="preserve">Data subject request procedure</t>
  </si>
  <si>
    <t xml:space="preserve">VQ-32</t>
  </si>
  <si>
    <t xml:space="preserve">Do you maintain records of processing activities under GDPR Article 30?</t>
  </si>
  <si>
    <t xml:space="preserve">Records of processing extract</t>
  </si>
  <si>
    <t xml:space="preserve">VQ-33</t>
  </si>
  <si>
    <t xml:space="preserve">7. Sub-processors and Fourth Parties</t>
  </si>
  <si>
    <t xml:space="preserve">Provide your complete current sub-processor list, with the service each performs and its location.</t>
  </si>
  <si>
    <t xml:space="preserve">Free text + upload</t>
  </si>
  <si>
    <t xml:space="preserve">Published or contractual sub-processor register</t>
  </si>
  <si>
    <t xml:space="preserve">A.5.19, A.5.21</t>
  </si>
  <si>
    <t xml:space="preserve">VQ-34</t>
  </si>
  <si>
    <t xml:space="preserve">How much prior notice is given of a new or changed sub-processor, and do we have a right to object?</t>
  </si>
  <si>
    <t xml:space="preserve">Numeric (days) + Yes/No</t>
  </si>
  <si>
    <t xml:space="preserve">Contract clause</t>
  </si>
  <si>
    <t xml:space="preserve">A.5.22</t>
  </si>
  <si>
    <t xml:space="preserve">VQ-35</t>
  </si>
  <si>
    <t xml:space="preserve">Do you security-assess your own sub-processors before engagement? To what standard?</t>
  </si>
  <si>
    <t xml:space="preserve">Supplier assessment procedure</t>
  </si>
  <si>
    <t xml:space="preserve">VQ-36</t>
  </si>
  <si>
    <t xml:space="preserve">Do you flow down equivalent security and privacy obligations to your sub-processors?</t>
  </si>
  <si>
    <t xml:space="preserve">Template sub-processor agreement</t>
  </si>
  <si>
    <t xml:space="preserve">A.5.20</t>
  </si>
  <si>
    <t xml:space="preserve">VQ-37</t>
  </si>
  <si>
    <t xml:space="preserve">8. Secure Development and Change Management</t>
  </si>
  <si>
    <t xml:space="preserve">Do you follow a documented secure development lifecycle?</t>
  </si>
  <si>
    <t xml:space="preserve">SDLC procedure</t>
  </si>
  <si>
    <t xml:space="preserve">A.8.25</t>
  </si>
  <si>
    <t xml:space="preserve">PR.PS</t>
  </si>
  <si>
    <t xml:space="preserve">VQ-38</t>
  </si>
  <si>
    <t xml:space="preserve">Is peer code review mandatory before any merge to a production branch?</t>
  </si>
  <si>
    <t xml:space="preserve">Branch protection configuration evidence</t>
  </si>
  <si>
    <t xml:space="preserve">A.8.28, A.8.32</t>
  </si>
  <si>
    <t xml:space="preserve">VQ-39</t>
  </si>
  <si>
    <t xml:space="preserve">Are development, test and production environments separated? Is production data ever used in lower environments?</t>
  </si>
  <si>
    <t xml:space="preserve">Environment separation policy</t>
  </si>
  <si>
    <t xml:space="preserve">A.8.31</t>
  </si>
  <si>
    <t xml:space="preserve">VQ-40</t>
  </si>
  <si>
    <t xml:space="preserve">Do you perform static and dynamic application security testing within the pipeline?</t>
  </si>
  <si>
    <t xml:space="preserve">Scan configuration and redacted sample output</t>
  </si>
  <si>
    <t xml:space="preserve">A.8.29</t>
  </si>
  <si>
    <t xml:space="preserve">VQ-41</t>
  </si>
  <si>
    <t xml:space="preserve">Do you maintain a software bill of materials and monitor third-party components for known vulnerabilities?</t>
  </si>
  <si>
    <t xml:space="preserve">SBOM sample or software composition analysis report</t>
  </si>
  <si>
    <t xml:space="preserve">A.8.8</t>
  </si>
  <si>
    <t xml:space="preserve">VQ-42</t>
  </si>
  <si>
    <t xml:space="preserve">9. Vulnerability and Patch Management</t>
  </si>
  <si>
    <t xml:space="preserve">Do you perform authenticated vulnerability scanning, and at what frequency?</t>
  </si>
  <si>
    <t xml:space="preserve">Yes/No + multiple choice</t>
  </si>
  <si>
    <t xml:space="preserve">Scan schedule and redacted sample report</t>
  </si>
  <si>
    <t xml:space="preserve">VQ-43</t>
  </si>
  <si>
    <t xml:space="preserve">State your remediation service levels by severity for Critical, High, Medium and Low findings.</t>
  </si>
  <si>
    <t xml:space="preserve">Vulnerability management policy</t>
  </si>
  <si>
    <t xml:space="preserve">VQ-44</t>
  </si>
  <si>
    <t xml:space="preserve">Is an independent penetration test performed at least annually? Will you share the executive summary?</t>
  </si>
  <si>
    <t xml:space="preserve">Executive summary of the most recent test</t>
  </si>
  <si>
    <t xml:space="preserve">VQ-45</t>
  </si>
  <si>
    <t xml:space="preserve">Do you operate a coordinated vulnerability disclosure or bug bounty programme?</t>
  </si>
  <si>
    <t xml:space="preserve">Published disclosure policy</t>
  </si>
  <si>
    <t xml:space="preserve">A.5.7</t>
  </si>
  <si>
    <t xml:space="preserve">VQ-46</t>
  </si>
  <si>
    <t xml:space="preserve">10. Logging, Monitoring and Detection</t>
  </si>
  <si>
    <t xml:space="preserve">Are security-relevant events logged centrally? For how many months are logs retained?</t>
  </si>
  <si>
    <t xml:space="preserve">Yes/No + numeric (months)</t>
  </si>
  <si>
    <t xml:space="preserve">Logging standard</t>
  </si>
  <si>
    <t xml:space="preserve">A.8.15</t>
  </si>
  <si>
    <t xml:space="preserve">DE.CM</t>
  </si>
  <si>
    <t xml:space="preserve">VQ-47</t>
  </si>
  <si>
    <t xml:space="preserve">Is there 24x7 monitoring and alerting on security events? In-house or outsourced?</t>
  </si>
  <si>
    <t xml:space="preserve">Monitoring or SOC description</t>
  </si>
  <si>
    <t xml:space="preserve">A.8.16</t>
  </si>
  <si>
    <t xml:space="preserve">VQ-48</t>
  </si>
  <si>
    <t xml:space="preserve">Can you provide customer-accessible audit logs of administrative activity within our tenant?</t>
  </si>
  <si>
    <t xml:space="preserve">VQ-49</t>
  </si>
  <si>
    <t xml:space="preserve">Do you alert on anomalous access to customer data, such as bulk export or mass download?</t>
  </si>
  <si>
    <t xml:space="preserve">Alerting rule description</t>
  </si>
  <si>
    <t xml:space="preserve">A.8.16, A.8.12</t>
  </si>
  <si>
    <t xml:space="preserve">VQ-50</t>
  </si>
  <si>
    <t xml:space="preserve">11. Incident Response and Breach Notification</t>
  </si>
  <si>
    <t xml:space="preserve">Do you maintain a documented incident response plan? When was it last exercised?</t>
  </si>
  <si>
    <t xml:space="preserve">Incident response plan plus dated exercise record</t>
  </si>
  <si>
    <t xml:space="preserve">A.5.24, A.5.26</t>
  </si>
  <si>
    <t xml:space="preserve">RS.MA</t>
  </si>
  <si>
    <t xml:space="preserve">VQ-51</t>
  </si>
  <si>
    <t xml:space="preserve">Within how many hours will you notify us of a security incident affecting our data?</t>
  </si>
  <si>
    <t xml:space="preserve">Contractual notification clause</t>
  </si>
  <si>
    <t xml:space="preserve">A.5.26, A.6.8</t>
  </si>
  <si>
    <t xml:space="preserve">RS.CO</t>
  </si>
  <si>
    <t xml:space="preserve">VQ-52</t>
  </si>
  <si>
    <t xml:space="preserve">Who is the named security incident contact, and what is the out-of-hours escalation route?</t>
  </si>
  <si>
    <t xml:space="preserve">Contact record with 24x7 route</t>
  </si>
  <si>
    <t xml:space="preserve">A.5.5</t>
  </si>
  <si>
    <t xml:space="preserve">VQ-53</t>
  </si>
  <si>
    <t xml:space="preserve">Have you experienced a reportable security breach in the last 24 months? Describe it and the remediation.</t>
  </si>
  <si>
    <t xml:space="preserve">Breach summary and remediation evidence</t>
  </si>
  <si>
    <t xml:space="preserve">A.5.27</t>
  </si>
  <si>
    <t xml:space="preserve">RS.AN</t>
  </si>
  <si>
    <t xml:space="preserve">VQ-54</t>
  </si>
  <si>
    <t xml:space="preserve">Do you support customer forensic requests and preserve evidence to a defined standard?</t>
  </si>
  <si>
    <t xml:space="preserve">Evidence handling and chain-of-custody procedure</t>
  </si>
  <si>
    <t xml:space="preserve">A.5.28</t>
  </si>
  <si>
    <t xml:space="preserve">VQ-55</t>
  </si>
  <si>
    <t xml:space="preserve">12. Business Continuity, Backup and Resilience</t>
  </si>
  <si>
    <t xml:space="preserve">State your contractual availability commitment and your achieved availability over the last 12 months.</t>
  </si>
  <si>
    <t xml:space="preserve">Service level agreement plus uptime report</t>
  </si>
  <si>
    <t xml:space="preserve">A.5.30</t>
  </si>
  <si>
    <t xml:space="preserve">PR.IR</t>
  </si>
  <si>
    <t xml:space="preserve">VQ-56</t>
  </si>
  <si>
    <t xml:space="preserve">State the documented Recovery Time Objective and Recovery Point Objective for the service we consume.</t>
  </si>
  <si>
    <t xml:space="preserve">Business continuity or disaster recovery plan</t>
  </si>
  <si>
    <t xml:space="preserve">A.5.29, A.5.30</t>
  </si>
  <si>
    <t xml:space="preserve">RC.RP</t>
  </si>
  <si>
    <t xml:space="preserve">VQ-57</t>
  </si>
  <si>
    <t xml:space="preserve">When was the disaster recovery plan last tested, and what was the documented result?</t>
  </si>
  <si>
    <t xml:space="preserve">Date + free text</t>
  </si>
  <si>
    <t xml:space="preserve">Disaster recovery test report</t>
  </si>
  <si>
    <t xml:space="preserve">VQ-58</t>
  </si>
  <si>
    <t xml:space="preserve">Are backups encrypted, and are restores tested at a defined frequency?</t>
  </si>
  <si>
    <t xml:space="preserve">Backup policy and a dated restore test record</t>
  </si>
  <si>
    <t xml:space="preserve">A.8.13</t>
  </si>
  <si>
    <t xml:space="preserve">VQ-59</t>
  </si>
  <si>
    <t xml:space="preserve">Can we export our complete dataset in a documented, machine-readable format on demand?</t>
  </si>
  <si>
    <t xml:space="preserve">Export documentation</t>
  </si>
  <si>
    <t xml:space="preserve">A.5.29</t>
  </si>
  <si>
    <t xml:space="preserve">VQ-60</t>
  </si>
  <si>
    <t xml:space="preserve">13. Personnel Security and Awareness</t>
  </si>
  <si>
    <t xml:space="preserve">Are background checks performed on personnel with access to customer data, where lawful?</t>
  </si>
  <si>
    <t xml:space="preserve">Screening policy</t>
  </si>
  <si>
    <t xml:space="preserve">A.6.1</t>
  </si>
  <si>
    <t xml:space="preserve">PR.AT</t>
  </si>
  <si>
    <t xml:space="preserve">VQ-61</t>
  </si>
  <si>
    <t xml:space="preserve">Do all personnel and contractors sign confidentiality agreements?</t>
  </si>
  <si>
    <t xml:space="preserve">Template confidentiality clause</t>
  </si>
  <si>
    <t xml:space="preserve">A.6.6</t>
  </si>
  <si>
    <t xml:space="preserve">VQ-62</t>
  </si>
  <si>
    <t xml:space="preserve">Is security awareness training mandatory at induction and at least annually? State current completion rate.</t>
  </si>
  <si>
    <t xml:space="preserve">Yes/No + numeric (%)</t>
  </si>
  <si>
    <t xml:space="preserve">Training completion report</t>
  </si>
  <si>
    <t xml:space="preserve">A.6.3</t>
  </si>
  <si>
    <t xml:space="preserve">VQ-63</t>
  </si>
  <si>
    <t xml:space="preserve">Do you run phishing simulations? State the click rate recorded in the most recent exercise.</t>
  </si>
  <si>
    <t xml:space="preserve">Simulation results</t>
  </si>
  <si>
    <t xml:space="preserve">VQ-64</t>
  </si>
  <si>
    <t xml:space="preserve">14. Physical and Environmental Security</t>
  </si>
  <si>
    <t xml:space="preserve">Where is customer data physically hosted, and is it in your own facilities or a sub-service provider's?</t>
  </si>
  <si>
    <t xml:space="preserve">Facility description or provider attestation</t>
  </si>
  <si>
    <t xml:space="preserve">A.7.1</t>
  </si>
  <si>
    <t xml:space="preserve">VQ-65</t>
  </si>
  <si>
    <t xml:space="preserve">Is physical access to hosting facilities controlled, logged and periodically reviewed?</t>
  </si>
  <si>
    <t xml:space="preserve">Facility attestation or sub-service provider report</t>
  </si>
  <si>
    <t xml:space="preserve">A.7.2, A.7.4</t>
  </si>
  <si>
    <t xml:space="preserve">VQ-66</t>
  </si>
  <si>
    <t xml:space="preserve">Are storage media securely destroyed at end of life to a recognised standard?</t>
  </si>
  <si>
    <t xml:space="preserve">Sample certificate of destruction</t>
  </si>
  <si>
    <t xml:space="preserve">A.7.10, A.7.14</t>
  </si>
  <si>
    <t xml:space="preserve">VQ-67</t>
  </si>
  <si>
    <t xml:space="preserve">15. AI and Automated Processing</t>
  </si>
  <si>
    <t xml:space="preserve">Does the service process our data using AI or machine learning, including for features we have not explicitly enabled?</t>
  </si>
  <si>
    <t xml:space="preserve">Product and data-flow documentation</t>
  </si>
  <si>
    <t xml:space="preserve">A.5.34, A.8.25</t>
  </si>
  <si>
    <t xml:space="preserve">VQ-68</t>
  </si>
  <si>
    <t xml:space="preserve">Is our data used to train, fine-tune or evaluate any model, whether yours or a third party's?</t>
  </si>
  <si>
    <t xml:space="preserve">Contractual prohibition or signed written confirmation</t>
  </si>
  <si>
    <t xml:space="preserve">A.5.20, A.5.34</t>
  </si>
  <si>
    <t xml:space="preserve">VQ-69</t>
  </si>
  <si>
    <t xml:space="preserve">Is our data exposed to human review by your staff or contractors for quality, safety or model improvement?</t>
  </si>
  <si>
    <t xml:space="preserve">Human review policy and the access controls around it</t>
  </si>
  <si>
    <t xml:space="preserve">VQ-70</t>
  </si>
  <si>
    <t xml:space="preserve">Name every AI sub-processor or model provider in the data path, and the retention period at each.</t>
  </si>
  <si>
    <t xml:space="preserve">Sub-processor register entry covering AI providers</t>
  </si>
  <si>
    <t xml:space="preserve">VQ-71</t>
  </si>
  <si>
    <t xml:space="preserve">16. Contract, Exit and Termination</t>
  </si>
  <si>
    <t xml:space="preserve">Will you accept a contractual right of audit, or an annual assurance review in place of one?</t>
  </si>
  <si>
    <t xml:space="preserve">A.5.20, A.5.22</t>
  </si>
  <si>
    <t xml:space="preserve">VQ-72</t>
  </si>
  <si>
    <t xml:space="preserve">Do you carry cyber liability insurance? State the limit of indemnity.</t>
  </si>
  <si>
    <t xml:space="preserve">Certificate of insurance</t>
  </si>
  <si>
    <t xml:space="preserve">VQ-73</t>
  </si>
  <si>
    <t xml:space="preserve">On termination, within how many days is our data deleted, and will you certify the deletion in writing?</t>
  </si>
  <si>
    <t xml:space="preserve">Template certificate of deletion</t>
  </si>
  <si>
    <t xml:space="preserve">A.8.10, A.5.20</t>
  </si>
  <si>
    <t xml:space="preserve">VQ-74</t>
  </si>
  <si>
    <t xml:space="preserve">Do you provide transition assistance on exit, and is the scope contractually defined?</t>
  </si>
  <si>
    <t xml:space="preserve">Total weight (maximum)</t>
  </si>
  <si>
    <t xml:space="preserve">Tier 2 Lite questions (weight 5)</t>
  </si>
  <si>
    <t xml:space="preserve">Tier 3 attestation questions</t>
  </si>
  <si>
    <t xml:space="preserve">Completed vendor assessments</t>
  </si>
  <si>
    <t xml:space="preserve">Score = 1 − deduction ÷ maximum. Band: &lt; 75% or two or more weight-5 Not Met = Fail; 75–89% or one weight-5 Not Met = Pass with conditions; otherwise Pass.</t>
  </si>
  <si>
    <t xml:space="preserve">Assessment ID</t>
  </si>
  <si>
    <t xml:space="preserve">Vendor</t>
  </si>
  <si>
    <t xml:space="preserve">Questions Applied</t>
  </si>
  <si>
    <t xml:space="preserve">Met</t>
  </si>
  <si>
    <t xml:space="preserve">Partial</t>
  </si>
  <si>
    <t xml:space="preserve">Not Met</t>
  </si>
  <si>
    <t xml:space="preserve">N/A</t>
  </si>
  <si>
    <t xml:space="preserve">Answers Reconcile</t>
  </si>
  <si>
    <t xml:space="preserve">Weighted Deduction</t>
  </si>
  <si>
    <t xml:space="preserve">Maximum</t>
  </si>
  <si>
    <t xml:space="preserve">Weighted Score</t>
  </si>
  <si>
    <t xml:space="preserve">Weight-5 Not Met</t>
  </si>
  <si>
    <t xml:space="preserve">Scoring Band</t>
  </si>
  <si>
    <t xml:space="preserve">Decision</t>
  </si>
  <si>
    <t xml:space="preserve">Inherent</t>
  </si>
  <si>
    <t xml:space="preserve">Residual</t>
  </si>
  <si>
    <t xml:space="preserve">Findings</t>
  </si>
  <si>
    <t xml:space="preserve">VRA-2026-002</t>
  </si>
  <si>
    <t xml:space="preserve">Slack (CGI-VEN-004)</t>
  </si>
  <si>
    <t xml:space="preserve">FAIL — remediate or exit</t>
  </si>
  <si>
    <t xml:space="preserve">9 (5 Critical/High)</t>
  </si>
  <si>
    <t xml:space="preserve">VRA-2026-001</t>
  </si>
  <si>
    <t xml:space="preserve">AWS (CGI-VEN-001)</t>
  </si>
  <si>
    <t xml:space="preserve">PASS WITH CONDITIONS</t>
  </si>
  <si>
    <t xml:space="preserve">4 (1 High)</t>
  </si>
  <si>
    <t xml:space="preserve">VRA-2026-003</t>
  </si>
  <si>
    <t xml:space="preserve">Calendly (CGI-VEN-015)</t>
  </si>
  <si>
    <t xml:space="preserve">ACCEPTED — documented justification (ACC-V01)</t>
  </si>
  <si>
    <t xml:space="preserve">1 observation</t>
  </si>
  <si>
    <t xml:space="preserve">Calendly is Tier 3: its Pass band is converted to a documented acceptance with an expiry, per §4.3.</t>
  </si>
  <si>
    <t xml:space="preserve">Slack (VRA-2026-002) — findings</t>
  </si>
  <si>
    <t xml:space="preserve">ID</t>
  </si>
  <si>
    <t xml:space="preserve">Sev</t>
  </si>
  <si>
    <t xml:space="preserve">Finding</t>
  </si>
  <si>
    <t xml:space="preserve">Question(s)</t>
  </si>
  <si>
    <t xml:space="preserve">Evidence</t>
  </si>
  <si>
    <t xml:space="preserve">Risk if unaddressed</t>
  </si>
  <si>
    <t xml:space="preserve">F-001</t>
  </si>
  <si>
    <t xml:space="preserve">No executed DPA. Confidential data including incidental customer personal data is processed by a US-hosted processor with no Article 28 contract, no documented processing instructions, no Article 32 security obligation and no Article 46 transfer mechanism recorded.</t>
  </si>
  <si>
    <t xml:space="preserve">VQ-27, VQ-28, VQ-29</t>
  </si>
  <si>
    <t xml:space="preserve">No DPA on file; hosting region confirmed United States</t>
  </si>
  <si>
    <t xml:space="preserve">A present-tense GDPR Article 28 non-conformity. Any enterprise customer assessing Cypher Group Inc. would find it, and a supervisory authority would treat it as a failure of controller diligence. → VR-001</t>
  </si>
  <si>
    <t xml:space="preserve">F-002</t>
  </si>
  <si>
    <t xml:space="preserve">No contractual breach-notification commitment and no named incident contact. There is no agreed number of hours within which Cypher Group Inc. would be told of an incident, and no out-of-hours route.</t>
  </si>
  <si>
    <t xml:space="preserve">VQ-51, VQ-52</t>
  </si>
  <si>
    <t xml:space="preserve">No contract; support portal only</t>
  </si>
  <si>
    <t xml:space="preserve">CGI-POL-005 §5.6.3 commits Cypher Group Inc. to notifying a supervisory authority within 72 hours of awareness. Without a vendor notification clause, "awareness" is outside the company's control. The most consequential written commitment in the policy pack is unenforceable against this vendor. → VR-004</t>
  </si>
  <si>
    <t xml:space="preserve">F-003</t>
  </si>
  <si>
    <t xml:space="preserve">High</t>
  </si>
  <si>
    <t xml:space="preserve">No SCIM or automated deprovisioning on the current plan. Account removal is manual and performed by a workspace admin.</t>
  </si>
  <si>
    <t xml:space="preserve">VQ-19, VQ-20</t>
  </si>
  <si>
    <t xml:space="preserve">Plan feature matrix; no SSO federation configured</t>
  </si>
  <si>
    <t xml:space="preserve">CGI-POL-003 §4.5.2 requires revocation within four hours of a leaver event. On this vendor that SLA is not technically achievable, so a control Cypher Group Inc. has published and relies upon in R-003's treatment does not operate here. → VR-008</t>
  </si>
  <si>
    <t xml:space="preserve">F-004</t>
  </si>
  <si>
    <t xml:space="preserve">AI features process message content; training is not contractually prohibited and human review is not excluded.</t>
  </si>
  <si>
    <t xml:space="preserve">VQ-67, VQ-68, VQ-69</t>
  </si>
  <si>
    <t xml:space="preserve">No contract; vendor terms not reviewed at procurement</t>
  </si>
  <si>
    <t xml:space="preserve">Message content includes security discussion, pasted credentials and customer detail. With no contractual prohibition there is no basis to assert to a customer where their content has been, and no route to recall it. → VR-006</t>
  </si>
  <si>
    <t xml:space="preserve">F-005</t>
  </si>
  <si>
    <t xml:space="preserve">Unlimited message retention and no deletion-on-termination obligation or certification.</t>
  </si>
  <si>
    <t xml:space="preserve">VQ-25, VQ-73</t>
  </si>
  <si>
    <t xml:space="preserve">Workspace retention setting = unlimited</t>
  </si>
  <si>
    <t xml:space="preserve">Every credential, screenshot and customer record ever pasted persists indefinitely, with no contractual deletion duty on exit. This is a right-of-bang control: it does not make a breach likelier, it makes every breach maximally large.</t>
  </si>
  <si>
    <t xml:space="preserve">F-006</t>
  </si>
  <si>
    <t xml:space="preserve">Medium</t>
  </si>
  <si>
    <t xml:space="preserve">Assurance artifact stale. The SOC 2 Type II held covers a period ended 30 Nov 2025 — 9.5 months before this assessment — with no bridge letter.</t>
  </si>
  <si>
    <t xml:space="preserve">Report on file, period end date</t>
  </si>
  <si>
    <t xml:space="preserve">The report describes a period that ended before three of this estate's current configurations existed. Assurance is asserted that no current evidence supports. → VR-009</t>
  </si>
  <si>
    <t xml:space="preserve">F-007</t>
  </si>
  <si>
    <t xml:space="preserve">Carve-out method; carved-out sub-service organisations not enumerated and the CSOC list not reviewed.</t>
  </si>
  <si>
    <t xml:space="preserve">VQ-13, VQ-33</t>
  </si>
  <si>
    <t xml:space="preserve">Report Section 3</t>
  </si>
  <si>
    <t xml:space="preserve">Fourth-party exposure is invisible. The opinion held is narrower than it appears. → VR-003</t>
  </si>
  <si>
    <t xml:space="preserve">F-008</t>
  </si>
  <si>
    <t xml:space="preserve">No customer-accessible audit log of administrative activity on the current plan.</t>
  </si>
  <si>
    <t xml:space="preserve">Plan feature matrix</t>
  </si>
  <si>
    <t xml:space="preserve">Cypher Group Inc. could not establish who did what in its own workspace during an investigation. Directly blocks RS.AN (CGI-GAP-001 GAP-018, currently 1).</t>
  </si>
  <si>
    <t xml:space="preserve">F-009</t>
  </si>
  <si>
    <t xml:space="preserve">Low</t>
  </si>
  <si>
    <t xml:space="preserve">No contractual right of audit; attestation offered in lieu.</t>
  </si>
  <si>
    <t xml:space="preserve">Standard terms</t>
  </si>
  <si>
    <t xml:space="preserve">Accepted as normal commercial practice for a vendor of this size. Recorded, not remediated.</t>
  </si>
  <si>
    <t xml:space="preserve">Slack — remediation plan</t>
  </si>
  <si>
    <t xml:space="preserve">Action</t>
  </si>
  <si>
    <t xml:space="preserve">Closes</t>
  </si>
  <si>
    <t xml:space="preserve">Owner (Job Title)</t>
  </si>
  <si>
    <t xml:space="preserve">Due</t>
  </si>
  <si>
    <t xml:space="preserve">Cost</t>
  </si>
  <si>
    <t xml:space="preserve">Verification</t>
  </si>
  <si>
    <t xml:space="preserve">R1 Execute the vendor's standard DPA including SCCs, and record the executed copy in the inventory</t>
  </si>
  <si>
    <t xml:space="preserve">15 Oct 2026</t>
  </si>
  <si>
    <t xml:space="preserve">Nil</t>
  </si>
  <si>
    <t xml:space="preserve">Executed DPA on file, inventory column J updated to Y + date</t>
  </si>
  <si>
    <t xml:space="preserve">R2 Obtain a written incident-notification commitment of 24 hours or less and a named security contact with an out-of-hours route</t>
  </si>
  <si>
    <t xml:space="preserve">Clause in the DPA or an addendum; contact recorded in the inventory</t>
  </si>
  <si>
    <t xml:space="preserve">R3 Upgrade to a plan supporting SSO federation and SCIM, then federate the workspace to Google Workspace</t>
  </si>
  <si>
    <t xml:space="preserve">15 Nov 2026</t>
  </si>
  <si>
    <t xml:space="preserve">~USD 3,600 / yr uplift</t>
  </si>
  <si>
    <t xml:space="preserve">One test leaver revoked and evidenced inside four hours</t>
  </si>
  <si>
    <t xml:space="preserve">R4 Disable AI features that process message content until a contractual prohibition on training and human review is in place</t>
  </si>
  <si>
    <t xml:space="preserve">01 Oct 2026</t>
  </si>
  <si>
    <t xml:space="preserve">Admin setting screenshot; clause in the executed DPA</t>
  </si>
  <si>
    <t xml:space="preserve">R5 Set message retention to 12 months for general channels and 24 months for the incident channel, aligned to the log-retention standard REC-07 will establish</t>
  </si>
  <si>
    <t xml:space="preserve">Retention policy screenshot</t>
  </si>
  <si>
    <t xml:space="preserve">R6 Obtain the current-period SOC 2 Type II, or a bridge letter, and diary the next report date</t>
  </si>
  <si>
    <t xml:space="preserve">F-006, F-007</t>
  </si>
  <si>
    <t xml:space="preserve">Report on file; sub-service organisations enumerated; CSOCs reviewed and assigned</t>
  </si>
  <si>
    <t xml:space="preserve">R7 Enable the audit-log capability delivered by the R3 plan upgrade and route it to the destination REC-07 creates</t>
  </si>
  <si>
    <t xml:space="preserve">15 Dec 2026</t>
  </si>
  <si>
    <t xml:space="preserve">Included in R3</t>
  </si>
  <si>
    <t xml:space="preserve">Sample export retained</t>
  </si>
  <si>
    <t xml:space="preserve">R8 If R1, R2 and R4 are not complete by 15 Nov 2026, open a migration assessment for an EU-hosted alternative and cease posting Confidential data to the platform in the interim</t>
  </si>
  <si>
    <t xml:space="preserve">all</t>
  </si>
  <si>
    <t xml:space="preserve">15 Nov 2026 gate</t>
  </si>
  <si>
    <t xml:space="preserve">TBD</t>
  </si>
  <si>
    <t xml:space="preserve">CEO decision recorded</t>
  </si>
  <si>
    <t xml:space="preserve">AWS (VRA-2026-001) — findings</t>
  </si>
  <si>
    <t xml:space="preserve">F-010</t>
  </si>
  <si>
    <t xml:space="preserve">Four Complementary User Entity Controls are unaccepted and unassigned. The report assumes the customer (a) enables organisation-wide CloudTrail with log file validation, (b) enforces MFA on the root account and restricts its use, (c) applies least-privilege IAM with periodic review, and (d) manages encryption for customer-controlled data. None is evidenced at Cypher Group Inc.</t>
  </si>
  <si>
    <t xml:space="preserve">VQ-13, VQ-15, VQ-16, VQ-46, VQ-48</t>
  </si>
  <si>
    <t xml:space="preserve">The opinion in the report does not cover Cypher Group Inc.'s use of the service. Presenting it to a customer as assurance over the platform would be materially misleading. Maps directly to CG-03, and to REC-01, REC-02, REC-07 and REC-11.</t>
  </si>
  <si>
    <t xml:space="preserve">F-011</t>
  </si>
  <si>
    <t xml:space="preserve">Carve-out method; the CSOC list has never been reconciled against Cypher Group Inc.'s actual architecture.</t>
  </si>
  <si>
    <t xml:space="preserve">Fourth-party controls are assumed rather than confirmed.</t>
  </si>
  <si>
    <t xml:space="preserve">F-012</t>
  </si>
  <si>
    <t xml:space="preserve">The sub-processor change feed is published; Cypher Group Inc. is not subscribed and has never reconciled the list. There is therefore no practical exercise of the right to object.</t>
  </si>
  <si>
    <t xml:space="preserve">VQ-33, VQ-34</t>
  </si>
  <si>
    <t xml:space="preserve">A new sub-processor could enter the data path with formally valid notice that nobody at Cypher Group Inc. reads. → VR-003</t>
  </si>
  <si>
    <t xml:space="preserve">F-013</t>
  </si>
  <si>
    <t xml:space="preserve">No Cypher Group Inc. RTO or RPO is declared, no restore has been tested, and the data-export path has never been exercised. The provider's availability SLA exists; the customer's recovery capability does not.</t>
  </si>
  <si>
    <t xml:space="preserve">VQ-56, VQ-57, VQ-59</t>
  </si>
  <si>
    <t xml:space="preserve">Confirms CGI-GAP-001 GAP-021 (RC.RP = 1) from the vendor side. An untested backup is an assumption. Closed by REC-03. → VR-007</t>
  </si>
  <si>
    <t xml:space="preserve">AWS — conditions of the pass</t>
  </si>
  <si>
    <t xml:space="preserve">#</t>
  </si>
  <si>
    <t xml:space="preserve">Evidence required</t>
  </si>
  <si>
    <t xml:space="preserve">C1</t>
  </si>
  <si>
    <t xml:space="preserve">Formally accept the four CUECs, assign each an owner, and record the acceptance in the inventory against CGI-VEN-001</t>
  </si>
  <si>
    <t xml:space="preserve">Signed CUEC acceptance record with four named owners</t>
  </si>
  <si>
    <t xml:space="preserve">C2</t>
  </si>
  <si>
    <t xml:space="preserve">Subscribe to the sub-processor change feed and perform a first reconciliation</t>
  </si>
  <si>
    <t xml:space="preserve">Dated reconciliation record</t>
  </si>
  <si>
    <t xml:space="preserve">C3</t>
  </si>
  <si>
    <t xml:space="preserve">Either purchase a support tier providing a named incident escalation route, or record a CEO-approved written acceptance of the limitation</t>
  </si>
  <si>
    <t xml:space="preserve">Support contract, or an expiring acceptance record</t>
  </si>
  <si>
    <t xml:space="preserve">C4</t>
  </si>
  <si>
    <t xml:space="preserve">Declare RTO and RPO and evidence one successful restore test to a clean environment (this is REC-03 — do not run it twice)</t>
  </si>
  <si>
    <t xml:space="preserve">Dated restore test report and an approved CGI-POL-006</t>
  </si>
  <si>
    <t xml:space="preserve">Calendly (VRA-2026-003) — observation</t>
  </si>
  <si>
    <t xml:space="preserve">Observation</t>
  </si>
  <si>
    <t xml:space="preserve">Treatment</t>
  </si>
  <si>
    <t xml:space="preserve">O-001</t>
  </si>
  <si>
    <t xml:space="preserve">Data is processed in the United States and no EU data-residency option is available on any plan. Transfers rest on Standard Contractual Clauses with no transfer impact assessment performed by Cypher Group Inc.</t>
  </si>
  <si>
    <t xml:space="preserve">Accepted. The data is invitee name, email and subject line, volunteered by the invitee at the point of booking. A compensating configuration change is applied: booking pages must not request free-text detail beyond a subject line, so no Confidential context can be entered into the tool.</t>
  </si>
  <si>
    <t xml:space="preserve">Calendly — acceptance record ACC-V01</t>
  </si>
  <si>
    <t xml:space="preserve">Field</t>
  </si>
  <si>
    <t xml:space="preserve">Acceptance ID</t>
  </si>
  <si>
    <t xml:space="preserve">ACC-V01</t>
  </si>
  <si>
    <t xml:space="preserve">What is accepted</t>
  </si>
  <si>
    <t xml:space="preserve">US processing of invitee name, email and subject line under SCCs, with no EU residency option and no transfer impact assessment</t>
  </si>
  <si>
    <t xml:space="preserve">Justification</t>
  </si>
  <si>
    <t xml:space="preserve">No Restricted data · no customer account data · no production access · no availability dependency · replaceable within one business day · SOC 2 Type II held and in period · DPA executed with SCCs · residual risk 4, Low</t>
  </si>
  <si>
    <t xml:space="preserve">Compensating control</t>
  </si>
  <si>
    <t xml:space="preserve">Booking pages restricted to a subject line only; no free-text fields enabled</t>
  </si>
  <si>
    <t xml:space="preserve">Head of Customer Success (Tier 3 approval authority per Part 3)</t>
  </si>
  <si>
    <t xml:space="preserve">15 September 2026</t>
  </si>
  <si>
    <t xml:space="preserve">Expiry</t>
  </si>
  <si>
    <t xml:space="preserve">15 September 2028, with the Tier 3 review — or earlier on any change of service, data type or plan</t>
  </si>
  <si>
    <t xml:space="preserve">Risk ID</t>
  </si>
  <si>
    <t xml:space="preserve">Risk Title</t>
  </si>
  <si>
    <t xml:space="preserve">Risk Scenario</t>
  </si>
  <si>
    <t xml:space="preserve">Risk Category</t>
  </si>
  <si>
    <t xml:space="preserve">Risk Owner (Job Title)</t>
  </si>
  <si>
    <t xml:space="preserve">Inherent Likelihood (1-5)</t>
  </si>
  <si>
    <t xml:space="preserve">Inherent Impact (1-5)</t>
  </si>
  <si>
    <t xml:space="preserve">Inherent Score</t>
  </si>
  <si>
    <t xml:space="preserve">Existing / Planned Controls (CGI-TPR-001)</t>
  </si>
  <si>
    <t xml:space="preserve">Residual Likelihood (1-5)</t>
  </si>
  <si>
    <t xml:space="preserve">Residual Impact (1-5)</t>
  </si>
  <si>
    <t xml:space="preserve">Residual Score</t>
  </si>
  <si>
    <t xml:space="preserve">Residual Rating</t>
  </si>
  <si>
    <t xml:space="preserve">Treatment Strategy</t>
  </si>
  <si>
    <t xml:space="preserve">NEW or REALISES existing CGI-RSK-001 risk</t>
  </si>
  <si>
    <t xml:space="preserve">Related Vendor ID(s)</t>
  </si>
  <si>
    <t xml:space="preserve">VR-001</t>
  </si>
  <si>
    <t xml:space="preserve">Personal data processed by a sub-processor under no Article 28 contract</t>
  </si>
  <si>
    <t xml:space="preserve">Confidential data, including incidental customer personal data, is processed in Slack, Notion, Miro, Otter.ai and Grammarly with no executed Data Processing Agreement, so no processing instructions, no security obligations, no breach-notification pathway and no deletion-on-termination duty exist.</t>
  </si>
  <si>
    <t xml:space="preserve">Compliance / Supply chain</t>
  </si>
  <si>
    <t xml:space="preserve">CGI-TPR-001 4.4 contractual clause checklist; onboarding gate at CGI-TPR-001 7.1 blocking any vendor without a DPA; CGI-POL-004 4.2 amendment naming permitted third-party destinations.</t>
  </si>
  <si>
    <t xml:space="preserve">Mitigate</t>
  </si>
  <si>
    <t xml:space="preserve">NEW - no event of this kind exists in CGI-RSK-001 v1.0</t>
  </si>
  <si>
    <t xml:space="preserve">GV.SC, GV.OC</t>
  </si>
  <si>
    <t xml:space="preserve">CGI-VEN-004, -011, -012, -013, -016</t>
  </si>
  <si>
    <t xml:space="preserve">VR-002</t>
  </si>
  <si>
    <t xml:space="preserve">Concentration risk - correlated failure of nominally independent vendors</t>
  </si>
  <si>
    <t xml:space="preserve">A majority of the SaaS estate is itself hosted on the same underlying cloud provider as the CGI platform. A regional failure at that provider removes the platform, the monitoring that would detect it, the ticketing system customers would use to report it and the status page intended to tell them about it, simultaneously.</t>
  </si>
  <si>
    <t xml:space="preserve">Availability / Supply chain</t>
  </si>
  <si>
    <t xml:space="preserve">CGI-TPR-001 2.6 concentration analysis; Tier 1 exit plans; out-of-band incident channel nominated in the CGI-POL-005 tabletop (REC-12); status page hosted off the primary provider.</t>
  </si>
  <si>
    <t xml:space="preserve">NEW - CGI-RSK-001 v1.0 assessed no correlated or supplier-originated availability scenario</t>
  </si>
  <si>
    <t xml:space="preserve">GV.SC, PR.IR, RC.RP</t>
  </si>
  <si>
    <t xml:space="preserve">CGI-VEN-001 and dependent vendors</t>
  </si>
  <si>
    <t xml:space="preserve">VR-003</t>
  </si>
  <si>
    <t xml:space="preserve">Undisclosed fourth party receives customer personal data through a vendor integration</t>
  </si>
  <si>
    <t xml:space="preserve">A vendor enables or acquires an onward integration that transfers CGI customer personal data to a fourth party that appears in no contract, no sub-processor list and no transfer assessment. CGI learns of it only from a billing line, a breach notice or a customer question.</t>
  </si>
  <si>
    <t xml:space="preserve">Privacy / Supply chain</t>
  </si>
  <si>
    <t xml:space="preserve">Questionnaire domain 7 (sub-processors and fourth parties); contractual requirement for 30 days' prior notice of sub-processor change with a right to object; annual sub-processor list reconciliation for Tier 1 and Tier 2.</t>
  </si>
  <si>
    <t xml:space="preserve">NEW - distinct actor, mechanism and pathway from R-003; R-003's four-hour revocation control (CGI-POL-003 4.5.2) is inert against it</t>
  </si>
  <si>
    <t xml:space="preserve">CGI-VEN-008, -009, -012</t>
  </si>
  <si>
    <t xml:space="preserve">VR-004</t>
  </si>
  <si>
    <t xml:space="preserve">Vendor breach exposes CGI customer data held outside the CGI environment</t>
  </si>
  <si>
    <t xml:space="preserve">A Tier 1 vendor suffers a security breach affecting data CGI has placed with it. CGI has no telemetry over that environment, cannot establish scope independently, and must nonetheless meet the CGI-POL-005 5.6.3 GDPR 72-hour obligation using the vendor's account of events.</t>
  </si>
  <si>
    <t xml:space="preserve">Confidentiality / Supply chain</t>
  </si>
  <si>
    <t xml:space="preserve">Contractual 24-hour vendor-to-CGI breach notification (ahead of the 72-hour clock); vendor incident contacts recorded in the inventory; vendor scenario added to the REC-12 tabletop; Tier 1 assurance artifact review.</t>
  </si>
  <si>
    <t xml:space="preserve">NEW - CGI-RSK-001 v1.0 contains no vendor-originated breach scenario</t>
  </si>
  <si>
    <t xml:space="preserve">GV.SC, RS.CO, RS.MA</t>
  </si>
  <si>
    <t xml:space="preserve">CGI-VEN-001 to -007</t>
  </si>
  <si>
    <t xml:space="preserve">VR-005</t>
  </si>
  <si>
    <t xml:space="preserve">Shadow IT - business units procure SaaS with no security review</t>
  </si>
  <si>
    <t xml:space="preserve">An employee procures a SaaS tool on a personal card or a free tier, grants it access to CGI data or to a CGI system, and the tool never enters the inventory, receives no assessment, signs no DPA and is never offboarded when the employee leaves.</t>
  </si>
  <si>
    <t xml:space="preserve">Governance / Supply chain</t>
  </si>
  <si>
    <t xml:space="preserve">CGI-TPR-001 7.1 onboarding gate; quarterly expense and OAuth-grant reconciliation against the inventory; CGI-POL-001 4.5 and 4.10 enforcement; procurement policy requiring Finance approval for any recurring software charge.</t>
  </si>
  <si>
    <t xml:space="preserve">NEW - this programme's own inventory exercise is what discovered it (CGI-VEN-012, -013)</t>
  </si>
  <si>
    <t xml:space="preserve">GV.SC, ID.AM</t>
  </si>
  <si>
    <t xml:space="preserve">CGI-VEN-012, -013</t>
  </si>
  <si>
    <t xml:space="preserve">VR-006</t>
  </si>
  <si>
    <t xml:space="preserve">Third-party AI system retains, reviews or trains on CGI and customer content</t>
  </si>
  <si>
    <t xml:space="preserve">An AI-enabled vendor ingests customer conversations, documents or typed text and retains it, exposes it to human review, or uses it to train models, with no contractual prohibition. CGI cannot recall the data, cannot satisfy an erasure request over it, and cannot tell a customer where their content went.</t>
  </si>
  <si>
    <t xml:space="preserve">Privacy / AI governance</t>
  </si>
  <si>
    <t xml:space="preserve">Tiering trigger T2-f forcing minimum Tier 2 for any AI processor; questionnaire domain 15 (AI and automated processing); contractual prohibition on training and on human review without consent; CGI-POL-001 4.5 extended to cover AI vendors, not only AI used by staff.</t>
  </si>
  <si>
    <t xml:space="preserve">NEW - no AI or automated-processing scenario exists in CGI-RSK-001 v1.0. This is the register's single most current blind spot</t>
  </si>
  <si>
    <t xml:space="preserve">VR-007</t>
  </si>
  <si>
    <t xml:space="preserve">Vendor lock-in - no tested exit capability from a Tier 1 provider</t>
  </si>
  <si>
    <t xml:space="preserve">A Tier 1 vendor is acquired, discontinues the service, suffers sustained degradation or imposes commercially unacceptable terms. CGI has no documented or tested exit path, no export of its data in a usable format and no assessed alternative, so it must accept the new terms.</t>
  </si>
  <si>
    <t xml:space="preserve">Availability / Commercial</t>
  </si>
  <si>
    <t xml:space="preserve">Documented exit plan mandatory for every Tier 1 vendor; contractual data-export format and assistance obligations; annual exit-plan review at the REC-10 quarterly security review.</t>
  </si>
  <si>
    <t xml:space="preserve">NEW - CGI-RSK-001 v1.0 contains no commercial or continuity-of-supply scenario</t>
  </si>
  <si>
    <t xml:space="preserve">GV.SC, PR.IR</t>
  </si>
  <si>
    <t xml:space="preserve">CGI-VEN-001, -002, -003, -006</t>
  </si>
  <si>
    <t xml:space="preserve">VR-008</t>
  </si>
  <si>
    <t xml:space="preserve">Vendor accounts survive employee offboarding, defeating the four-hour revocation SLA</t>
  </si>
  <si>
    <t xml:space="preserve">A leaver's access is revoked in Google Workspace within the CGI-POL-003 4.5.2 four-hour SLA, but vendor accounts that are not federated to the identity provider and support no automated deprovisioning remain live and reachable with the leaver's own credentials.</t>
  </si>
  <si>
    <t xml:space="preserve">Access control / Supply chain</t>
  </si>
  <si>
    <t xml:space="preserve">Inventory column recording SSO federation and automated deprovisioning capability per vendor; offboarding checklist at CGI-TPR-001 7.2 enumerating every non-federated vendor; contractual requirement for SSO and SCIM on Tier 1 renewal.</t>
  </si>
  <si>
    <t xml:space="preserve">REALISES R-003 through a new pathway, and creates a residual gap R-003's own control cannot reach; recorded separately so the vendor pathway is visible</t>
  </si>
  <si>
    <t xml:space="preserve">GV.SC, PR.AA</t>
  </si>
  <si>
    <t xml:space="preserve">CGI-VEN-004, -011, -013, -016</t>
  </si>
  <si>
    <t xml:space="preserve">VR-009</t>
  </si>
  <si>
    <t xml:space="preserve">Assurance decay - vendor evidence expires and is never re-collected</t>
  </si>
  <si>
    <t xml:space="preserve">Assurance artifacts are collected once at onboarding and never refreshed. Reports age past their period, certificates lapse or are re-scoped, and the register asserts a level of assurance that no current evidence supports.</t>
  </si>
  <si>
    <t xml:space="preserve">Next Review Date as a mandatory inventory column; tier-driven review cadence; KRI-V3 tracking the percentage of Tier 1 artifacts within period; bridge letters required where a SOC 2 period ended more than three months ago.</t>
  </si>
  <si>
    <t xml:space="preserve">NEW - an operational risk created by running a vendor programme at all; it did not exist before CGI began holding assurance evidence</t>
  </si>
  <si>
    <t xml:space="preserve">GV.SC, GV.OV</t>
  </si>
  <si>
    <t xml:space="preserve">All Tier 1 and Tier 2</t>
  </si>
  <si>
    <t xml:space="preserve">CGI-RSK-001 v1.1 merge (v1.0 figures are the approved register totals)</t>
  </si>
  <si>
    <t xml:space="preserve">Measure</t>
  </si>
  <si>
    <t xml:space="preserve">v1.0</t>
  </si>
  <si>
    <t xml:space="preserve">Addendum</t>
  </si>
  <si>
    <t xml:space="preserve">v1.1</t>
  </si>
  <si>
    <t xml:space="preserve">Risks</t>
  </si>
  <si>
    <t xml:space="preserve">Aggregate inherent</t>
  </si>
  <si>
    <t xml:space="preserve">Mean inherent</t>
  </si>
  <si>
    <t xml:space="preserve">Aggregate residual</t>
  </si>
  <si>
    <t xml:space="preserve">Mean residual</t>
  </si>
  <si>
    <t xml:space="preserve">Reduction</t>
  </si>
  <si>
    <t xml:space="preserve">Residual High or above</t>
  </si>
  <si>
    <t xml:space="preserve">KRI ID</t>
  </si>
  <si>
    <t xml:space="preserve">Indicator</t>
  </si>
  <si>
    <t xml:space="preserve">Target</t>
  </si>
  <si>
    <t xml:space="preserve">Escalation Threshold</t>
  </si>
  <si>
    <t xml:space="preserve">Frequency</t>
  </si>
  <si>
    <t xml:space="preserve">Current Value</t>
  </si>
  <si>
    <t xml:space="preserve">Status</t>
  </si>
  <si>
    <t xml:space="preserve">KRI-V1</t>
  </si>
  <si>
    <t xml:space="preserve">Percentage of vendors in the inventory with an executed DPA</t>
  </si>
  <si>
    <t xml:space="preserve">100%</t>
  </si>
  <si>
    <t xml:space="preserve">&lt; 95%</t>
  </si>
  <si>
    <t xml:space="preserve">Monthly</t>
  </si>
  <si>
    <t xml:space="preserve">KRI-V2</t>
  </si>
  <si>
    <t xml:space="preserve">Percentage of Tier 1 vendors with a completed assessment within cadence</t>
  </si>
  <si>
    <t xml:space="preserve">&lt; 100%</t>
  </si>
  <si>
    <t xml:space="preserve">Quarterly</t>
  </si>
  <si>
    <t xml:space="preserve">Not yet measured</t>
  </si>
  <si>
    <t xml:space="preserve">First report at REC-10 review</t>
  </si>
  <si>
    <t xml:space="preserve">KRI-V3</t>
  </si>
  <si>
    <t xml:space="preserve">Percentage of Tier 1 assurance artifacts within period or bridged</t>
  </si>
  <si>
    <t xml:space="preserve">&lt; 90%</t>
  </si>
  <si>
    <t xml:space="preserve">KRI-V4</t>
  </si>
  <si>
    <t xml:space="preserve">Number of vendors discovered outside the onboarding workflow (shadow IT) per quarter</t>
  </si>
  <si>
    <t xml:space="preserve">&gt; 1</t>
  </si>
  <si>
    <t xml:space="preserve">KRI-V5</t>
  </si>
  <si>
    <t xml:space="preserve">Percentage of Tier 1 vendors federated to SSO with automated deprovisioning</t>
  </si>
  <si>
    <t xml:space="preserve">KRI-V6</t>
  </si>
  <si>
    <t xml:space="preserve">Mean days from vendor request to onboarding decision, Tier 1</t>
  </si>
  <si>
    <t xml:space="preserve">&lt;= 15</t>
  </si>
  <si>
    <t xml:space="preserve">&gt; 25</t>
  </si>
  <si>
    <t xml:space="preserve">KRI-V7</t>
  </si>
  <si>
    <t xml:space="preserve">Number of Tier 1 vendors with no documented exit plan</t>
  </si>
  <si>
    <t xml:space="preserve">&gt;= 1</t>
  </si>
  <si>
    <t xml:space="preserve">Semi-annual</t>
  </si>
  <si>
    <t xml:space="preserve">KRI-V5 counts Tier 1 vendors marked Y in the SSO Federated column of 01_Inventory.</t>
  </si>
  <si>
    <t xml:space="preserve">Contractual security clause checklist</t>
  </si>
  <si>
    <t xml:space="preserve">M = mandatory for the tier · R = required, negotiable · O = seek, accept refusal with a recorded reason</t>
  </si>
  <si>
    <t xml:space="preserve">Clause</t>
  </si>
  <si>
    <t xml:space="preserve">What it must actually say</t>
  </si>
  <si>
    <t xml:space="preserve">ISO 27001:2022</t>
  </si>
  <si>
    <t xml:space="preserve">Data Processing Agreement</t>
  </si>
  <si>
    <t xml:space="preserve">Full GDPR Art. 28(3) content: subject matter, duration, nature and purpose, data types, data subject categories, documented-instructions-only, staff confidentiality, Art. 32 measures, assistance with data subject rights and breach notification, deletion or return at end of contract</t>
  </si>
  <si>
    <t xml:space="preserve">M</t>
  </si>
  <si>
    <t xml:space="preserve">Breach notification within 24 hours</t>
  </si>
  <si>
    <t xml:space="preserve">A fixed maximum in hours, starting from the vendor's awareness, with defined minimum content. Not "promptly", not "without undue delay"</t>
  </si>
  <si>
    <t xml:space="preserve">A.5.20, A.6.8</t>
  </si>
  <si>
    <t xml:space="preserve">Named security contact + out-of-hours route</t>
  </si>
  <si>
    <t xml:space="preserve">A person or rota, not a support portal</t>
  </si>
  <si>
    <t xml:space="preserve">R</t>
  </si>
  <si>
    <t xml:space="preserve">O</t>
  </si>
  <si>
    <t xml:space="preserve">4</t>
  </si>
  <si>
    <t xml:space="preserve">Sub-processor list + 30 days' notice + right to object</t>
  </si>
  <si>
    <t xml:space="preserve">Current list appended to the contract; 30 days' prior written notice of change; a right to object with a termination remedy if unresolved</t>
  </si>
  <si>
    <t xml:space="preserve">A.5.21, A.5.22</t>
  </si>
  <si>
    <t xml:space="preserve">5</t>
  </si>
  <si>
    <t xml:space="preserve">Flow-down of equivalent obligations</t>
  </si>
  <si>
    <t xml:space="preserve">The vendor imposes materially equivalent terms on its own sub-processors</t>
  </si>
  <si>
    <t xml:space="preserve">6</t>
  </si>
  <si>
    <t xml:space="preserve">Data residency and Art. 46 transfer mechanism</t>
  </si>
  <si>
    <t xml:space="preserve">Named countries; SCCs or adequacy identified; transfer impact assessment where applicable</t>
  </si>
  <si>
    <t xml:space="preserve">7</t>
  </si>
  <si>
    <t xml:space="preserve">No AI training, no human review without consent</t>
  </si>
  <si>
    <t xml:space="preserve">Explicit prohibition on using Cypher Group Inc. data to train, fine-tune or evaluate any model, and on human review, by the vendor or any AI sub-processor</t>
  </si>
  <si>
    <t xml:space="preserve">8</t>
  </si>
  <si>
    <t xml:space="preserve">Right of audit, or attestation in lieu</t>
  </si>
  <si>
    <t xml:space="preserve">An audit right, or a contractual commitment to provide a current SOC 2 Type II or ISO 27001 certificate annually with its scope statement</t>
  </si>
  <si>
    <t xml:space="preserve">9</t>
  </si>
  <si>
    <t xml:space="preserve">Assurance refresh obligation</t>
  </si>
  <si>
    <t xml:space="preserve">The vendor provides its refreshed report within 30 days of issue, and a bridge letter on request. This is the clause that treats VR-009</t>
  </si>
  <si>
    <t xml:space="preserve">10</t>
  </si>
  <si>
    <t xml:space="preserve">Encryption at rest and in transit</t>
  </si>
  <si>
    <t xml:space="preserve">Named minimum standards, not "industry standard"</t>
  </si>
  <si>
    <t xml:space="preserve">11</t>
  </si>
  <si>
    <t xml:space="preserve">Data export on demand, in a documented format</t>
  </si>
  <si>
    <t xml:space="preserve">Machine-readable, documented, available without additional fee — the clause that makes an exit plan real</t>
  </si>
  <si>
    <t xml:space="preserve">12</t>
  </si>
  <si>
    <t xml:space="preserve">Certified deletion on termination</t>
  </si>
  <si>
    <t xml:space="preserve">Deletion within a stated number of days, with a written certificate</t>
  </si>
  <si>
    <t xml:space="preserve">13</t>
  </si>
  <si>
    <t xml:space="preserve">Transition assistance on exit</t>
  </si>
  <si>
    <t xml:space="preserve">Defined scope and duration of assistance, priced in advance</t>
  </si>
  <si>
    <t xml:space="preserve">—</t>
  </si>
  <si>
    <t xml:space="preserve">14</t>
  </si>
  <si>
    <t xml:space="preserve">SSO and SCIM support</t>
  </si>
  <si>
    <t xml:space="preserve">Federation and automated deprovisioning, so the CGI-POL-003 §4.5.2 four-hour SLA is technically achievable. This clause treats VR-008</t>
  </si>
  <si>
    <t xml:space="preserve">M at renewal</t>
  </si>
  <si>
    <t xml:space="preserve">A.5.16, A.5.18</t>
  </si>
  <si>
    <t xml:space="preserve">15</t>
  </si>
  <si>
    <t xml:space="preserve">Customer-accessible audit logs</t>
  </si>
  <si>
    <t xml:space="preserve">The customer can retrieve administrative and access logs for its own tenant</t>
  </si>
  <si>
    <t xml:space="preserve">16</t>
  </si>
  <si>
    <t xml:space="preserve">Cyber liability insurance</t>
  </si>
  <si>
    <t xml:space="preserve">Stated limit of indemnity, with a certificate on request</t>
  </si>
  <si>
    <t xml:space="preserve">17</t>
  </si>
  <si>
    <t xml:space="preserve">Service levels with credits</t>
  </si>
  <si>
    <t xml:space="preserve">Availability commitment with a remedy, not an aspiration</t>
  </si>
  <si>
    <t xml:space="preserve">18</t>
  </si>
  <si>
    <t xml:space="preserve">Notification of change of control</t>
  </si>
  <si>
    <t xml:space="preserve">Written notice of acquisition, with a termination right. This clause treats VR-007</t>
  </si>
  <si>
    <t xml:space="preserve">Check</t>
  </si>
  <si>
    <t xml:space="preserve">Done?</t>
  </si>
  <si>
    <t xml:space="preserve">Evidence / note</t>
  </si>
  <si>
    <t xml:space="preserve">Vendor count ≥ 15, including all five named stack providers</t>
  </si>
  <si>
    <t xml:space="preserve">Yes</t>
  </si>
  <si>
    <t xml:space="preserve">17 vendors; AWS, GitHub, Slack, Google Workspace and Stripe all present</t>
  </si>
  <si>
    <t xml:space="preserve">All 17 mandated inventory columns present, in the required order, in columns A–Q</t>
  </si>
  <si>
    <t xml:space="preserve">Extra governance columns appended after the mandated set</t>
  </si>
  <si>
    <t xml:space="preserve">from column R</t>
  </si>
  <si>
    <t xml:space="preserve">Every tier recomputed from the published model, not hand-assigned</t>
  </si>
  <si>
    <t xml:space="preserve">7 / 6 / 4</t>
  </si>
  <si>
    <t xml:space="preserve">Every tiering factor within 0–3; every likelihood and impact within 1–5</t>
  </si>
  <si>
    <t xml:space="preserve">Questionnaire ≥ 60 questions across ≥ 12 domains</t>
  </si>
  <si>
    <t xml:space="preserve">74 questions, 16 domains</t>
  </si>
  <si>
    <t xml:space="preserve">Every question carries response type, evidence requirement, risk weight, ISO Annex A and CSF 2.0</t>
  </si>
  <si>
    <t xml:space="preserve">74 of 74 on all five</t>
  </si>
  <si>
    <t xml:space="preserve">Three assessments at contrasting outcomes</t>
  </si>
  <si>
    <t xml:space="preserve">Fail / conditional pass / accepted</t>
  </si>
  <si>
    <t xml:space="preserve">Assessment arithmetic reconciles (Met + Partial + Not Met + N/A = questions applied)</t>
  </si>
  <si>
    <t xml:space="preserve">74 / 74 / 6</t>
  </si>
  <si>
    <t xml:space="preserve">Weighted scores recomputed from deduction ÷ maximum</t>
  </si>
  <si>
    <t xml:space="preserve">65% / 89% / 92%</t>
  </si>
  <si>
    <t xml:space="preserve">Addendum uses the identical 5 × 5 method and thresholds as CGI-RSK-001</t>
  </si>
  <si>
    <t xml:space="preserve">No risk has residual greater than inherent</t>
  </si>
  <si>
    <t xml:space="preserve">9 of 9</t>
  </si>
  <si>
    <t xml:space="preserve">At least one risk honestly remains High after treatment</t>
  </si>
  <si>
    <t xml:space="preserve">VR-004 residual 12</t>
  </si>
  <si>
    <t xml:space="preserve">Every addendum risk declares NEW or REALISES</t>
  </si>
  <si>
    <t xml:space="preserve">8 new, 1 realises R-003</t>
  </si>
  <si>
    <t xml:space="preserve">Merge arithmetic for CGI-RSK-001 v1.1</t>
  </si>
  <si>
    <t xml:space="preserve">92+121=213 inherent, 44+78=122 residual, 43% reduction, mean residual 8.71</t>
  </si>
  <si>
    <t xml:space="preserve">GV.SC movement reconciled against the CGI-GAP-001 declared target</t>
  </si>
  <si>
    <t xml:space="preserve">0 → 2, target 2, gap 0; overall 27÷22=1.23 → 29÷22=1.32</t>
  </si>
  <si>
    <t xml:space="preserve">Workbook formulas are formulas, not hardcoded values</t>
  </si>
  <si>
    <t xml:space="preserve">231 formulas</t>
  </si>
  <si>
    <t xml:space="preserve">Workbook recalculated; zero #REF!, #DIV/0!, #VALUE!, #NAME?</t>
  </si>
  <si>
    <t xml:space="preserve">0 errors across 9 sheets</t>
  </si>
  <si>
    <t xml:space="preserve">Every owner is a job title, never a named individual</t>
  </si>
  <si>
    <t xml:space="preserve">Case-study notice present on the document and the workbook</t>
  </si>
  <si>
    <t xml:space="preserve">Real-company assurance and contract statuses labelled as invented</t>
  </si>
  <si>
    <t xml:space="preserve">Tables paste cleanly — one value per cell, no merged cells</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</si>
</sst>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3315C"/>
      <name val="Arial"/>
      <family val="0"/>
      <charset val="1"/>
    </font>
    <font>
      <b val="true"/>
      <sz val="10"/>
      <color rgb="FF9C0006"/>
      <name val="Arial"/>
      <family val="0"/>
      <charset val="1"/>
    </font>
    <font>
      <b val="true"/>
      <sz val="10"/>
      <color rgb="FF1F2937"/>
      <name val="Arial"/>
      <family val="0"/>
      <charset val="1"/>
    </font>
    <font>
      <sz val="10"/>
      <color rgb="FF1F2937"/>
      <name val="Arial"/>
      <family val="0"/>
      <charset val="1"/>
    </font>
    <font>
      <b val="true"/>
      <sz val="11"/>
      <color rgb="FF13315C"/>
      <name val="Arial"/>
      <family val="0"/>
      <charset val="1"/>
    </font>
    <font>
      <b val="true"/>
      <sz val="10"/>
      <color rgb="FFFFFFFF"/>
      <name val="Arial"/>
      <family val="0"/>
      <charset val="1"/>
    </font>
    <font>
      <b val="true"/>
      <sz val="15"/>
      <color rgb="FF13315C"/>
      <name val="Arial"/>
      <family val="0"/>
      <charset val="1"/>
    </font>
    <font>
      <i val="true"/>
      <sz val="10"/>
      <color rgb="FF6B7280"/>
      <name val="Arial"/>
      <family val="0"/>
      <charset val="1"/>
    </font>
    <font>
      <i val="true"/>
      <sz val="9"/>
      <color rgb="FF6B7280"/>
      <name val="Arial"/>
      <family val="0"/>
      <charset val="1"/>
    </font>
  </fonts>
  <fills count="8">
    <fill>
      <patternFill patternType="none"/>
    </fill>
    <fill>
      <patternFill patternType="gray125"/>
    </fill>
    <fill>
      <patternFill patternType="solid">
        <fgColor rgb="FFFFF2CC"/>
        <bgColor rgb="FFFFEB9C"/>
      </patternFill>
    </fill>
    <fill>
      <patternFill patternType="solid">
        <fgColor rgb="FFE7E6E6"/>
        <bgColor rgb="FFFFF2CC"/>
      </patternFill>
    </fill>
    <fill>
      <patternFill patternType="solid">
        <fgColor rgb="FFC6EFCE"/>
        <bgColor rgb="FFCCFFFF"/>
      </patternFill>
    </fill>
    <fill>
      <patternFill patternType="solid">
        <fgColor rgb="FFFFEB9C"/>
        <bgColor rgb="FFFFF2CC"/>
      </patternFill>
    </fill>
    <fill>
      <patternFill patternType="solid">
        <fgColor rgb="FFFFC7CE"/>
        <bgColor rgb="FFE7E6E6"/>
      </patternFill>
    </fill>
    <fill>
      <patternFill patternType="solid">
        <fgColor rgb="FF13315C"/>
        <bgColor rgb="FF1F2937"/>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false" indent="0" shrinkToFit="false"/>
      <protection locked="true" hidden="false"/>
    </xf>
    <xf numFmtId="164" fontId="9" fillId="7"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7" fontId="6" fillId="3" borderId="1" xfId="0" applyFont="true" applyBorder="true" applyAlignment="true" applyProtection="false">
      <alignment horizontal="general" vertical="top" textRotation="0" wrapText="true" indent="0" shrinkToFit="false"/>
      <protection locked="true" hidden="false"/>
    </xf>
    <xf numFmtId="168"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8" fontId="7" fillId="3"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3315C"/>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E7E6E6"/>
          <bgColor rgb="FF000000"/>
        </patternFill>
      </fill>
    </dxf>
    <dxf>
      <fill>
        <patternFill patternType="solid">
          <fgColor rgb="FF9C0006"/>
          <bgColor rgb="FF000000"/>
        </patternFill>
      </fill>
    </dxf>
    <dxf>
      <font>
        <name val="Arial"/>
        <charset val="1"/>
        <family val="0"/>
        <b val="1"/>
        <color rgb="FF9C0006"/>
      </font>
      <fill>
        <patternFill>
          <bgColor rgb="FFFFC7CE"/>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E7E6E6"/>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13315C"/>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0"/>
  </cols>
  <sheetData>
    <row r="1" customFormat="false" ht="19.5" hidden="false" customHeight="true" outlineLevel="0" collapsed="false">
      <c r="A1" s="2" t="s">
        <v>0</v>
      </c>
    </row>
    <row r="2" customFormat="false" ht="42" hidden="false" customHeight="true" outlineLevel="0" collapsed="false">
      <c r="A2" s="3" t="s">
        <v>1</v>
      </c>
      <c r="B2" s="3"/>
    </row>
    <row r="4" customFormat="false" ht="15" hidden="false" customHeight="true" outlineLevel="0" collapsed="false">
      <c r="A4" s="4" t="s">
        <v>2</v>
      </c>
      <c r="B4" s="5" t="s">
        <v>3</v>
      </c>
    </row>
    <row r="5" customFormat="false" ht="15" hidden="false" customHeight="true" outlineLevel="0" collapsed="false">
      <c r="A5" s="4" t="s">
        <v>4</v>
      </c>
      <c r="B5" s="5" t="s">
        <v>5</v>
      </c>
    </row>
    <row r="6" customFormat="false" ht="15" hidden="false" customHeight="true" outlineLevel="0" collapsed="false">
      <c r="A6" s="4" t="s">
        <v>6</v>
      </c>
      <c r="B6" s="5" t="s">
        <v>7</v>
      </c>
    </row>
    <row r="7" customFormat="false" ht="15" hidden="false" customHeight="true" outlineLevel="0" collapsed="false">
      <c r="A7" s="4" t="s">
        <v>8</v>
      </c>
      <c r="B7" s="5" t="s">
        <v>9</v>
      </c>
    </row>
    <row r="8" customFormat="false" ht="15" hidden="false" customHeight="true" outlineLevel="0" collapsed="false">
      <c r="A8" s="4" t="s">
        <v>10</v>
      </c>
      <c r="B8" s="5" t="s">
        <v>11</v>
      </c>
    </row>
    <row r="10" customFormat="false" ht="15" hidden="false" customHeight="true" outlineLevel="0" collapsed="false">
      <c r="A10" s="6" t="s">
        <v>12</v>
      </c>
      <c r="B10" s="5"/>
    </row>
    <row r="11" customFormat="false" ht="23.25" hidden="false" customHeight="true" outlineLevel="0" collapsed="false">
      <c r="A11" s="4" t="s">
        <v>13</v>
      </c>
      <c r="B11" s="5" t="s">
        <v>14</v>
      </c>
    </row>
    <row r="12" customFormat="false" ht="15" hidden="false" customHeight="true" outlineLevel="0" collapsed="false">
      <c r="A12" s="4" t="s">
        <v>15</v>
      </c>
      <c r="B12" s="5" t="s">
        <v>16</v>
      </c>
    </row>
    <row r="13" customFormat="false" ht="15" hidden="false" customHeight="true" outlineLevel="0" collapsed="false">
      <c r="A13" s="4" t="s">
        <v>17</v>
      </c>
      <c r="B13" s="5" t="s">
        <v>18</v>
      </c>
    </row>
    <row r="14" customFormat="false" ht="15" hidden="false" customHeight="true" outlineLevel="0" collapsed="false">
      <c r="A14" s="4" t="s">
        <v>19</v>
      </c>
      <c r="B14" s="5" t="s">
        <v>20</v>
      </c>
    </row>
    <row r="15" customFormat="false" ht="15" hidden="false" customHeight="true" outlineLevel="0" collapsed="false">
      <c r="A15" s="4" t="s">
        <v>21</v>
      </c>
      <c r="B15" s="5" t="s">
        <v>22</v>
      </c>
    </row>
    <row r="16" customFormat="false" ht="15" hidden="false" customHeight="true" outlineLevel="0" collapsed="false">
      <c r="A16" s="4" t="s">
        <v>23</v>
      </c>
      <c r="B16" s="5" t="s">
        <v>24</v>
      </c>
    </row>
    <row r="17" customFormat="false" ht="15" hidden="false" customHeight="true" outlineLevel="0" collapsed="false">
      <c r="A17" s="4" t="s">
        <v>25</v>
      </c>
      <c r="B17" s="5" t="s">
        <v>26</v>
      </c>
    </row>
    <row r="18" customFormat="false" ht="15" hidden="false" customHeight="true" outlineLevel="0" collapsed="false">
      <c r="A18" s="4" t="s">
        <v>27</v>
      </c>
      <c r="B18" s="5" t="s">
        <v>28</v>
      </c>
    </row>
    <row r="20" customFormat="false" ht="15" hidden="false" customHeight="true" outlineLevel="0" collapsed="false">
      <c r="A20" s="6" t="s">
        <v>29</v>
      </c>
      <c r="B20" s="5"/>
    </row>
    <row r="21" customFormat="false" ht="15" hidden="false" customHeight="true" outlineLevel="0" collapsed="false">
      <c r="A21" s="7" t="s">
        <v>30</v>
      </c>
      <c r="B21" s="5" t="s">
        <v>31</v>
      </c>
    </row>
    <row r="22" customFormat="false" ht="15" hidden="false" customHeight="true" outlineLevel="0" collapsed="false">
      <c r="A22" s="8" t="s">
        <v>32</v>
      </c>
      <c r="B22" s="5" t="s">
        <v>33</v>
      </c>
    </row>
    <row r="23" customFormat="false" ht="15" hidden="false" customHeight="true" outlineLevel="0" collapsed="false">
      <c r="A23" s="9" t="s">
        <v>34</v>
      </c>
      <c r="B23" s="5" t="s">
        <v>35</v>
      </c>
    </row>
    <row r="24" customFormat="false" ht="15" hidden="false" customHeight="true" outlineLevel="0" collapsed="false">
      <c r="A24" s="10" t="s">
        <v>36</v>
      </c>
      <c r="B24" s="5" t="s">
        <v>37</v>
      </c>
    </row>
    <row r="25" customFormat="false" ht="15" hidden="false" customHeight="true" outlineLevel="0" collapsed="false">
      <c r="A25" s="11" t="s">
        <v>38</v>
      </c>
      <c r="B25" s="5" t="s">
        <v>39</v>
      </c>
    </row>
    <row r="27" customFormat="false" ht="15" hidden="false" customHeight="true" outlineLevel="0" collapsed="false">
      <c r="A27" s="6" t="s">
        <v>40</v>
      </c>
      <c r="B27" s="5"/>
    </row>
    <row r="28" customFormat="false" ht="15" hidden="false" customHeight="true" outlineLevel="0" collapsed="false">
      <c r="A28" s="4" t="s">
        <v>41</v>
      </c>
      <c r="B28" s="5" t="s">
        <v>42</v>
      </c>
    </row>
    <row r="29" customFormat="false" ht="15" hidden="false" customHeight="true" outlineLevel="0" collapsed="false">
      <c r="A29" s="4" t="s">
        <v>43</v>
      </c>
      <c r="B29" s="5" t="s">
        <v>44</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30"/>
    <col collapsed="false" customWidth="true" hidden="false" outlineLevel="0" max="4" min="4" style="1" width="22"/>
    <col collapsed="false" customWidth="true" hidden="false" outlineLevel="0" max="5" min="5" style="1" width="13"/>
    <col collapsed="false" customWidth="true" hidden="false" outlineLevel="0" max="6" min="6" style="1" width="34"/>
    <col collapsed="false" customWidth="true" hidden="false" outlineLevel="0" max="7" min="7" style="1" width="26"/>
    <col collapsed="false" customWidth="true" hidden="false" outlineLevel="0" max="8" min="8" style="1" width="20"/>
    <col collapsed="false" customWidth="true" hidden="false" outlineLevel="0" max="9" min="9" style="1" width="11"/>
    <col collapsed="false" customWidth="true" hidden="false" outlineLevel="0" max="10" min="10" style="1" width="22"/>
    <col collapsed="false" customWidth="true" hidden="false" outlineLevel="0" max="11" min="11" style="1" width="34"/>
    <col collapsed="false" customWidth="true" hidden="false" outlineLevel="0" max="12" min="12" style="1" width="7"/>
    <col collapsed="false" customWidth="true" hidden="false" outlineLevel="0" max="13" min="13" style="1" width="10"/>
    <col collapsed="false" customWidth="true" hidden="false" outlineLevel="0" max="14" min="14" style="1" width="30"/>
    <col collapsed="false" customWidth="true" hidden="false" outlineLevel="0" max="15" min="15" style="1" width="20"/>
    <col collapsed="false" customWidth="true" hidden="false" outlineLevel="0" max="16" min="16" style="1" width="12"/>
    <col collapsed="false" customWidth="true" hidden="false" outlineLevel="0" max="17" min="17" style="1" width="16"/>
    <col collapsed="false" customWidth="true" hidden="false" outlineLevel="0" max="22" min="18" style="1" width="9"/>
    <col collapsed="false" customWidth="true" hidden="false" outlineLevel="0" max="23" min="23" style="1" width="18"/>
    <col collapsed="false" customWidth="true" hidden="false" outlineLevel="0" max="24" min="24" style="1" width="11"/>
    <col collapsed="false" customWidth="true" hidden="false" outlineLevel="0" max="25" min="25" style="1" width="12"/>
    <col collapsed="false" customWidth="true" hidden="false" outlineLevel="0" max="26" min="26" style="1" width="40"/>
  </cols>
  <sheetData>
    <row r="1" customFormat="false" ht="33.75" hidden="false" customHeight="true" outlineLevel="0" collapsed="false">
      <c r="A1" s="12" t="s">
        <v>45</v>
      </c>
      <c r="B1" s="12" t="s">
        <v>46</v>
      </c>
      <c r="C1" s="12" t="s">
        <v>47</v>
      </c>
      <c r="D1" s="12" t="s">
        <v>48</v>
      </c>
      <c r="E1" s="12" t="s">
        <v>49</v>
      </c>
      <c r="F1" s="12" t="s">
        <v>50</v>
      </c>
      <c r="G1" s="12" t="s">
        <v>51</v>
      </c>
      <c r="H1" s="12" t="s">
        <v>52</v>
      </c>
      <c r="I1" s="12" t="s">
        <v>53</v>
      </c>
      <c r="J1" s="12" t="s">
        <v>54</v>
      </c>
      <c r="K1" s="12" t="s">
        <v>55</v>
      </c>
      <c r="L1" s="12" t="s">
        <v>56</v>
      </c>
      <c r="M1" s="12" t="s">
        <v>57</v>
      </c>
      <c r="N1" s="12" t="s">
        <v>58</v>
      </c>
      <c r="O1" s="12" t="s">
        <v>59</v>
      </c>
      <c r="P1" s="12" t="s">
        <v>60</v>
      </c>
      <c r="Q1" s="12" t="s">
        <v>61</v>
      </c>
      <c r="R1" s="12" t="s">
        <v>62</v>
      </c>
      <c r="S1" s="12" t="s">
        <v>63</v>
      </c>
      <c r="T1" s="12" t="s">
        <v>64</v>
      </c>
      <c r="U1" s="12" t="s">
        <v>65</v>
      </c>
      <c r="V1" s="12" t="s">
        <v>66</v>
      </c>
      <c r="W1" s="12" t="s">
        <v>67</v>
      </c>
      <c r="X1" s="12" t="s">
        <v>68</v>
      </c>
      <c r="Y1" s="12" t="s">
        <v>69</v>
      </c>
      <c r="Z1" s="12" t="s">
        <v>70</v>
      </c>
    </row>
    <row r="2" customFormat="false" ht="75" hidden="false" customHeight="true" outlineLevel="0" collapsed="false">
      <c r="A2" s="13" t="s">
        <v>71</v>
      </c>
      <c r="B2" s="13" t="s">
        <v>72</v>
      </c>
      <c r="C2" s="13" t="s">
        <v>73</v>
      </c>
      <c r="D2" s="13" t="s">
        <v>74</v>
      </c>
      <c r="E2" s="14" t="s">
        <v>75</v>
      </c>
      <c r="F2" s="13" t="s">
        <v>76</v>
      </c>
      <c r="G2" s="13" t="s">
        <v>77</v>
      </c>
      <c r="H2" s="13" t="s">
        <v>78</v>
      </c>
      <c r="I2" s="14" t="s">
        <v>79</v>
      </c>
      <c r="J2" s="14" t="s">
        <v>80</v>
      </c>
      <c r="K2" s="13" t="s">
        <v>81</v>
      </c>
      <c r="L2" s="15" t="n">
        <f aca="false">IF(A2="","",IF(ISNUMBER(SEARCH("T1-",W2)),1,IF(V2&gt;=8,1,IF(OR(ISNUMBER(SEARCH("T2-f",W2)),V2&gt;=4),2,3))))</f>
        <v>1</v>
      </c>
      <c r="M2" s="14" t="n">
        <v>10</v>
      </c>
      <c r="N2" s="13" t="s">
        <v>82</v>
      </c>
      <c r="O2" s="13" t="s">
        <v>83</v>
      </c>
      <c r="P2" s="13" t="s">
        <v>84</v>
      </c>
      <c r="Q2" s="13" t="s">
        <v>85</v>
      </c>
      <c r="R2" s="14" t="n">
        <v>3</v>
      </c>
      <c r="S2" s="14" t="n">
        <v>3</v>
      </c>
      <c r="T2" s="14" t="n">
        <v>3</v>
      </c>
      <c r="U2" s="14" t="n">
        <v>3</v>
      </c>
      <c r="V2" s="15" t="n">
        <f aca="false">IF(A2="","",R2+S2+T2+U2)</f>
        <v>12</v>
      </c>
      <c r="W2" s="14" t="s">
        <v>86</v>
      </c>
      <c r="X2" s="16" t="str">
        <f aca="false">IF(M2="","",IF(M2&gt;=15,"Critical",IF(M2&gt;=10,"High",IF(M2&gt;=5,"Medium","Low"))))</f>
        <v>High</v>
      </c>
      <c r="Y2" s="14" t="s">
        <v>79</v>
      </c>
      <c r="Z2" s="13" t="s">
        <v>87</v>
      </c>
    </row>
    <row r="3" customFormat="false" ht="75" hidden="false" customHeight="true" outlineLevel="0" collapsed="false">
      <c r="A3" s="13" t="s">
        <v>88</v>
      </c>
      <c r="B3" s="13" t="s">
        <v>89</v>
      </c>
      <c r="C3" s="13" t="s">
        <v>90</v>
      </c>
      <c r="D3" s="13" t="s">
        <v>74</v>
      </c>
      <c r="E3" s="14" t="s">
        <v>91</v>
      </c>
      <c r="F3" s="13" t="s">
        <v>92</v>
      </c>
      <c r="G3" s="13" t="s">
        <v>93</v>
      </c>
      <c r="H3" s="13" t="s">
        <v>94</v>
      </c>
      <c r="I3" s="14" t="s">
        <v>79</v>
      </c>
      <c r="J3" s="14" t="s">
        <v>95</v>
      </c>
      <c r="K3" s="13" t="s">
        <v>96</v>
      </c>
      <c r="L3" s="15" t="n">
        <f aca="false">IF(A3="","",IF(ISNUMBER(SEARCH("T1-",W3)),1,IF(V3&gt;=8,1,IF(OR(ISNUMBER(SEARCH("T2-f",W3)),V3&gt;=4),2,3))))</f>
        <v>1</v>
      </c>
      <c r="M3" s="14" t="n">
        <v>15</v>
      </c>
      <c r="N3" s="13" t="s">
        <v>97</v>
      </c>
      <c r="O3" s="13" t="s">
        <v>98</v>
      </c>
      <c r="P3" s="13" t="s">
        <v>99</v>
      </c>
      <c r="Q3" s="13" t="s">
        <v>100</v>
      </c>
      <c r="R3" s="14" t="n">
        <v>2</v>
      </c>
      <c r="S3" s="14" t="n">
        <v>2</v>
      </c>
      <c r="T3" s="14" t="n">
        <v>3</v>
      </c>
      <c r="U3" s="14" t="n">
        <v>3</v>
      </c>
      <c r="V3" s="15" t="n">
        <f aca="false">IF(A3="","",R3+S3+T3+U3)</f>
        <v>10</v>
      </c>
      <c r="W3" s="14" t="s">
        <v>101</v>
      </c>
      <c r="X3" s="16" t="str">
        <f aca="false">IF(M3="","",IF(M3&gt;=15,"Critical",IF(M3&gt;=10,"High",IF(M3&gt;=5,"Medium","Low"))))</f>
        <v>Critical</v>
      </c>
      <c r="Y3" s="14" t="s">
        <v>79</v>
      </c>
      <c r="Z3" s="13" t="s">
        <v>102</v>
      </c>
    </row>
    <row r="4" customFormat="false" ht="75" hidden="false" customHeight="true" outlineLevel="0" collapsed="false">
      <c r="A4" s="13" t="s">
        <v>103</v>
      </c>
      <c r="B4" s="13" t="s">
        <v>104</v>
      </c>
      <c r="C4" s="13" t="s">
        <v>105</v>
      </c>
      <c r="D4" s="13" t="s">
        <v>106</v>
      </c>
      <c r="E4" s="14" t="s">
        <v>91</v>
      </c>
      <c r="F4" s="13" t="s">
        <v>107</v>
      </c>
      <c r="G4" s="13" t="s">
        <v>108</v>
      </c>
      <c r="H4" s="13" t="s">
        <v>109</v>
      </c>
      <c r="I4" s="14" t="s">
        <v>79</v>
      </c>
      <c r="J4" s="14" t="s">
        <v>110</v>
      </c>
      <c r="K4" s="13" t="s">
        <v>111</v>
      </c>
      <c r="L4" s="15" t="n">
        <f aca="false">IF(A4="","",IF(ISNUMBER(SEARCH("T1-",W4)),1,IF(V4&gt;=8,1,IF(OR(ISNUMBER(SEARCH("T2-f",W4)),V4&gt;=4),2,3))))</f>
        <v>1</v>
      </c>
      <c r="M4" s="14" t="n">
        <v>12</v>
      </c>
      <c r="N4" s="13" t="s">
        <v>112</v>
      </c>
      <c r="O4" s="13" t="s">
        <v>98</v>
      </c>
      <c r="P4" s="13" t="s">
        <v>113</v>
      </c>
      <c r="Q4" s="13" t="s">
        <v>114</v>
      </c>
      <c r="R4" s="14" t="n">
        <v>2</v>
      </c>
      <c r="S4" s="14" t="n">
        <v>3</v>
      </c>
      <c r="T4" s="14" t="n">
        <v>2</v>
      </c>
      <c r="U4" s="14" t="n">
        <v>3</v>
      </c>
      <c r="V4" s="15" t="n">
        <f aca="false">IF(A4="","",R4+S4+T4+U4)</f>
        <v>10</v>
      </c>
      <c r="W4" s="14" t="s">
        <v>115</v>
      </c>
      <c r="X4" s="16" t="str">
        <f aca="false">IF(M4="","",IF(M4&gt;=15,"Critical",IF(M4&gt;=10,"High",IF(M4&gt;=5,"Medium","Low"))))</f>
        <v>High</v>
      </c>
      <c r="Y4" s="14" t="s">
        <v>79</v>
      </c>
      <c r="Z4" s="13" t="s">
        <v>116</v>
      </c>
    </row>
    <row r="5" customFormat="false" ht="75" hidden="false" customHeight="true" outlineLevel="0" collapsed="false">
      <c r="A5" s="13" t="s">
        <v>117</v>
      </c>
      <c r="B5" s="13" t="s">
        <v>118</v>
      </c>
      <c r="C5" s="13" t="s">
        <v>119</v>
      </c>
      <c r="D5" s="13" t="s">
        <v>106</v>
      </c>
      <c r="E5" s="14" t="s">
        <v>91</v>
      </c>
      <c r="F5" s="13" t="s">
        <v>120</v>
      </c>
      <c r="G5" s="13" t="s">
        <v>121</v>
      </c>
      <c r="H5" s="13" t="s">
        <v>122</v>
      </c>
      <c r="I5" s="14" t="s">
        <v>79</v>
      </c>
      <c r="J5" s="14" t="s">
        <v>123</v>
      </c>
      <c r="K5" s="13" t="s">
        <v>124</v>
      </c>
      <c r="L5" s="15" t="n">
        <f aca="false">IF(A5="","",IF(ISNUMBER(SEARCH("T1-",W5)),1,IF(V5&gt;=8,1,IF(OR(ISNUMBER(SEARCH("T2-f",W5)),V5&gt;=4),2,3))))</f>
        <v>1</v>
      </c>
      <c r="M5" s="14" t="n">
        <v>12</v>
      </c>
      <c r="N5" s="13" t="s">
        <v>125</v>
      </c>
      <c r="O5" s="13" t="s">
        <v>126</v>
      </c>
      <c r="P5" s="13" t="s">
        <v>113</v>
      </c>
      <c r="Q5" s="13" t="s">
        <v>127</v>
      </c>
      <c r="R5" s="14" t="n">
        <v>2</v>
      </c>
      <c r="S5" s="14" t="n">
        <v>2</v>
      </c>
      <c r="T5" s="14" t="n">
        <v>2</v>
      </c>
      <c r="U5" s="14" t="n">
        <v>2</v>
      </c>
      <c r="V5" s="15" t="n">
        <f aca="false">IF(A5="","",R5+S5+T5+U5)</f>
        <v>8</v>
      </c>
      <c r="W5" s="14" t="s">
        <v>128</v>
      </c>
      <c r="X5" s="16" t="str">
        <f aca="false">IF(M5="","",IF(M5&gt;=15,"Critical",IF(M5&gt;=10,"High",IF(M5&gt;=5,"Medium","Low"))))</f>
        <v>High</v>
      </c>
      <c r="Y5" s="14" t="s">
        <v>129</v>
      </c>
      <c r="Z5" s="13" t="s">
        <v>130</v>
      </c>
    </row>
    <row r="6" customFormat="false" ht="75" hidden="false" customHeight="true" outlineLevel="0" collapsed="false">
      <c r="A6" s="13" t="s">
        <v>131</v>
      </c>
      <c r="B6" s="13" t="s">
        <v>132</v>
      </c>
      <c r="C6" s="13" t="s">
        <v>133</v>
      </c>
      <c r="D6" s="13" t="s">
        <v>134</v>
      </c>
      <c r="E6" s="14" t="s">
        <v>75</v>
      </c>
      <c r="F6" s="13" t="s">
        <v>135</v>
      </c>
      <c r="G6" s="13" t="s">
        <v>136</v>
      </c>
      <c r="H6" s="13" t="s">
        <v>137</v>
      </c>
      <c r="I6" s="14" t="s">
        <v>79</v>
      </c>
      <c r="J6" s="14" t="s">
        <v>138</v>
      </c>
      <c r="K6" s="13" t="s">
        <v>139</v>
      </c>
      <c r="L6" s="15" t="n">
        <f aca="false">IF(A6="","",IF(ISNUMBER(SEARCH("T1-",W6)),1,IF(V6&gt;=8,1,IF(OR(ISNUMBER(SEARCH("T2-f",W6)),V6&gt;=4),2,3))))</f>
        <v>1</v>
      </c>
      <c r="M6" s="14" t="n">
        <v>8</v>
      </c>
      <c r="N6" s="13" t="s">
        <v>140</v>
      </c>
      <c r="O6" s="13" t="s">
        <v>98</v>
      </c>
      <c r="P6" s="13" t="s">
        <v>141</v>
      </c>
      <c r="Q6" s="13" t="s">
        <v>142</v>
      </c>
      <c r="R6" s="14" t="n">
        <v>3</v>
      </c>
      <c r="S6" s="14" t="n">
        <v>2</v>
      </c>
      <c r="T6" s="14" t="n">
        <v>1</v>
      </c>
      <c r="U6" s="14" t="n">
        <v>2</v>
      </c>
      <c r="V6" s="15" t="n">
        <f aca="false">IF(A6="","",R6+S6+T6+U6)</f>
        <v>8</v>
      </c>
      <c r="W6" s="14" t="s">
        <v>143</v>
      </c>
      <c r="X6" s="16" t="str">
        <f aca="false">IF(M6="","",IF(M6&gt;=15,"Critical",IF(M6&gt;=10,"High",IF(M6&gt;=5,"Medium","Low"))))</f>
        <v>Medium</v>
      </c>
      <c r="Y6" s="14" t="s">
        <v>79</v>
      </c>
      <c r="Z6" s="13" t="s">
        <v>144</v>
      </c>
    </row>
    <row r="7" customFormat="false" ht="75" hidden="false" customHeight="true" outlineLevel="0" collapsed="false">
      <c r="A7" s="13" t="s">
        <v>145</v>
      </c>
      <c r="B7" s="13" t="s">
        <v>146</v>
      </c>
      <c r="C7" s="13" t="s">
        <v>147</v>
      </c>
      <c r="D7" s="13" t="s">
        <v>74</v>
      </c>
      <c r="E7" s="14" t="s">
        <v>91</v>
      </c>
      <c r="F7" s="13" t="s">
        <v>148</v>
      </c>
      <c r="G7" s="13" t="s">
        <v>149</v>
      </c>
      <c r="H7" s="13" t="s">
        <v>150</v>
      </c>
      <c r="I7" s="14" t="s">
        <v>79</v>
      </c>
      <c r="J7" s="14" t="s">
        <v>151</v>
      </c>
      <c r="K7" s="13" t="s">
        <v>152</v>
      </c>
      <c r="L7" s="15" t="n">
        <f aca="false">IF(A7="","",IF(ISNUMBER(SEARCH("T1-",W7)),1,IF(V7&gt;=8,1,IF(OR(ISNUMBER(SEARCH("T2-f",W7)),V7&gt;=4),2,3))))</f>
        <v>1</v>
      </c>
      <c r="M7" s="14" t="n">
        <v>10</v>
      </c>
      <c r="N7" s="13" t="s">
        <v>153</v>
      </c>
      <c r="O7" s="13" t="s">
        <v>98</v>
      </c>
      <c r="P7" s="13" t="s">
        <v>154</v>
      </c>
      <c r="Q7" s="13" t="s">
        <v>155</v>
      </c>
      <c r="R7" s="14" t="n">
        <v>2</v>
      </c>
      <c r="S7" s="14" t="n">
        <v>3</v>
      </c>
      <c r="T7" s="14" t="n">
        <v>2</v>
      </c>
      <c r="U7" s="14" t="n">
        <v>3</v>
      </c>
      <c r="V7" s="15" t="n">
        <f aca="false">IF(A7="","",R7+S7+T7+U7)</f>
        <v>10</v>
      </c>
      <c r="W7" s="14" t="s">
        <v>156</v>
      </c>
      <c r="X7" s="16" t="str">
        <f aca="false">IF(M7="","",IF(M7&gt;=15,"Critical",IF(M7&gt;=10,"High",IF(M7&gt;=5,"Medium","Low"))))</f>
        <v>High</v>
      </c>
      <c r="Y7" s="14" t="s">
        <v>79</v>
      </c>
      <c r="Z7" s="13" t="s">
        <v>157</v>
      </c>
    </row>
    <row r="8" customFormat="false" ht="75" hidden="false" customHeight="true" outlineLevel="0" collapsed="false">
      <c r="A8" s="13" t="s">
        <v>158</v>
      </c>
      <c r="B8" s="13" t="s">
        <v>159</v>
      </c>
      <c r="C8" s="13" t="s">
        <v>160</v>
      </c>
      <c r="D8" s="13" t="s">
        <v>74</v>
      </c>
      <c r="E8" s="14" t="s">
        <v>91</v>
      </c>
      <c r="F8" s="13" t="s">
        <v>161</v>
      </c>
      <c r="G8" s="13" t="s">
        <v>162</v>
      </c>
      <c r="H8" s="13" t="s">
        <v>163</v>
      </c>
      <c r="I8" s="14" t="s">
        <v>79</v>
      </c>
      <c r="J8" s="14" t="s">
        <v>164</v>
      </c>
      <c r="K8" s="13" t="s">
        <v>165</v>
      </c>
      <c r="L8" s="15" t="n">
        <f aca="false">IF(A8="","",IF(ISNUMBER(SEARCH("T1-",W8)),1,IF(V8&gt;=8,1,IF(OR(ISNUMBER(SEARCH("T2-f",W8)),V8&gt;=4),2,3))))</f>
        <v>1</v>
      </c>
      <c r="M8" s="14" t="n">
        <v>12</v>
      </c>
      <c r="N8" s="13" t="s">
        <v>166</v>
      </c>
      <c r="O8" s="13" t="s">
        <v>98</v>
      </c>
      <c r="P8" s="13" t="s">
        <v>167</v>
      </c>
      <c r="Q8" s="13" t="s">
        <v>168</v>
      </c>
      <c r="R8" s="14" t="n">
        <v>2</v>
      </c>
      <c r="S8" s="14" t="n">
        <v>1</v>
      </c>
      <c r="T8" s="14" t="n">
        <v>3</v>
      </c>
      <c r="U8" s="14" t="n">
        <v>2</v>
      </c>
      <c r="V8" s="15" t="n">
        <f aca="false">IF(A8="","",R8+S8+T8+U8)</f>
        <v>8</v>
      </c>
      <c r="W8" s="14" t="s">
        <v>169</v>
      </c>
      <c r="X8" s="16" t="str">
        <f aca="false">IF(M8="","",IF(M8&gt;=15,"Critical",IF(M8&gt;=10,"High",IF(M8&gt;=5,"Medium","Low"))))</f>
        <v>High</v>
      </c>
      <c r="Y8" s="14" t="s">
        <v>79</v>
      </c>
      <c r="Z8" s="13" t="s">
        <v>170</v>
      </c>
    </row>
    <row r="9" customFormat="false" ht="75" hidden="false" customHeight="true" outlineLevel="0" collapsed="false">
      <c r="A9" s="13" t="s">
        <v>171</v>
      </c>
      <c r="B9" s="13" t="s">
        <v>172</v>
      </c>
      <c r="C9" s="13" t="s">
        <v>173</v>
      </c>
      <c r="D9" s="13" t="s">
        <v>174</v>
      </c>
      <c r="E9" s="14" t="s">
        <v>91</v>
      </c>
      <c r="F9" s="13" t="s">
        <v>175</v>
      </c>
      <c r="G9" s="13" t="s">
        <v>176</v>
      </c>
      <c r="H9" s="13" t="s">
        <v>177</v>
      </c>
      <c r="I9" s="14" t="s">
        <v>79</v>
      </c>
      <c r="J9" s="14" t="s">
        <v>178</v>
      </c>
      <c r="K9" s="13" t="s">
        <v>179</v>
      </c>
      <c r="L9" s="15" t="n">
        <f aca="false">IF(A9="","",IF(ISNUMBER(SEARCH("T1-",W9)),1,IF(V9&gt;=8,1,IF(OR(ISNUMBER(SEARCH("T2-f",W9)),V9&gt;=4),2,3))))</f>
        <v>2</v>
      </c>
      <c r="M9" s="14" t="n">
        <v>12</v>
      </c>
      <c r="N9" s="13" t="s">
        <v>180</v>
      </c>
      <c r="O9" s="13" t="s">
        <v>181</v>
      </c>
      <c r="P9" s="13" t="s">
        <v>182</v>
      </c>
      <c r="Q9" s="13" t="s">
        <v>142</v>
      </c>
      <c r="R9" s="14" t="n">
        <v>2</v>
      </c>
      <c r="S9" s="14" t="n">
        <v>1</v>
      </c>
      <c r="T9" s="14" t="n">
        <v>1</v>
      </c>
      <c r="U9" s="14" t="n">
        <v>2</v>
      </c>
      <c r="V9" s="15" t="n">
        <f aca="false">IF(A9="","",R9+S9+T9+U9)</f>
        <v>6</v>
      </c>
      <c r="W9" s="14" t="s">
        <v>183</v>
      </c>
      <c r="X9" s="16" t="str">
        <f aca="false">IF(M9="","",IF(M9&gt;=15,"Critical",IF(M9&gt;=10,"High",IF(M9&gt;=5,"Medium","Low"))))</f>
        <v>High</v>
      </c>
      <c r="Y9" s="14" t="s">
        <v>79</v>
      </c>
      <c r="Z9" s="13" t="s">
        <v>184</v>
      </c>
    </row>
    <row r="10" customFormat="false" ht="75" hidden="false" customHeight="true" outlineLevel="0" collapsed="false">
      <c r="A10" s="13" t="s">
        <v>185</v>
      </c>
      <c r="B10" s="13" t="s">
        <v>186</v>
      </c>
      <c r="C10" s="13" t="s">
        <v>187</v>
      </c>
      <c r="D10" s="13" t="s">
        <v>174</v>
      </c>
      <c r="E10" s="14" t="s">
        <v>91</v>
      </c>
      <c r="F10" s="13" t="s">
        <v>188</v>
      </c>
      <c r="G10" s="13" t="s">
        <v>189</v>
      </c>
      <c r="H10" s="13" t="s">
        <v>190</v>
      </c>
      <c r="I10" s="14" t="s">
        <v>79</v>
      </c>
      <c r="J10" s="14" t="s">
        <v>191</v>
      </c>
      <c r="K10" s="13" t="s">
        <v>96</v>
      </c>
      <c r="L10" s="15" t="n">
        <f aca="false">IF(A10="","",IF(ISNUMBER(SEARCH("T1-",W10)),1,IF(V10&gt;=8,1,IF(OR(ISNUMBER(SEARCH("T2-f",W10)),V10&gt;=4),2,3))))</f>
        <v>2</v>
      </c>
      <c r="M10" s="14" t="n">
        <v>9</v>
      </c>
      <c r="N10" s="13" t="s">
        <v>192</v>
      </c>
      <c r="O10" s="13" t="s">
        <v>181</v>
      </c>
      <c r="P10" s="13" t="s">
        <v>113</v>
      </c>
      <c r="Q10" s="13" t="s">
        <v>193</v>
      </c>
      <c r="R10" s="14" t="n">
        <v>2</v>
      </c>
      <c r="S10" s="14" t="n">
        <v>2</v>
      </c>
      <c r="T10" s="14" t="n">
        <v>1</v>
      </c>
      <c r="U10" s="14" t="n">
        <v>1</v>
      </c>
      <c r="V10" s="15" t="n">
        <f aca="false">IF(A10="","",R10+S10+T10+U10)</f>
        <v>6</v>
      </c>
      <c r="W10" s="14" t="s">
        <v>183</v>
      </c>
      <c r="X10" s="16" t="str">
        <f aca="false">IF(M10="","",IF(M10&gt;=15,"Critical",IF(M10&gt;=10,"High",IF(M10&gt;=5,"Medium","Low"))))</f>
        <v>Medium</v>
      </c>
      <c r="Y10" s="14" t="s">
        <v>79</v>
      </c>
      <c r="Z10" s="13" t="s">
        <v>194</v>
      </c>
    </row>
    <row r="11" customFormat="false" ht="75" hidden="false" customHeight="true" outlineLevel="0" collapsed="false">
      <c r="A11" s="13" t="s">
        <v>195</v>
      </c>
      <c r="B11" s="13" t="s">
        <v>196</v>
      </c>
      <c r="C11" s="13" t="s">
        <v>197</v>
      </c>
      <c r="D11" s="13" t="s">
        <v>198</v>
      </c>
      <c r="E11" s="14" t="s">
        <v>91</v>
      </c>
      <c r="F11" s="13" t="s">
        <v>199</v>
      </c>
      <c r="G11" s="13" t="s">
        <v>200</v>
      </c>
      <c r="H11" s="13" t="s">
        <v>201</v>
      </c>
      <c r="I11" s="14" t="s">
        <v>79</v>
      </c>
      <c r="J11" s="14" t="s">
        <v>202</v>
      </c>
      <c r="K11" s="13" t="s">
        <v>203</v>
      </c>
      <c r="L11" s="15" t="n">
        <f aca="false">IF(A11="","",IF(ISNUMBER(SEARCH("T1-",W11)),1,IF(V11&gt;=8,1,IF(OR(ISNUMBER(SEARCH("T2-f",W11)),V11&gt;=4),2,3))))</f>
        <v>2</v>
      </c>
      <c r="M11" s="14" t="n">
        <v>6</v>
      </c>
      <c r="N11" s="13" t="s">
        <v>192</v>
      </c>
      <c r="O11" s="13" t="s">
        <v>181</v>
      </c>
      <c r="P11" s="13" t="s">
        <v>182</v>
      </c>
      <c r="Q11" s="13" t="s">
        <v>204</v>
      </c>
      <c r="R11" s="14" t="n">
        <v>2</v>
      </c>
      <c r="S11" s="14" t="n">
        <v>1</v>
      </c>
      <c r="T11" s="14" t="n">
        <v>1</v>
      </c>
      <c r="U11" s="14" t="n">
        <v>2</v>
      </c>
      <c r="V11" s="15" t="n">
        <f aca="false">IF(A11="","",R11+S11+T11+U11)</f>
        <v>6</v>
      </c>
      <c r="W11" s="14" t="s">
        <v>183</v>
      </c>
      <c r="X11" s="16" t="str">
        <f aca="false">IF(M11="","",IF(M11&gt;=15,"Critical",IF(M11&gt;=10,"High",IF(M11&gt;=5,"Medium","Low"))))</f>
        <v>Medium</v>
      </c>
      <c r="Y11" s="14" t="s">
        <v>79</v>
      </c>
      <c r="Z11" s="13" t="s">
        <v>205</v>
      </c>
    </row>
    <row r="12" customFormat="false" ht="75" hidden="false" customHeight="true" outlineLevel="0" collapsed="false">
      <c r="A12" s="13" t="s">
        <v>206</v>
      </c>
      <c r="B12" s="13" t="s">
        <v>43</v>
      </c>
      <c r="C12" s="13" t="s">
        <v>207</v>
      </c>
      <c r="D12" s="13" t="s">
        <v>74</v>
      </c>
      <c r="E12" s="14" t="s">
        <v>91</v>
      </c>
      <c r="F12" s="13" t="s">
        <v>208</v>
      </c>
      <c r="G12" s="13" t="s">
        <v>209</v>
      </c>
      <c r="H12" s="13" t="s">
        <v>122</v>
      </c>
      <c r="I12" s="14" t="s">
        <v>79</v>
      </c>
      <c r="J12" s="14" t="s">
        <v>210</v>
      </c>
      <c r="K12" s="13" t="s">
        <v>211</v>
      </c>
      <c r="L12" s="15" t="n">
        <f aca="false">IF(A12="","",IF(ISNUMBER(SEARCH("T1-",W12)),1,IF(V12&gt;=8,1,IF(OR(ISNUMBER(SEARCH("T2-f",W12)),V12&gt;=4),2,3))))</f>
        <v>2</v>
      </c>
      <c r="M12" s="14" t="n">
        <v>9</v>
      </c>
      <c r="N12" s="13" t="s">
        <v>212</v>
      </c>
      <c r="O12" s="13" t="s">
        <v>181</v>
      </c>
      <c r="P12" s="13" t="s">
        <v>182</v>
      </c>
      <c r="Q12" s="13" t="s">
        <v>142</v>
      </c>
      <c r="R12" s="14" t="n">
        <v>2</v>
      </c>
      <c r="S12" s="14" t="n">
        <v>1</v>
      </c>
      <c r="T12" s="14" t="n">
        <v>0</v>
      </c>
      <c r="U12" s="14" t="n">
        <v>1</v>
      </c>
      <c r="V12" s="15" t="n">
        <f aca="false">IF(A12="","",R12+S12+T12+U12)</f>
        <v>4</v>
      </c>
      <c r="W12" s="14" t="s">
        <v>183</v>
      </c>
      <c r="X12" s="16" t="str">
        <f aca="false">IF(M12="","",IF(M12&gt;=15,"Critical",IF(M12&gt;=10,"High",IF(M12&gt;=5,"Medium","Low"))))</f>
        <v>Medium</v>
      </c>
      <c r="Y12" s="14" t="s">
        <v>129</v>
      </c>
      <c r="Z12" s="13" t="s">
        <v>213</v>
      </c>
    </row>
    <row r="13" customFormat="false" ht="75" hidden="false" customHeight="true" outlineLevel="0" collapsed="false">
      <c r="A13" s="13" t="s">
        <v>214</v>
      </c>
      <c r="B13" s="13" t="s">
        <v>215</v>
      </c>
      <c r="C13" s="13" t="s">
        <v>216</v>
      </c>
      <c r="D13" s="13" t="s">
        <v>174</v>
      </c>
      <c r="E13" s="14" t="s">
        <v>91</v>
      </c>
      <c r="F13" s="13" t="s">
        <v>217</v>
      </c>
      <c r="G13" s="13" t="s">
        <v>218</v>
      </c>
      <c r="H13" s="13" t="s">
        <v>122</v>
      </c>
      <c r="I13" s="14" t="s">
        <v>219</v>
      </c>
      <c r="J13" s="14" t="s">
        <v>220</v>
      </c>
      <c r="K13" s="13" t="s">
        <v>221</v>
      </c>
      <c r="L13" s="15" t="n">
        <f aca="false">IF(A13="","",IF(ISNUMBER(SEARCH("T1-",W13)),1,IF(V13&gt;=8,1,IF(OR(ISNUMBER(SEARCH("T2-f",W13)),V13&gt;=4),2,3))))</f>
        <v>2</v>
      </c>
      <c r="M13" s="14" t="n">
        <v>16</v>
      </c>
      <c r="N13" s="13" t="s">
        <v>222</v>
      </c>
      <c r="O13" s="13" t="s">
        <v>223</v>
      </c>
      <c r="P13" s="13" t="s">
        <v>182</v>
      </c>
      <c r="Q13" s="13" t="s">
        <v>224</v>
      </c>
      <c r="R13" s="14" t="n">
        <v>2</v>
      </c>
      <c r="S13" s="14" t="n">
        <v>0</v>
      </c>
      <c r="T13" s="14" t="n">
        <v>1</v>
      </c>
      <c r="U13" s="14" t="n">
        <v>0</v>
      </c>
      <c r="V13" s="15" t="n">
        <f aca="false">IF(A13="","",R13+S13+T13+U13)</f>
        <v>3</v>
      </c>
      <c r="W13" s="14" t="s">
        <v>225</v>
      </c>
      <c r="X13" s="16" t="str">
        <f aca="false">IF(M13="","",IF(M13&gt;=15,"Critical",IF(M13&gt;=10,"High",IF(M13&gt;=5,"Medium","Low"))))</f>
        <v>Critical</v>
      </c>
      <c r="Y13" s="14" t="s">
        <v>226</v>
      </c>
      <c r="Z13" s="13" t="s">
        <v>227</v>
      </c>
    </row>
    <row r="14" customFormat="false" ht="75" hidden="false" customHeight="true" outlineLevel="0" collapsed="false">
      <c r="A14" s="13" t="s">
        <v>228</v>
      </c>
      <c r="B14" s="13" t="s">
        <v>229</v>
      </c>
      <c r="C14" s="13" t="s">
        <v>230</v>
      </c>
      <c r="D14" s="13" t="s">
        <v>198</v>
      </c>
      <c r="E14" s="14" t="s">
        <v>91</v>
      </c>
      <c r="F14" s="13" t="s">
        <v>231</v>
      </c>
      <c r="G14" s="13" t="s">
        <v>232</v>
      </c>
      <c r="H14" s="13" t="s">
        <v>122</v>
      </c>
      <c r="I14" s="14" t="s">
        <v>219</v>
      </c>
      <c r="J14" s="14" t="s">
        <v>233</v>
      </c>
      <c r="K14" s="13" t="s">
        <v>234</v>
      </c>
      <c r="L14" s="15" t="n">
        <f aca="false">IF(A14="","",IF(ISNUMBER(SEARCH("T1-",W14)),1,IF(V14&gt;=8,1,IF(OR(ISNUMBER(SEARCH("T2-f",W14)),V14&gt;=4),2,3))))</f>
        <v>2</v>
      </c>
      <c r="M14" s="14" t="n">
        <v>12</v>
      </c>
      <c r="N14" s="13" t="s">
        <v>235</v>
      </c>
      <c r="O14" s="13" t="s">
        <v>181</v>
      </c>
      <c r="P14" s="13" t="s">
        <v>182</v>
      </c>
      <c r="Q14" s="13" t="s">
        <v>142</v>
      </c>
      <c r="R14" s="14" t="n">
        <v>2</v>
      </c>
      <c r="S14" s="14" t="n">
        <v>0</v>
      </c>
      <c r="T14" s="14" t="n">
        <v>1</v>
      </c>
      <c r="U14" s="14" t="n">
        <v>0</v>
      </c>
      <c r="V14" s="15" t="n">
        <f aca="false">IF(A14="","",R14+S14+T14+U14)</f>
        <v>3</v>
      </c>
      <c r="W14" s="14" t="s">
        <v>225</v>
      </c>
      <c r="X14" s="16" t="str">
        <f aca="false">IF(M14="","",IF(M14&gt;=15,"Critical",IF(M14&gt;=10,"High",IF(M14&gt;=5,"Medium","Low"))))</f>
        <v>High</v>
      </c>
      <c r="Y14" s="14" t="s">
        <v>129</v>
      </c>
      <c r="Z14" s="13" t="s">
        <v>236</v>
      </c>
    </row>
    <row r="15" customFormat="false" ht="75" hidden="false" customHeight="true" outlineLevel="0" collapsed="false">
      <c r="A15" s="13" t="s">
        <v>237</v>
      </c>
      <c r="B15" s="13" t="s">
        <v>238</v>
      </c>
      <c r="C15" s="13" t="s">
        <v>239</v>
      </c>
      <c r="D15" s="13" t="s">
        <v>74</v>
      </c>
      <c r="E15" s="14" t="s">
        <v>240</v>
      </c>
      <c r="F15" s="13" t="s">
        <v>241</v>
      </c>
      <c r="G15" s="13" t="s">
        <v>242</v>
      </c>
      <c r="H15" s="13" t="s">
        <v>122</v>
      </c>
      <c r="I15" s="14" t="s">
        <v>79</v>
      </c>
      <c r="J15" s="14" t="s">
        <v>243</v>
      </c>
      <c r="K15" s="13" t="s">
        <v>244</v>
      </c>
      <c r="L15" s="15" t="n">
        <f aca="false">IF(A15="","",IF(ISNUMBER(SEARCH("T1-",W15)),1,IF(V15&gt;=8,1,IF(OR(ISNUMBER(SEARCH("T2-f",W15)),V15&gt;=4),2,3))))</f>
        <v>3</v>
      </c>
      <c r="M15" s="14" t="n">
        <v>4</v>
      </c>
      <c r="N15" s="13" t="s">
        <v>245</v>
      </c>
      <c r="O15" s="13" t="s">
        <v>246</v>
      </c>
      <c r="P15" s="13" t="s">
        <v>183</v>
      </c>
      <c r="Q15" s="13" t="s">
        <v>204</v>
      </c>
      <c r="R15" s="14" t="n">
        <v>1</v>
      </c>
      <c r="S15" s="14" t="n">
        <v>1</v>
      </c>
      <c r="T15" s="14" t="n">
        <v>0</v>
      </c>
      <c r="U15" s="14" t="n">
        <v>1</v>
      </c>
      <c r="V15" s="15" t="n">
        <f aca="false">IF(A15="","",R15+S15+T15+U15)</f>
        <v>3</v>
      </c>
      <c r="W15" s="14" t="s">
        <v>183</v>
      </c>
      <c r="X15" s="16" t="str">
        <f aca="false">IF(M15="","",IF(M15&gt;=15,"Critical",IF(M15&gt;=10,"High",IF(M15&gt;=5,"Medium","Low"))))</f>
        <v>Low</v>
      </c>
      <c r="Y15" s="14" t="s">
        <v>79</v>
      </c>
      <c r="Z15" s="13" t="s">
        <v>247</v>
      </c>
    </row>
    <row r="16" customFormat="false" ht="75" hidden="false" customHeight="true" outlineLevel="0" collapsed="false">
      <c r="A16" s="13" t="s">
        <v>248</v>
      </c>
      <c r="B16" s="13" t="s">
        <v>249</v>
      </c>
      <c r="C16" s="13" t="s">
        <v>250</v>
      </c>
      <c r="D16" s="13" t="s">
        <v>174</v>
      </c>
      <c r="E16" s="14" t="s">
        <v>91</v>
      </c>
      <c r="F16" s="13" t="s">
        <v>251</v>
      </c>
      <c r="G16" s="13" t="s">
        <v>252</v>
      </c>
      <c r="H16" s="13" t="s">
        <v>122</v>
      </c>
      <c r="I16" s="14" t="s">
        <v>79</v>
      </c>
      <c r="J16" s="14" t="s">
        <v>253</v>
      </c>
      <c r="K16" s="13" t="s">
        <v>254</v>
      </c>
      <c r="L16" s="15" t="n">
        <f aca="false">IF(A16="","",IF(ISNUMBER(SEARCH("T1-",W16)),1,IF(V16&gt;=8,1,IF(OR(ISNUMBER(SEARCH("T2-f",W16)),V16&gt;=4),2,3))))</f>
        <v>3</v>
      </c>
      <c r="M16" s="14" t="n">
        <v>4</v>
      </c>
      <c r="N16" s="13" t="s">
        <v>255</v>
      </c>
      <c r="O16" s="13" t="s">
        <v>246</v>
      </c>
      <c r="P16" s="13" t="s">
        <v>183</v>
      </c>
      <c r="Q16" s="13" t="s">
        <v>204</v>
      </c>
      <c r="R16" s="14" t="n">
        <v>2</v>
      </c>
      <c r="S16" s="14" t="n">
        <v>0</v>
      </c>
      <c r="T16" s="14" t="n">
        <v>1</v>
      </c>
      <c r="U16" s="14" t="n">
        <v>0</v>
      </c>
      <c r="V16" s="15" t="n">
        <f aca="false">IF(A16="","",R16+S16+T16+U16)</f>
        <v>3</v>
      </c>
      <c r="W16" s="14" t="s">
        <v>183</v>
      </c>
      <c r="X16" s="16" t="str">
        <f aca="false">IF(M16="","",IF(M16&gt;=15,"Critical",IF(M16&gt;=10,"High",IF(M16&gt;=5,"Medium","Low"))))</f>
        <v>Low</v>
      </c>
      <c r="Y16" s="14" t="s">
        <v>79</v>
      </c>
      <c r="Z16" s="13" t="s">
        <v>256</v>
      </c>
    </row>
    <row r="17" customFormat="false" ht="75" hidden="false" customHeight="true" outlineLevel="0" collapsed="false">
      <c r="A17" s="13" t="s">
        <v>257</v>
      </c>
      <c r="B17" s="13" t="s">
        <v>258</v>
      </c>
      <c r="C17" s="13" t="s">
        <v>259</v>
      </c>
      <c r="D17" s="13" t="s">
        <v>74</v>
      </c>
      <c r="E17" s="14" t="s">
        <v>240</v>
      </c>
      <c r="F17" s="13" t="s">
        <v>260</v>
      </c>
      <c r="G17" s="13" t="s">
        <v>261</v>
      </c>
      <c r="H17" s="13" t="s">
        <v>262</v>
      </c>
      <c r="I17" s="14" t="s">
        <v>79</v>
      </c>
      <c r="J17" s="14" t="s">
        <v>123</v>
      </c>
      <c r="K17" s="13" t="s">
        <v>234</v>
      </c>
      <c r="L17" s="15" t="n">
        <f aca="false">IF(A17="","",IF(ISNUMBER(SEARCH("T1-",W17)),1,IF(V17&gt;=8,1,IF(OR(ISNUMBER(SEARCH("T2-f",W17)),V17&gt;=4),2,3))))</f>
        <v>3</v>
      </c>
      <c r="M17" s="14" t="n">
        <v>4</v>
      </c>
      <c r="N17" s="13" t="s">
        <v>263</v>
      </c>
      <c r="O17" s="13" t="s">
        <v>246</v>
      </c>
      <c r="P17" s="13" t="s">
        <v>183</v>
      </c>
      <c r="Q17" s="13" t="s">
        <v>204</v>
      </c>
      <c r="R17" s="14" t="n">
        <v>1</v>
      </c>
      <c r="S17" s="14" t="n">
        <v>0</v>
      </c>
      <c r="T17" s="14" t="n">
        <v>0</v>
      </c>
      <c r="U17" s="14" t="n">
        <v>0</v>
      </c>
      <c r="V17" s="15" t="n">
        <f aca="false">IF(A17="","",R17+S17+T17+U17)</f>
        <v>1</v>
      </c>
      <c r="W17" s="14" t="s">
        <v>183</v>
      </c>
      <c r="X17" s="16" t="str">
        <f aca="false">IF(M17="","",IF(M17&gt;=15,"Critical",IF(M17&gt;=10,"High",IF(M17&gt;=5,"Medium","Low"))))</f>
        <v>Low</v>
      </c>
      <c r="Y17" s="14" t="s">
        <v>129</v>
      </c>
      <c r="Z17" s="13" t="s">
        <v>264</v>
      </c>
    </row>
    <row r="18" customFormat="false" ht="75" hidden="false" customHeight="true" outlineLevel="0" collapsed="false">
      <c r="A18" s="13" t="s">
        <v>265</v>
      </c>
      <c r="B18" s="13" t="s">
        <v>266</v>
      </c>
      <c r="C18" s="13" t="s">
        <v>267</v>
      </c>
      <c r="D18" s="13" t="s">
        <v>174</v>
      </c>
      <c r="E18" s="14" t="s">
        <v>268</v>
      </c>
      <c r="F18" s="13" t="s">
        <v>269</v>
      </c>
      <c r="G18" s="13" t="s">
        <v>270</v>
      </c>
      <c r="H18" s="13" t="s">
        <v>122</v>
      </c>
      <c r="I18" s="14" t="s">
        <v>271</v>
      </c>
      <c r="J18" s="14" t="s">
        <v>272</v>
      </c>
      <c r="K18" s="13" t="s">
        <v>273</v>
      </c>
      <c r="L18" s="15" t="n">
        <f aca="false">IF(A18="","",IF(ISNUMBER(SEARCH("T1-",W18)),1,IF(V18&gt;=8,1,IF(OR(ISNUMBER(SEARCH("T2-f",W18)),V18&gt;=4),2,3))))</f>
        <v>3</v>
      </c>
      <c r="M18" s="14" t="n">
        <v>4</v>
      </c>
      <c r="N18" s="13" t="s">
        <v>274</v>
      </c>
      <c r="O18" s="13" t="s">
        <v>275</v>
      </c>
      <c r="P18" s="13" t="s">
        <v>276</v>
      </c>
      <c r="Q18" s="13" t="s">
        <v>277</v>
      </c>
      <c r="R18" s="14" t="n">
        <v>0</v>
      </c>
      <c r="S18" s="14" t="n">
        <v>1</v>
      </c>
      <c r="T18" s="14" t="n">
        <v>0</v>
      </c>
      <c r="U18" s="14" t="n">
        <v>0</v>
      </c>
      <c r="V18" s="15" t="n">
        <f aca="false">IF(A18="","",R18+S18+T18+U18)</f>
        <v>1</v>
      </c>
      <c r="W18" s="14" t="s">
        <v>183</v>
      </c>
      <c r="X18" s="16" t="str">
        <f aca="false">IF(M18="","",IF(M18&gt;=15,"Critical",IF(M18&gt;=10,"High",IF(M18&gt;=5,"Medium","Low"))))</f>
        <v>Low</v>
      </c>
      <c r="Y18" s="14" t="s">
        <v>271</v>
      </c>
      <c r="Z18" s="13" t="s">
        <v>278</v>
      </c>
    </row>
  </sheetData>
  <autoFilter ref="A1:Z18"/>
  <conditionalFormatting sqref="X2:X18">
    <cfRule type="cellIs" priority="2" operator="equal" aboveAverage="0" equalAverage="0" bottom="0" percent="0" rank="0" text="" dxfId="10">
      <formula>"Critical"</formula>
    </cfRule>
    <cfRule type="cellIs" priority="3" operator="equal" aboveAverage="0" equalAverage="0" bottom="0" percent="0" rank="0" text="" dxfId="11">
      <formula>"High"</formula>
    </cfRule>
    <cfRule type="cellIs" priority="4" operator="equal" aboveAverage="0" equalAverage="0" bottom="0" percent="0" rank="0" text="" dxfId="12">
      <formula>"Medium"</formula>
    </cfRule>
    <cfRule type="cellIs" priority="5" operator="equal" aboveAverage="0" equalAverage="0" bottom="0" percent="0" rank="0" text="" dxfId="13">
      <formula>"Low"</formula>
    </cfRule>
  </conditionalFormatting>
  <conditionalFormatting sqref="L2:L18">
    <cfRule type="cellIs" priority="6" operator="equal" aboveAverage="0" equalAverage="0" bottom="0" percent="0" rank="0" text="" dxfId="11">
      <formula>1</formula>
    </cfRule>
    <cfRule type="cellIs" priority="7" operator="equal" aboveAverage="0" equalAverage="0" bottom="0" percent="0" rank="0" text="" dxfId="12">
      <formula>2</formula>
    </cfRule>
    <cfRule type="cellIs" priority="8" operator="equal" aboveAverage="0" equalAverage="0" bottom="0" percent="0" rank="0" text="" dxfId="13">
      <formula>3</formula>
    </cfRule>
  </conditionalFormatting>
  <conditionalFormatting sqref="J2:J18">
    <cfRule type="expression" priority="9" aboveAverage="0" equalAverage="0" bottom="0" percent="0" rank="0" text="" dxfId="13">
      <formula>LEFT(J2,1)="Y"</formula>
    </cfRule>
    <cfRule type="expression" priority="10" aboveAverage="0" equalAverage="0" bottom="0" percent="0" rank="0" text="" dxfId="11">
      <formula>OR(LEFT(J2,1)="N",LEFT(J2,7)="Pending")</formula>
    </cfRule>
  </conditionalFormatting>
  <dataValidations count="3">
    <dataValidation allowBlank="true" error="Pick a value from the dropdown." errorStyle="stop" errorTitle="Use a listed value" operator="between" showDropDown="false" showErrorMessage="true" showInputMessage="false" sqref="E2:E18" type="list">
      <formula1>"Public,Internal,Confidential,Restricted"</formula1>
      <formula2>0</formula2>
    </dataValidation>
    <dataValidation allowBlank="true" error="Enter a whole number from 0 to 3." errorStyle="stop" errorTitle="Out of range" operator="between" showDropDown="false" showErrorMessage="true" showInputMessage="false" sqref="R2:U18" type="whole">
      <formula1>0</formula1>
      <formula2>3</formula2>
    </dataValidation>
    <dataValidation allowBlank="true" error="Enter a whole number from 1 to 25." errorStyle="stop" errorTitle="Out of range" operator="between" showDropDown="false" showErrorMessage="true" showInputMessage="false" sqref="M2:M18" type="whole">
      <formula1>1</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5" min="3" style="1" width="30"/>
    <col collapsed="false" customWidth="true" hidden="false" outlineLevel="0" max="6" min="6" style="1" width="22"/>
    <col collapsed="false" customWidth="true" hidden="false" outlineLevel="0" max="7" min="7" style="1" width="16"/>
    <col collapsed="false" customWidth="true" hidden="false" outlineLevel="0" max="8" min="8" style="1" width="14"/>
    <col collapsed="false" customWidth="true" hidden="false" outlineLevel="0" max="9" min="9" style="1" width="18"/>
  </cols>
  <sheetData>
    <row r="1" customFormat="false" ht="18" hidden="false" customHeight="true" outlineLevel="0" collapsed="false">
      <c r="A1" s="17" t="s">
        <v>279</v>
      </c>
    </row>
    <row r="3" customFormat="false" ht="33.75" hidden="false" customHeight="true" outlineLevel="0" collapsed="false">
      <c r="A3" s="12" t="s">
        <v>280</v>
      </c>
      <c r="B3" s="12" t="s">
        <v>281</v>
      </c>
      <c r="C3" s="12" t="s">
        <v>282</v>
      </c>
      <c r="D3" s="12" t="s">
        <v>283</v>
      </c>
      <c r="E3" s="12" t="s">
        <v>284</v>
      </c>
    </row>
    <row r="4" customFormat="false" ht="79.5" hidden="false" customHeight="true" outlineLevel="0" collapsed="false">
      <c r="A4" s="13" t="s">
        <v>285</v>
      </c>
      <c r="B4" s="13" t="s">
        <v>268</v>
      </c>
      <c r="C4" s="13" t="s">
        <v>240</v>
      </c>
      <c r="D4" s="13" t="s">
        <v>91</v>
      </c>
      <c r="E4" s="13" t="s">
        <v>75</v>
      </c>
    </row>
    <row r="5" customFormat="false" ht="45.75" hidden="false" customHeight="true" outlineLevel="0" collapsed="false">
      <c r="A5" s="13" t="s">
        <v>286</v>
      </c>
      <c r="B5" s="13" t="s">
        <v>287</v>
      </c>
      <c r="C5" s="13" t="s">
        <v>288</v>
      </c>
      <c r="D5" s="13" t="s">
        <v>289</v>
      </c>
      <c r="E5" s="13" t="s">
        <v>290</v>
      </c>
    </row>
    <row r="6" customFormat="false" ht="34.5" hidden="false" customHeight="true" outlineLevel="0" collapsed="false">
      <c r="A6" s="13" t="s">
        <v>291</v>
      </c>
      <c r="B6" s="13" t="s">
        <v>292</v>
      </c>
      <c r="C6" s="13" t="s">
        <v>293</v>
      </c>
      <c r="D6" s="13" t="s">
        <v>294</v>
      </c>
      <c r="E6" s="13" t="s">
        <v>295</v>
      </c>
    </row>
    <row r="7" customFormat="false" ht="34.5" hidden="false" customHeight="true" outlineLevel="0" collapsed="false">
      <c r="A7" s="13" t="s">
        <v>296</v>
      </c>
      <c r="B7" s="13" t="s">
        <v>297</v>
      </c>
      <c r="C7" s="13" t="s">
        <v>298</v>
      </c>
      <c r="D7" s="13" t="s">
        <v>299</v>
      </c>
      <c r="E7" s="13" t="s">
        <v>300</v>
      </c>
    </row>
    <row r="10" customFormat="false" ht="33.75" hidden="false" customHeight="true" outlineLevel="0" collapsed="false">
      <c r="A10" s="12" t="s">
        <v>301</v>
      </c>
      <c r="B10" s="12" t="s">
        <v>302</v>
      </c>
      <c r="C10" s="12" t="s">
        <v>303</v>
      </c>
    </row>
    <row r="11" customFormat="false" ht="34.5" hidden="false" customHeight="true" outlineLevel="0" collapsed="false">
      <c r="A11" s="13" t="s">
        <v>304</v>
      </c>
      <c r="B11" s="13" t="s">
        <v>305</v>
      </c>
      <c r="C11" s="13" t="s">
        <v>306</v>
      </c>
    </row>
    <row r="12" customFormat="false" ht="23.25" hidden="false" customHeight="true" outlineLevel="0" collapsed="false">
      <c r="A12" s="13" t="s">
        <v>307</v>
      </c>
      <c r="B12" s="13" t="s">
        <v>308</v>
      </c>
      <c r="C12" s="13" t="s">
        <v>306</v>
      </c>
    </row>
    <row r="13" customFormat="false" ht="34.5" hidden="false" customHeight="true" outlineLevel="0" collapsed="false">
      <c r="A13" s="13" t="s">
        <v>309</v>
      </c>
      <c r="B13" s="13" t="s">
        <v>310</v>
      </c>
      <c r="C13" s="13" t="s">
        <v>306</v>
      </c>
    </row>
    <row r="14" customFormat="false" ht="34.5" hidden="false" customHeight="true" outlineLevel="0" collapsed="false">
      <c r="A14" s="13" t="s">
        <v>311</v>
      </c>
      <c r="B14" s="13" t="s">
        <v>312</v>
      </c>
      <c r="C14" s="13" t="s">
        <v>306</v>
      </c>
    </row>
    <row r="15" customFormat="false" ht="45.75" hidden="false" customHeight="true" outlineLevel="0" collapsed="false">
      <c r="A15" s="13" t="s">
        <v>128</v>
      </c>
      <c r="B15" s="13" t="s">
        <v>313</v>
      </c>
      <c r="C15" s="13" t="s">
        <v>306</v>
      </c>
    </row>
    <row r="16" customFormat="false" ht="79.5" hidden="false" customHeight="true" outlineLevel="0" collapsed="false">
      <c r="A16" s="13" t="s">
        <v>225</v>
      </c>
      <c r="B16" s="13" t="s">
        <v>314</v>
      </c>
      <c r="C16" s="13" t="s">
        <v>315</v>
      </c>
    </row>
    <row r="19" customFormat="false" ht="33.75" hidden="false" customHeight="true" outlineLevel="0" collapsed="false">
      <c r="A19" s="12" t="s">
        <v>56</v>
      </c>
      <c r="B19" s="12" t="s">
        <v>316</v>
      </c>
      <c r="C19" s="12" t="s">
        <v>317</v>
      </c>
      <c r="D19" s="12" t="s">
        <v>318</v>
      </c>
      <c r="E19" s="12" t="s">
        <v>319</v>
      </c>
      <c r="F19" s="12" t="s">
        <v>320</v>
      </c>
      <c r="G19" s="12" t="s">
        <v>321</v>
      </c>
      <c r="H19" s="12" t="s">
        <v>322</v>
      </c>
      <c r="I19" s="12" t="s">
        <v>323</v>
      </c>
    </row>
    <row r="20" customFormat="false" ht="57" hidden="false" customHeight="true" outlineLevel="0" collapsed="false">
      <c r="A20" s="13" t="s">
        <v>282</v>
      </c>
      <c r="B20" s="13" t="s">
        <v>324</v>
      </c>
      <c r="C20" s="13" t="s">
        <v>325</v>
      </c>
      <c r="D20" s="13" t="s">
        <v>326</v>
      </c>
      <c r="E20" s="13" t="s">
        <v>327</v>
      </c>
      <c r="F20" s="13" t="s">
        <v>328</v>
      </c>
      <c r="G20" s="13" t="s">
        <v>329</v>
      </c>
      <c r="H20" s="13" t="s">
        <v>330</v>
      </c>
      <c r="I20" s="13" t="s">
        <v>331</v>
      </c>
    </row>
    <row r="21" customFormat="false" ht="34.5" hidden="false" customHeight="true" outlineLevel="0" collapsed="false">
      <c r="A21" s="13" t="s">
        <v>283</v>
      </c>
      <c r="B21" s="13" t="s">
        <v>332</v>
      </c>
      <c r="C21" s="13" t="s">
        <v>333</v>
      </c>
      <c r="D21" s="13" t="s">
        <v>334</v>
      </c>
      <c r="E21" s="13" t="s">
        <v>335</v>
      </c>
      <c r="F21" s="13" t="s">
        <v>74</v>
      </c>
      <c r="G21" s="13" t="s">
        <v>336</v>
      </c>
      <c r="H21" s="13" t="s">
        <v>337</v>
      </c>
      <c r="I21" s="13" t="s">
        <v>338</v>
      </c>
    </row>
    <row r="22" customFormat="false" ht="23.25" hidden="false" customHeight="true" outlineLevel="0" collapsed="false">
      <c r="A22" s="13" t="s">
        <v>284</v>
      </c>
      <c r="B22" s="13" t="s">
        <v>339</v>
      </c>
      <c r="C22" s="13" t="s">
        <v>340</v>
      </c>
      <c r="D22" s="13" t="s">
        <v>341</v>
      </c>
      <c r="E22" s="13" t="s">
        <v>342</v>
      </c>
      <c r="F22" s="13" t="s">
        <v>343</v>
      </c>
      <c r="G22" s="13" t="s">
        <v>344</v>
      </c>
      <c r="H22" s="13" t="s">
        <v>345</v>
      </c>
      <c r="I22" s="13" t="s">
        <v>346</v>
      </c>
    </row>
    <row r="25" customFormat="false" ht="15" hidden="false" customHeight="true" outlineLevel="0" collapsed="false">
      <c r="A25" s="18" t="s">
        <v>347</v>
      </c>
    </row>
    <row r="26" customFormat="false" ht="33.75" hidden="false" customHeight="true" outlineLevel="0" collapsed="false">
      <c r="A26" s="12" t="s">
        <v>348</v>
      </c>
      <c r="B26" s="12" t="s">
        <v>349</v>
      </c>
    </row>
    <row r="27" customFormat="false" ht="23.25" hidden="false" customHeight="true" outlineLevel="0" collapsed="false">
      <c r="A27" s="13" t="s">
        <v>350</v>
      </c>
      <c r="B27" s="19" t="n">
        <f aca="false">COUNTA(01_Inventory!A2:A18)</f>
        <v>17</v>
      </c>
    </row>
    <row r="28" customFormat="false" ht="15" hidden="false" customHeight="true" outlineLevel="0" collapsed="false">
      <c r="A28" s="13" t="s">
        <v>351</v>
      </c>
      <c r="B28" s="19" t="n">
        <f aca="false">COUNTIF(01_Inventory!L2:L18,1)</f>
        <v>7</v>
      </c>
    </row>
    <row r="29" customFormat="false" ht="15" hidden="false" customHeight="true" outlineLevel="0" collapsed="false">
      <c r="A29" s="13" t="s">
        <v>352</v>
      </c>
      <c r="B29" s="19" t="n">
        <f aca="false">COUNTIF(01_Inventory!L2:L18,2)</f>
        <v>6</v>
      </c>
    </row>
    <row r="30" customFormat="false" ht="15" hidden="false" customHeight="true" outlineLevel="0" collapsed="false">
      <c r="A30" s="13" t="s">
        <v>353</v>
      </c>
      <c r="B30" s="19" t="n">
        <f aca="false">COUNTIF(01_Inventory!L2:L18,3)</f>
        <v>4</v>
      </c>
    </row>
    <row r="31" customFormat="false" ht="45.75" hidden="false" customHeight="true" outlineLevel="0" collapsed="false">
      <c r="A31" s="13" t="s">
        <v>354</v>
      </c>
      <c r="B31" s="19" t="n">
        <f aca="false">COUNTIF(01_Inventory!J2:J18,"N*")+COUNTIF(01_Inventory!J2:J18,"Pending*")</f>
        <v>6</v>
      </c>
    </row>
    <row r="32" customFormat="false" ht="34.5" hidden="false" customHeight="true" outlineLevel="0" collapsed="false">
      <c r="A32" s="13" t="s">
        <v>355</v>
      </c>
      <c r="B32" s="20" t="n">
        <f aca="false">B31/B27</f>
        <v>0.352941176470588</v>
      </c>
    </row>
    <row r="33" customFormat="false" ht="90.75" hidden="false" customHeight="true" outlineLevel="0" collapsed="false">
      <c r="A33" s="13" t="s">
        <v>356</v>
      </c>
      <c r="B33" s="19" t="n">
        <f aca="false">SUMPRODUCT(((ISNUMBER(SEARCH("not obtained",01_Inventory!K2:K18)))+(LEFT(01_Inventory!K2:K18,9)="None held")&gt;0)*(ISERROR(SEARCH("ONBOARDING",01_Inventory!N2:N18))))</f>
        <v>4</v>
      </c>
    </row>
    <row r="34" customFormat="false" ht="68.25" hidden="false" customHeight="true" outlineLevel="0" collapsed="false">
      <c r="A34" s="13" t="s">
        <v>357</v>
      </c>
      <c r="B34" s="19" t="n">
        <f aca="false">COUNTIF(01_Inventory!W2:W18,"T2-f")</f>
        <v>2</v>
      </c>
    </row>
    <row r="35" customFormat="false" ht="23.25" hidden="false" customHeight="true" outlineLevel="0" collapsed="false">
      <c r="A35" s="13" t="s">
        <v>358</v>
      </c>
      <c r="B35" s="19" t="n">
        <f aca="false">COUNTIF(01_Inventory!X2:X18,"Critical")</f>
        <v>2</v>
      </c>
    </row>
    <row r="36" customFormat="false" ht="23.25" hidden="false" customHeight="true" outlineLevel="0" collapsed="false">
      <c r="A36" s="13" t="s">
        <v>359</v>
      </c>
      <c r="B36" s="19" t="n">
        <f aca="false">COUNTIF(01_Inventory!X2:X18,"High")</f>
        <v>7</v>
      </c>
    </row>
    <row r="37" customFormat="false" ht="34.5" hidden="false" customHeight="true" outlineLevel="0" collapsed="false">
      <c r="A37" s="13" t="s">
        <v>360</v>
      </c>
      <c r="B37" s="19" t="n">
        <f aca="false">SUM(01_Inventory!M2:M18)</f>
        <v>159</v>
      </c>
    </row>
    <row r="38" customFormat="false" ht="34.5" hidden="false" customHeight="true" outlineLevel="0" collapsed="false">
      <c r="A38" s="13" t="s">
        <v>361</v>
      </c>
      <c r="B38" s="21" t="n">
        <f aca="false">AVERAGE(01_Inventory!M2:M18)</f>
        <v>9.35294117647059</v>
      </c>
    </row>
    <row r="39" customFormat="false" ht="90.75" hidden="false" customHeight="true" outlineLevel="0" collapsed="false">
      <c r="A39" s="13" t="s">
        <v>362</v>
      </c>
      <c r="B39" s="19" t="n">
        <f aca="false">COUNTIF(01_Inventory!Y2:Y18,"N")</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55"/>
    <col collapsed="false" customWidth="true" hidden="false" outlineLevel="0" max="4" min="4" style="1" width="20"/>
    <col collapsed="false" customWidth="true" hidden="false" outlineLevel="0" max="5" min="5" style="1" width="34"/>
    <col collapsed="false" customWidth="true" hidden="false" outlineLevel="0" max="6" min="6" style="1" width="9"/>
    <col collapsed="false" customWidth="true" hidden="false" outlineLevel="0" max="7" min="7" style="1" width="16"/>
    <col collapsed="false" customWidth="true" hidden="false" outlineLevel="0" max="8" min="8" style="1" width="10"/>
    <col collapsed="false" customWidth="true" hidden="false" outlineLevel="0" max="9" min="9" style="1" width="7"/>
    <col collapsed="false" customWidth="true" hidden="false" outlineLevel="0" max="10" min="10" style="1" width="9"/>
    <col collapsed="false" customWidth="true" hidden="false" outlineLevel="0" max="11" min="11" style="1" width="11"/>
    <col collapsed="false" customWidth="true" hidden="false" outlineLevel="0" max="12" min="12" style="1" width="30"/>
    <col collapsed="false" customWidth="true" hidden="false" outlineLevel="0" max="13" min="13" style="1" width="11"/>
    <col collapsed="false" customWidth="true" hidden="false" outlineLevel="0" max="14" min="14" style="1" width="16"/>
    <col collapsed="false" customWidth="true" hidden="false" outlineLevel="0" max="15" min="15" style="1" width="10"/>
    <col collapsed="false" customWidth="true" hidden="false" outlineLevel="0" max="16" min="16" style="1" width="30"/>
  </cols>
  <sheetData>
    <row r="1" customFormat="false" ht="33.75" hidden="false" customHeight="true" outlineLevel="0" collapsed="false">
      <c r="A1" s="12" t="s">
        <v>363</v>
      </c>
      <c r="B1" s="12" t="s">
        <v>364</v>
      </c>
      <c r="C1" s="12" t="s">
        <v>365</v>
      </c>
      <c r="D1" s="12" t="s">
        <v>366</v>
      </c>
      <c r="E1" s="12" t="s">
        <v>367</v>
      </c>
      <c r="F1" s="12" t="s">
        <v>368</v>
      </c>
      <c r="G1" s="12" t="s">
        <v>369</v>
      </c>
      <c r="H1" s="12" t="s">
        <v>370</v>
      </c>
      <c r="I1" s="12" t="s">
        <v>351</v>
      </c>
      <c r="J1" s="12" t="s">
        <v>371</v>
      </c>
      <c r="K1" s="12" t="s">
        <v>372</v>
      </c>
      <c r="L1" s="12" t="s">
        <v>373</v>
      </c>
      <c r="M1" s="12" t="s">
        <v>374</v>
      </c>
      <c r="N1" s="12" t="s">
        <v>375</v>
      </c>
      <c r="O1" s="12" t="s">
        <v>376</v>
      </c>
      <c r="P1" s="12" t="s">
        <v>377</v>
      </c>
    </row>
    <row r="2" customFormat="false" ht="23.25" hidden="false" customHeight="true" outlineLevel="0" collapsed="false">
      <c r="A2" s="13" t="s">
        <v>378</v>
      </c>
      <c r="B2" s="13" t="s">
        <v>379</v>
      </c>
      <c r="C2" s="13" t="s">
        <v>380</v>
      </c>
      <c r="D2" s="13" t="s">
        <v>381</v>
      </c>
      <c r="E2" s="13" t="s">
        <v>382</v>
      </c>
      <c r="F2" s="14" t="n">
        <v>4</v>
      </c>
      <c r="G2" s="13" t="s">
        <v>383</v>
      </c>
      <c r="H2" s="13" t="s">
        <v>384</v>
      </c>
      <c r="I2" s="13" t="s">
        <v>79</v>
      </c>
      <c r="J2" s="15" t="str">
        <f aca="false">IF(F2=5,"Y","")</f>
        <v/>
      </c>
      <c r="K2" s="13"/>
      <c r="L2" s="14"/>
      <c r="M2" s="14"/>
      <c r="N2" s="14"/>
      <c r="O2" s="14"/>
      <c r="P2" s="14"/>
    </row>
    <row r="3" customFormat="false" ht="23.25" hidden="false" customHeight="true" outlineLevel="0" collapsed="false">
      <c r="A3" s="13" t="s">
        <v>385</v>
      </c>
      <c r="B3" s="13" t="s">
        <v>379</v>
      </c>
      <c r="C3" s="13" t="s">
        <v>386</v>
      </c>
      <c r="D3" s="13" t="s">
        <v>387</v>
      </c>
      <c r="E3" s="13" t="s">
        <v>388</v>
      </c>
      <c r="F3" s="14" t="n">
        <v>3</v>
      </c>
      <c r="G3" s="13" t="s">
        <v>389</v>
      </c>
      <c r="H3" s="13" t="s">
        <v>390</v>
      </c>
      <c r="I3" s="13" t="s">
        <v>79</v>
      </c>
      <c r="J3" s="15" t="str">
        <f aca="false">IF(F3=5,"Y","")</f>
        <v/>
      </c>
      <c r="K3" s="13"/>
      <c r="L3" s="14"/>
      <c r="M3" s="14"/>
      <c r="N3" s="14"/>
      <c r="O3" s="14"/>
      <c r="P3" s="14"/>
    </row>
    <row r="4" customFormat="false" ht="23.25" hidden="false" customHeight="true" outlineLevel="0" collapsed="false">
      <c r="A4" s="13" t="s">
        <v>391</v>
      </c>
      <c r="B4" s="13" t="s">
        <v>379</v>
      </c>
      <c r="C4" s="13" t="s">
        <v>392</v>
      </c>
      <c r="D4" s="13" t="s">
        <v>393</v>
      </c>
      <c r="E4" s="13" t="s">
        <v>394</v>
      </c>
      <c r="F4" s="14" t="n">
        <v>2</v>
      </c>
      <c r="G4" s="13" t="s">
        <v>389</v>
      </c>
      <c r="H4" s="13" t="s">
        <v>390</v>
      </c>
      <c r="I4" s="13" t="s">
        <v>79</v>
      </c>
      <c r="J4" s="15" t="str">
        <f aca="false">IF(F4=5,"Y","")</f>
        <v/>
      </c>
      <c r="K4" s="13"/>
      <c r="L4" s="14"/>
      <c r="M4" s="14"/>
      <c r="N4" s="14"/>
      <c r="O4" s="14"/>
      <c r="P4" s="14"/>
    </row>
    <row r="5" customFormat="false" ht="23.25" hidden="false" customHeight="true" outlineLevel="0" collapsed="false">
      <c r="A5" s="13" t="s">
        <v>395</v>
      </c>
      <c r="B5" s="13" t="s">
        <v>379</v>
      </c>
      <c r="C5" s="13" t="s">
        <v>396</v>
      </c>
      <c r="D5" s="13" t="s">
        <v>397</v>
      </c>
      <c r="E5" s="13" t="s">
        <v>398</v>
      </c>
      <c r="F5" s="14" t="n">
        <v>3</v>
      </c>
      <c r="G5" s="13" t="s">
        <v>399</v>
      </c>
      <c r="H5" s="13" t="s">
        <v>384</v>
      </c>
      <c r="I5" s="13" t="s">
        <v>79</v>
      </c>
      <c r="J5" s="15" t="str">
        <f aca="false">IF(F5=5,"Y","")</f>
        <v/>
      </c>
      <c r="K5" s="13"/>
      <c r="L5" s="14"/>
      <c r="M5" s="14"/>
      <c r="N5" s="14"/>
      <c r="O5" s="14"/>
      <c r="P5" s="14"/>
    </row>
    <row r="6" customFormat="false" ht="23.25" hidden="false" customHeight="true" outlineLevel="0" collapsed="false">
      <c r="A6" s="13" t="s">
        <v>400</v>
      </c>
      <c r="B6" s="13" t="s">
        <v>379</v>
      </c>
      <c r="C6" s="13" t="s">
        <v>401</v>
      </c>
      <c r="D6" s="13" t="s">
        <v>402</v>
      </c>
      <c r="E6" s="13" t="s">
        <v>403</v>
      </c>
      <c r="F6" s="14" t="n">
        <v>2</v>
      </c>
      <c r="G6" s="13" t="s">
        <v>404</v>
      </c>
      <c r="H6" s="13" t="s">
        <v>405</v>
      </c>
      <c r="I6" s="13" t="s">
        <v>79</v>
      </c>
      <c r="J6" s="15" t="str">
        <f aca="false">IF(F6=5,"Y","")</f>
        <v/>
      </c>
      <c r="K6" s="13"/>
      <c r="L6" s="14"/>
      <c r="M6" s="14"/>
      <c r="N6" s="14"/>
      <c r="O6" s="14"/>
      <c r="P6" s="14"/>
    </row>
    <row r="7" customFormat="false" ht="23.25" hidden="false" customHeight="true" outlineLevel="0" collapsed="false">
      <c r="A7" s="13" t="s">
        <v>406</v>
      </c>
      <c r="B7" s="13" t="s">
        <v>407</v>
      </c>
      <c r="C7" s="13" t="s">
        <v>408</v>
      </c>
      <c r="D7" s="13" t="s">
        <v>381</v>
      </c>
      <c r="E7" s="13" t="s">
        <v>409</v>
      </c>
      <c r="F7" s="14" t="n">
        <v>4</v>
      </c>
      <c r="G7" s="13" t="s">
        <v>410</v>
      </c>
      <c r="H7" s="13" t="s">
        <v>411</v>
      </c>
      <c r="I7" s="13" t="s">
        <v>79</v>
      </c>
      <c r="J7" s="15" t="str">
        <f aca="false">IF(F7=5,"Y","")</f>
        <v/>
      </c>
      <c r="K7" s="13"/>
      <c r="L7" s="14"/>
      <c r="M7" s="14"/>
      <c r="N7" s="14"/>
      <c r="O7" s="14"/>
      <c r="P7" s="14"/>
    </row>
    <row r="8" customFormat="false" ht="23.25" hidden="false" customHeight="true" outlineLevel="0" collapsed="false">
      <c r="A8" s="13" t="s">
        <v>412</v>
      </c>
      <c r="B8" s="13" t="s">
        <v>407</v>
      </c>
      <c r="C8" s="13" t="s">
        <v>413</v>
      </c>
      <c r="D8" s="13" t="s">
        <v>414</v>
      </c>
      <c r="E8" s="13" t="s">
        <v>415</v>
      </c>
      <c r="F8" s="14" t="n">
        <v>3</v>
      </c>
      <c r="G8" s="13" t="s">
        <v>410</v>
      </c>
      <c r="H8" s="13" t="s">
        <v>411</v>
      </c>
      <c r="I8" s="13" t="s">
        <v>79</v>
      </c>
      <c r="J8" s="15" t="str">
        <f aca="false">IF(F8=5,"Y","")</f>
        <v/>
      </c>
      <c r="K8" s="13"/>
      <c r="L8" s="14"/>
      <c r="M8" s="14"/>
      <c r="N8" s="14"/>
      <c r="O8" s="14"/>
      <c r="P8" s="14"/>
    </row>
    <row r="9" customFormat="false" ht="23.25" hidden="false" customHeight="true" outlineLevel="0" collapsed="false">
      <c r="A9" s="13" t="s">
        <v>416</v>
      </c>
      <c r="B9" s="13" t="s">
        <v>407</v>
      </c>
      <c r="C9" s="13" t="s">
        <v>417</v>
      </c>
      <c r="D9" s="13" t="s">
        <v>402</v>
      </c>
      <c r="E9" s="13" t="s">
        <v>418</v>
      </c>
      <c r="F9" s="14" t="n">
        <v>3</v>
      </c>
      <c r="G9" s="13" t="s">
        <v>419</v>
      </c>
      <c r="H9" s="13" t="s">
        <v>420</v>
      </c>
      <c r="I9" s="13" t="s">
        <v>79</v>
      </c>
      <c r="J9" s="15" t="str">
        <f aca="false">IF(F9=5,"Y","")</f>
        <v/>
      </c>
      <c r="K9" s="13"/>
      <c r="L9" s="14"/>
      <c r="M9" s="14"/>
      <c r="N9" s="14"/>
      <c r="O9" s="14"/>
      <c r="P9" s="14"/>
    </row>
    <row r="10" customFormat="false" ht="23.25" hidden="false" customHeight="true" outlineLevel="0" collapsed="false">
      <c r="A10" s="13" t="s">
        <v>421</v>
      </c>
      <c r="B10" s="13" t="s">
        <v>407</v>
      </c>
      <c r="C10" s="13" t="s">
        <v>422</v>
      </c>
      <c r="D10" s="13" t="s">
        <v>402</v>
      </c>
      <c r="E10" s="13" t="s">
        <v>423</v>
      </c>
      <c r="F10" s="14" t="n">
        <v>3</v>
      </c>
      <c r="G10" s="13" t="s">
        <v>424</v>
      </c>
      <c r="H10" s="13" t="s">
        <v>204</v>
      </c>
      <c r="I10" s="13" t="s">
        <v>79</v>
      </c>
      <c r="J10" s="15" t="str">
        <f aca="false">IF(F10=5,"Y","")</f>
        <v/>
      </c>
      <c r="K10" s="13"/>
      <c r="L10" s="14"/>
      <c r="M10" s="14"/>
      <c r="N10" s="14"/>
      <c r="O10" s="14"/>
      <c r="P10" s="14"/>
    </row>
    <row r="11" customFormat="false" ht="23.25" hidden="false" customHeight="true" outlineLevel="0" collapsed="false">
      <c r="A11" s="13" t="s">
        <v>425</v>
      </c>
      <c r="B11" s="13" t="s">
        <v>426</v>
      </c>
      <c r="C11" s="13" t="s">
        <v>427</v>
      </c>
      <c r="D11" s="13" t="s">
        <v>428</v>
      </c>
      <c r="E11" s="13" t="s">
        <v>429</v>
      </c>
      <c r="F11" s="14" t="n">
        <v>5</v>
      </c>
      <c r="G11" s="13" t="s">
        <v>430</v>
      </c>
      <c r="H11" s="13" t="s">
        <v>431</v>
      </c>
      <c r="I11" s="13" t="s">
        <v>79</v>
      </c>
      <c r="J11" s="15" t="str">
        <f aca="false">IF(F11=5,"Y","")</f>
        <v>Y</v>
      </c>
      <c r="K11" s="13"/>
      <c r="L11" s="14"/>
      <c r="M11" s="14"/>
      <c r="N11" s="14"/>
      <c r="O11" s="14"/>
      <c r="P11" s="14"/>
    </row>
    <row r="12" customFormat="false" ht="23.25" hidden="false" customHeight="true" outlineLevel="0" collapsed="false">
      <c r="A12" s="13" t="s">
        <v>432</v>
      </c>
      <c r="B12" s="13" t="s">
        <v>426</v>
      </c>
      <c r="C12" s="13" t="s">
        <v>433</v>
      </c>
      <c r="D12" s="13" t="s">
        <v>434</v>
      </c>
      <c r="E12" s="13" t="s">
        <v>435</v>
      </c>
      <c r="F12" s="14" t="n">
        <v>5</v>
      </c>
      <c r="G12" s="13" t="s">
        <v>430</v>
      </c>
      <c r="H12" s="13" t="s">
        <v>431</v>
      </c>
      <c r="I12" s="13" t="s">
        <v>79</v>
      </c>
      <c r="J12" s="15" t="str">
        <f aca="false">IF(F12=5,"Y","")</f>
        <v>Y</v>
      </c>
      <c r="K12" s="13"/>
      <c r="L12" s="14"/>
      <c r="M12" s="14"/>
      <c r="N12" s="14"/>
      <c r="O12" s="14"/>
      <c r="P12" s="14"/>
    </row>
    <row r="13" customFormat="false" ht="23.25" hidden="false" customHeight="true" outlineLevel="0" collapsed="false">
      <c r="A13" s="13" t="s">
        <v>436</v>
      </c>
      <c r="B13" s="13" t="s">
        <v>426</v>
      </c>
      <c r="C13" s="13" t="s">
        <v>437</v>
      </c>
      <c r="D13" s="13" t="s">
        <v>438</v>
      </c>
      <c r="E13" s="13" t="s">
        <v>439</v>
      </c>
      <c r="F13" s="14" t="n">
        <v>5</v>
      </c>
      <c r="G13" s="13" t="s">
        <v>430</v>
      </c>
      <c r="H13" s="13" t="s">
        <v>431</v>
      </c>
      <c r="I13" s="13" t="s">
        <v>79</v>
      </c>
      <c r="J13" s="15" t="str">
        <f aca="false">IF(F13=5,"Y","")</f>
        <v>Y</v>
      </c>
      <c r="K13" s="13" t="s">
        <v>79</v>
      </c>
      <c r="L13" s="14"/>
      <c r="M13" s="14"/>
      <c r="N13" s="14"/>
      <c r="O13" s="14"/>
      <c r="P13" s="14"/>
    </row>
    <row r="14" customFormat="false" ht="34.5" hidden="false" customHeight="true" outlineLevel="0" collapsed="false">
      <c r="A14" s="13" t="s">
        <v>440</v>
      </c>
      <c r="B14" s="13" t="s">
        <v>426</v>
      </c>
      <c r="C14" s="13" t="s">
        <v>441</v>
      </c>
      <c r="D14" s="13" t="s">
        <v>442</v>
      </c>
      <c r="E14" s="13" t="s">
        <v>443</v>
      </c>
      <c r="F14" s="14" t="n">
        <v>5</v>
      </c>
      <c r="G14" s="13" t="s">
        <v>444</v>
      </c>
      <c r="H14" s="13" t="s">
        <v>204</v>
      </c>
      <c r="I14" s="13" t="s">
        <v>79</v>
      </c>
      <c r="J14" s="15" t="str">
        <f aca="false">IF(F14=5,"Y","")</f>
        <v>Y</v>
      </c>
      <c r="K14" s="13"/>
      <c r="L14" s="14"/>
      <c r="M14" s="14"/>
      <c r="N14" s="14"/>
      <c r="O14" s="14"/>
      <c r="P14" s="14"/>
    </row>
    <row r="15" customFormat="false" ht="23.25" hidden="false" customHeight="true" outlineLevel="0" collapsed="false">
      <c r="A15" s="13" t="s">
        <v>445</v>
      </c>
      <c r="B15" s="13" t="s">
        <v>426</v>
      </c>
      <c r="C15" s="13" t="s">
        <v>446</v>
      </c>
      <c r="D15" s="13" t="s">
        <v>434</v>
      </c>
      <c r="E15" s="13" t="s">
        <v>447</v>
      </c>
      <c r="F15" s="14" t="n">
        <v>5</v>
      </c>
      <c r="G15" s="13" t="s">
        <v>448</v>
      </c>
      <c r="H15" s="13" t="s">
        <v>405</v>
      </c>
      <c r="I15" s="13" t="s">
        <v>79</v>
      </c>
      <c r="J15" s="15" t="str">
        <f aca="false">IF(F15=5,"Y","")</f>
        <v>Y</v>
      </c>
      <c r="K15" s="13"/>
      <c r="L15" s="14"/>
      <c r="M15" s="14"/>
      <c r="N15" s="14"/>
      <c r="O15" s="14"/>
      <c r="P15" s="14"/>
    </row>
    <row r="16" customFormat="false" ht="23.25" hidden="false" customHeight="true" outlineLevel="0" collapsed="false">
      <c r="A16" s="13" t="s">
        <v>449</v>
      </c>
      <c r="B16" s="13" t="s">
        <v>450</v>
      </c>
      <c r="C16" s="13" t="s">
        <v>451</v>
      </c>
      <c r="D16" s="13" t="s">
        <v>402</v>
      </c>
      <c r="E16" s="13" t="s">
        <v>452</v>
      </c>
      <c r="F16" s="14" t="n">
        <v>5</v>
      </c>
      <c r="G16" s="13" t="s">
        <v>453</v>
      </c>
      <c r="H16" s="13" t="s">
        <v>454</v>
      </c>
      <c r="I16" s="13" t="s">
        <v>79</v>
      </c>
      <c r="J16" s="15" t="str">
        <f aca="false">IF(F16=5,"Y","")</f>
        <v>Y</v>
      </c>
      <c r="K16" s="13"/>
      <c r="L16" s="14"/>
      <c r="M16" s="14"/>
      <c r="N16" s="14"/>
      <c r="O16" s="14"/>
      <c r="P16" s="14"/>
    </row>
    <row r="17" customFormat="false" ht="23.25" hidden="false" customHeight="true" outlineLevel="0" collapsed="false">
      <c r="A17" s="13" t="s">
        <v>455</v>
      </c>
      <c r="B17" s="13" t="s">
        <v>450</v>
      </c>
      <c r="C17" s="13" t="s">
        <v>456</v>
      </c>
      <c r="D17" s="13" t="s">
        <v>402</v>
      </c>
      <c r="E17" s="13" t="s">
        <v>457</v>
      </c>
      <c r="F17" s="14" t="n">
        <v>4</v>
      </c>
      <c r="G17" s="13" t="s">
        <v>458</v>
      </c>
      <c r="H17" s="13" t="s">
        <v>454</v>
      </c>
      <c r="I17" s="13" t="s">
        <v>79</v>
      </c>
      <c r="J17" s="15" t="str">
        <f aca="false">IF(F17=5,"Y","")</f>
        <v/>
      </c>
      <c r="K17" s="13"/>
      <c r="L17" s="14"/>
      <c r="M17" s="14"/>
      <c r="N17" s="14"/>
      <c r="O17" s="14"/>
      <c r="P17" s="14"/>
    </row>
    <row r="18" customFormat="false" ht="23.25" hidden="false" customHeight="true" outlineLevel="0" collapsed="false">
      <c r="A18" s="13" t="s">
        <v>459</v>
      </c>
      <c r="B18" s="13" t="s">
        <v>450</v>
      </c>
      <c r="C18" s="13" t="s">
        <v>460</v>
      </c>
      <c r="D18" s="13" t="s">
        <v>381</v>
      </c>
      <c r="E18" s="13" t="s">
        <v>461</v>
      </c>
      <c r="F18" s="14" t="n">
        <v>4</v>
      </c>
      <c r="G18" s="13" t="s">
        <v>462</v>
      </c>
      <c r="H18" s="13" t="s">
        <v>454</v>
      </c>
      <c r="I18" s="13" t="s">
        <v>79</v>
      </c>
      <c r="J18" s="15" t="str">
        <f aca="false">IF(F18=5,"Y","")</f>
        <v/>
      </c>
      <c r="K18" s="13"/>
      <c r="L18" s="14"/>
      <c r="M18" s="14"/>
      <c r="N18" s="14"/>
      <c r="O18" s="14"/>
      <c r="P18" s="14"/>
    </row>
    <row r="19" customFormat="false" ht="23.25" hidden="false" customHeight="true" outlineLevel="0" collapsed="false">
      <c r="A19" s="13" t="s">
        <v>463</v>
      </c>
      <c r="B19" s="13" t="s">
        <v>450</v>
      </c>
      <c r="C19" s="13" t="s">
        <v>464</v>
      </c>
      <c r="D19" s="13" t="s">
        <v>465</v>
      </c>
      <c r="E19" s="13" t="s">
        <v>466</v>
      </c>
      <c r="F19" s="14" t="n">
        <v>4</v>
      </c>
      <c r="G19" s="13" t="s">
        <v>467</v>
      </c>
      <c r="H19" s="13" t="s">
        <v>454</v>
      </c>
      <c r="I19" s="13" t="s">
        <v>79</v>
      </c>
      <c r="J19" s="15" t="str">
        <f aca="false">IF(F19=5,"Y","")</f>
        <v/>
      </c>
      <c r="K19" s="13"/>
      <c r="L19" s="14"/>
      <c r="M19" s="14"/>
      <c r="N19" s="14"/>
      <c r="O19" s="14"/>
      <c r="P19" s="14"/>
    </row>
    <row r="20" customFormat="false" ht="23.25" hidden="false" customHeight="true" outlineLevel="0" collapsed="false">
      <c r="A20" s="13" t="s">
        <v>468</v>
      </c>
      <c r="B20" s="13" t="s">
        <v>450</v>
      </c>
      <c r="C20" s="13" t="s">
        <v>469</v>
      </c>
      <c r="D20" s="13" t="s">
        <v>470</v>
      </c>
      <c r="E20" s="13" t="s">
        <v>471</v>
      </c>
      <c r="F20" s="14" t="n">
        <v>4</v>
      </c>
      <c r="G20" s="13" t="s">
        <v>472</v>
      </c>
      <c r="H20" s="13" t="s">
        <v>454</v>
      </c>
      <c r="I20" s="13" t="s">
        <v>79</v>
      </c>
      <c r="J20" s="15" t="str">
        <f aca="false">IF(F20=5,"Y","")</f>
        <v/>
      </c>
      <c r="K20" s="13"/>
      <c r="L20" s="14"/>
      <c r="M20" s="14"/>
      <c r="N20" s="14"/>
      <c r="O20" s="14"/>
      <c r="P20" s="14"/>
    </row>
    <row r="21" customFormat="false" ht="23.25" hidden="false" customHeight="true" outlineLevel="0" collapsed="false">
      <c r="A21" s="13" t="s">
        <v>473</v>
      </c>
      <c r="B21" s="13" t="s">
        <v>450</v>
      </c>
      <c r="C21" s="13" t="s">
        <v>474</v>
      </c>
      <c r="D21" s="13" t="s">
        <v>402</v>
      </c>
      <c r="E21" s="13" t="s">
        <v>475</v>
      </c>
      <c r="F21" s="14" t="n">
        <v>4</v>
      </c>
      <c r="G21" s="13" t="s">
        <v>476</v>
      </c>
      <c r="H21" s="13" t="s">
        <v>454</v>
      </c>
      <c r="I21" s="13" t="s">
        <v>79</v>
      </c>
      <c r="J21" s="15" t="str">
        <f aca="false">IF(F21=5,"Y","")</f>
        <v/>
      </c>
      <c r="K21" s="13"/>
      <c r="L21" s="14"/>
      <c r="M21" s="14"/>
      <c r="N21" s="14"/>
      <c r="O21" s="14"/>
      <c r="P21" s="14"/>
    </row>
    <row r="22" customFormat="false" ht="23.25" hidden="false" customHeight="true" outlineLevel="0" collapsed="false">
      <c r="A22" s="13" t="s">
        <v>477</v>
      </c>
      <c r="B22" s="13" t="s">
        <v>478</v>
      </c>
      <c r="C22" s="13" t="s">
        <v>479</v>
      </c>
      <c r="D22" s="13" t="s">
        <v>387</v>
      </c>
      <c r="E22" s="13" t="s">
        <v>480</v>
      </c>
      <c r="F22" s="14" t="n">
        <v>5</v>
      </c>
      <c r="G22" s="13" t="s">
        <v>481</v>
      </c>
      <c r="H22" s="13" t="s">
        <v>482</v>
      </c>
      <c r="I22" s="13" t="s">
        <v>79</v>
      </c>
      <c r="J22" s="15" t="str">
        <f aca="false">IF(F22=5,"Y","")</f>
        <v>Y</v>
      </c>
      <c r="K22" s="13"/>
      <c r="L22" s="14"/>
      <c r="M22" s="14"/>
      <c r="N22" s="14"/>
      <c r="O22" s="14"/>
      <c r="P22" s="14"/>
    </row>
    <row r="23" customFormat="false" ht="23.25" hidden="false" customHeight="true" outlineLevel="0" collapsed="false">
      <c r="A23" s="13" t="s">
        <v>483</v>
      </c>
      <c r="B23" s="13" t="s">
        <v>478</v>
      </c>
      <c r="C23" s="13" t="s">
        <v>484</v>
      </c>
      <c r="D23" s="13" t="s">
        <v>387</v>
      </c>
      <c r="E23" s="13" t="s">
        <v>485</v>
      </c>
      <c r="F23" s="14" t="n">
        <v>5</v>
      </c>
      <c r="G23" s="13" t="s">
        <v>481</v>
      </c>
      <c r="H23" s="13" t="s">
        <v>482</v>
      </c>
      <c r="I23" s="13" t="s">
        <v>79</v>
      </c>
      <c r="J23" s="15" t="str">
        <f aca="false">IF(F23=5,"Y","")</f>
        <v>Y</v>
      </c>
      <c r="K23" s="13"/>
      <c r="L23" s="14"/>
      <c r="M23" s="14"/>
      <c r="N23" s="14"/>
      <c r="O23" s="14"/>
      <c r="P23" s="14"/>
    </row>
    <row r="24" customFormat="false" ht="23.25" hidden="false" customHeight="true" outlineLevel="0" collapsed="false">
      <c r="A24" s="13" t="s">
        <v>486</v>
      </c>
      <c r="B24" s="13" t="s">
        <v>478</v>
      </c>
      <c r="C24" s="13" t="s">
        <v>487</v>
      </c>
      <c r="D24" s="13" t="s">
        <v>434</v>
      </c>
      <c r="E24" s="13" t="s">
        <v>488</v>
      </c>
      <c r="F24" s="14" t="n">
        <v>3</v>
      </c>
      <c r="G24" s="13" t="s">
        <v>481</v>
      </c>
      <c r="H24" s="13" t="s">
        <v>482</v>
      </c>
      <c r="I24" s="13" t="s">
        <v>79</v>
      </c>
      <c r="J24" s="15" t="str">
        <f aca="false">IF(F24=5,"Y","")</f>
        <v/>
      </c>
      <c r="K24" s="13"/>
      <c r="L24" s="14"/>
      <c r="M24" s="14"/>
      <c r="N24" s="14"/>
      <c r="O24" s="14"/>
      <c r="P24" s="14"/>
    </row>
    <row r="25" customFormat="false" ht="23.25" hidden="false" customHeight="true" outlineLevel="0" collapsed="false">
      <c r="A25" s="13" t="s">
        <v>489</v>
      </c>
      <c r="B25" s="13" t="s">
        <v>478</v>
      </c>
      <c r="C25" s="13" t="s">
        <v>490</v>
      </c>
      <c r="D25" s="13" t="s">
        <v>387</v>
      </c>
      <c r="E25" s="13" t="s">
        <v>491</v>
      </c>
      <c r="F25" s="14" t="n">
        <v>5</v>
      </c>
      <c r="G25" s="13" t="s">
        <v>492</v>
      </c>
      <c r="H25" s="13" t="s">
        <v>482</v>
      </c>
      <c r="I25" s="13" t="s">
        <v>79</v>
      </c>
      <c r="J25" s="15" t="str">
        <f aca="false">IF(F25=5,"Y","")</f>
        <v>Y</v>
      </c>
      <c r="K25" s="13"/>
      <c r="L25" s="14"/>
      <c r="M25" s="14"/>
      <c r="N25" s="14"/>
      <c r="O25" s="14"/>
      <c r="P25" s="14"/>
    </row>
    <row r="26" customFormat="false" ht="23.25" hidden="false" customHeight="true" outlineLevel="0" collapsed="false">
      <c r="A26" s="13" t="s">
        <v>493</v>
      </c>
      <c r="B26" s="13" t="s">
        <v>478</v>
      </c>
      <c r="C26" s="13" t="s">
        <v>494</v>
      </c>
      <c r="D26" s="13" t="s">
        <v>381</v>
      </c>
      <c r="E26" s="13" t="s">
        <v>495</v>
      </c>
      <c r="F26" s="14" t="n">
        <v>4</v>
      </c>
      <c r="G26" s="13" t="s">
        <v>496</v>
      </c>
      <c r="H26" s="13" t="s">
        <v>482</v>
      </c>
      <c r="I26" s="13" t="s">
        <v>79</v>
      </c>
      <c r="J26" s="15" t="str">
        <f aca="false">IF(F26=5,"Y","")</f>
        <v/>
      </c>
      <c r="K26" s="13"/>
      <c r="L26" s="14"/>
      <c r="M26" s="14"/>
      <c r="N26" s="14"/>
      <c r="O26" s="14"/>
      <c r="P26" s="14"/>
    </row>
    <row r="27" customFormat="false" ht="23.25" hidden="false" customHeight="true" outlineLevel="0" collapsed="false">
      <c r="A27" s="13" t="s">
        <v>497</v>
      </c>
      <c r="B27" s="13" t="s">
        <v>478</v>
      </c>
      <c r="C27" s="13" t="s">
        <v>498</v>
      </c>
      <c r="D27" s="13" t="s">
        <v>402</v>
      </c>
      <c r="E27" s="13" t="s">
        <v>499</v>
      </c>
      <c r="F27" s="14" t="n">
        <v>3</v>
      </c>
      <c r="G27" s="13" t="s">
        <v>500</v>
      </c>
      <c r="H27" s="13" t="s">
        <v>482</v>
      </c>
      <c r="I27" s="13" t="s">
        <v>79</v>
      </c>
      <c r="J27" s="15" t="str">
        <f aca="false">IF(F27=5,"Y","")</f>
        <v/>
      </c>
      <c r="K27" s="13"/>
      <c r="L27" s="14"/>
      <c r="M27" s="14"/>
      <c r="N27" s="14"/>
      <c r="O27" s="14"/>
      <c r="P27" s="14"/>
    </row>
    <row r="28" customFormat="false" ht="23.25" hidden="false" customHeight="true" outlineLevel="0" collapsed="false">
      <c r="A28" s="13" t="s">
        <v>501</v>
      </c>
      <c r="B28" s="13" t="s">
        <v>502</v>
      </c>
      <c r="C28" s="13" t="s">
        <v>503</v>
      </c>
      <c r="D28" s="13" t="s">
        <v>402</v>
      </c>
      <c r="E28" s="13" t="s">
        <v>504</v>
      </c>
      <c r="F28" s="14" t="n">
        <v>5</v>
      </c>
      <c r="G28" s="13" t="s">
        <v>505</v>
      </c>
      <c r="H28" s="13" t="s">
        <v>431</v>
      </c>
      <c r="I28" s="13" t="s">
        <v>79</v>
      </c>
      <c r="J28" s="15" t="str">
        <f aca="false">IF(F28=5,"Y","")</f>
        <v>Y</v>
      </c>
      <c r="K28" s="13" t="s">
        <v>79</v>
      </c>
      <c r="L28" s="14"/>
      <c r="M28" s="14"/>
      <c r="N28" s="14"/>
      <c r="O28" s="14"/>
      <c r="P28" s="14"/>
    </row>
    <row r="29" customFormat="false" ht="23.25" hidden="false" customHeight="true" outlineLevel="0" collapsed="false">
      <c r="A29" s="13" t="s">
        <v>506</v>
      </c>
      <c r="B29" s="13" t="s">
        <v>502</v>
      </c>
      <c r="C29" s="13" t="s">
        <v>507</v>
      </c>
      <c r="D29" s="13" t="s">
        <v>434</v>
      </c>
      <c r="E29" s="13" t="s">
        <v>508</v>
      </c>
      <c r="F29" s="14" t="n">
        <v>5</v>
      </c>
      <c r="G29" s="13" t="s">
        <v>509</v>
      </c>
      <c r="H29" s="13" t="s">
        <v>431</v>
      </c>
      <c r="I29" s="13" t="s">
        <v>79</v>
      </c>
      <c r="J29" s="15" t="str">
        <f aca="false">IF(F29=5,"Y","")</f>
        <v>Y</v>
      </c>
      <c r="K29" s="13" t="s">
        <v>79</v>
      </c>
      <c r="L29" s="14"/>
      <c r="M29" s="14"/>
      <c r="N29" s="14"/>
      <c r="O29" s="14"/>
      <c r="P29" s="14"/>
    </row>
    <row r="30" customFormat="false" ht="34.5" hidden="false" customHeight="true" outlineLevel="0" collapsed="false">
      <c r="A30" s="13" t="s">
        <v>510</v>
      </c>
      <c r="B30" s="13" t="s">
        <v>502</v>
      </c>
      <c r="C30" s="13" t="s">
        <v>511</v>
      </c>
      <c r="D30" s="13" t="s">
        <v>442</v>
      </c>
      <c r="E30" s="13" t="s">
        <v>512</v>
      </c>
      <c r="F30" s="14" t="n">
        <v>5</v>
      </c>
      <c r="G30" s="13" t="s">
        <v>509</v>
      </c>
      <c r="H30" s="13" t="s">
        <v>431</v>
      </c>
      <c r="I30" s="13" t="s">
        <v>79</v>
      </c>
      <c r="J30" s="15" t="str">
        <f aca="false">IF(F30=5,"Y","")</f>
        <v>Y</v>
      </c>
      <c r="K30" s="13"/>
      <c r="L30" s="14"/>
      <c r="M30" s="14"/>
      <c r="N30" s="14"/>
      <c r="O30" s="14"/>
      <c r="P30" s="14"/>
    </row>
    <row r="31" customFormat="false" ht="23.25" hidden="false" customHeight="true" outlineLevel="0" collapsed="false">
      <c r="A31" s="13" t="s">
        <v>513</v>
      </c>
      <c r="B31" s="13" t="s">
        <v>502</v>
      </c>
      <c r="C31" s="13" t="s">
        <v>514</v>
      </c>
      <c r="D31" s="13" t="s">
        <v>387</v>
      </c>
      <c r="E31" s="13" t="s">
        <v>515</v>
      </c>
      <c r="F31" s="14" t="n">
        <v>2</v>
      </c>
      <c r="G31" s="13" t="s">
        <v>509</v>
      </c>
      <c r="H31" s="13" t="s">
        <v>390</v>
      </c>
      <c r="I31" s="13" t="s">
        <v>79</v>
      </c>
      <c r="J31" s="15" t="str">
        <f aca="false">IF(F31=5,"Y","")</f>
        <v/>
      </c>
      <c r="K31" s="13"/>
      <c r="L31" s="14"/>
      <c r="M31" s="14"/>
      <c r="N31" s="14"/>
      <c r="O31" s="14"/>
      <c r="P31" s="14"/>
    </row>
    <row r="32" customFormat="false" ht="23.25" hidden="false" customHeight="true" outlineLevel="0" collapsed="false">
      <c r="A32" s="13" t="s">
        <v>516</v>
      </c>
      <c r="B32" s="13" t="s">
        <v>502</v>
      </c>
      <c r="C32" s="13" t="s">
        <v>517</v>
      </c>
      <c r="D32" s="13" t="s">
        <v>518</v>
      </c>
      <c r="E32" s="13" t="s">
        <v>519</v>
      </c>
      <c r="F32" s="14" t="n">
        <v>4</v>
      </c>
      <c r="G32" s="13" t="s">
        <v>509</v>
      </c>
      <c r="H32" s="13" t="s">
        <v>431</v>
      </c>
      <c r="I32" s="13" t="s">
        <v>79</v>
      </c>
      <c r="J32" s="15" t="str">
        <f aca="false">IF(F32=5,"Y","")</f>
        <v/>
      </c>
      <c r="K32" s="13"/>
      <c r="L32" s="14"/>
      <c r="M32" s="14"/>
      <c r="N32" s="14"/>
      <c r="O32" s="14"/>
      <c r="P32" s="14"/>
    </row>
    <row r="33" customFormat="false" ht="23.25" hidden="false" customHeight="true" outlineLevel="0" collapsed="false">
      <c r="A33" s="13" t="s">
        <v>520</v>
      </c>
      <c r="B33" s="13" t="s">
        <v>502</v>
      </c>
      <c r="C33" s="13" t="s">
        <v>521</v>
      </c>
      <c r="D33" s="13" t="s">
        <v>402</v>
      </c>
      <c r="E33" s="13" t="s">
        <v>522</v>
      </c>
      <c r="F33" s="14" t="n">
        <v>3</v>
      </c>
      <c r="G33" s="13" t="s">
        <v>509</v>
      </c>
      <c r="H33" s="13" t="s">
        <v>431</v>
      </c>
      <c r="I33" s="13" t="s">
        <v>79</v>
      </c>
      <c r="J33" s="15" t="str">
        <f aca="false">IF(F33=5,"Y","")</f>
        <v/>
      </c>
      <c r="K33" s="13"/>
      <c r="L33" s="14"/>
      <c r="M33" s="14"/>
      <c r="N33" s="14"/>
      <c r="O33" s="14"/>
      <c r="P33" s="14"/>
    </row>
    <row r="34" customFormat="false" ht="23.25" hidden="false" customHeight="true" outlineLevel="0" collapsed="false">
      <c r="A34" s="13" t="s">
        <v>523</v>
      </c>
      <c r="B34" s="13" t="s">
        <v>524</v>
      </c>
      <c r="C34" s="13" t="s">
        <v>525</v>
      </c>
      <c r="D34" s="13" t="s">
        <v>526</v>
      </c>
      <c r="E34" s="13" t="s">
        <v>527</v>
      </c>
      <c r="F34" s="14" t="n">
        <v>5</v>
      </c>
      <c r="G34" s="13" t="s">
        <v>528</v>
      </c>
      <c r="H34" s="13" t="s">
        <v>204</v>
      </c>
      <c r="I34" s="13" t="s">
        <v>79</v>
      </c>
      <c r="J34" s="15" t="str">
        <f aca="false">IF(F34=5,"Y","")</f>
        <v>Y</v>
      </c>
      <c r="K34" s="13"/>
      <c r="L34" s="14"/>
      <c r="M34" s="14"/>
      <c r="N34" s="14"/>
      <c r="O34" s="14"/>
      <c r="P34" s="14"/>
    </row>
    <row r="35" customFormat="false" ht="23.25" hidden="false" customHeight="true" outlineLevel="0" collapsed="false">
      <c r="A35" s="13" t="s">
        <v>529</v>
      </c>
      <c r="B35" s="13" t="s">
        <v>524</v>
      </c>
      <c r="C35" s="13" t="s">
        <v>530</v>
      </c>
      <c r="D35" s="13" t="s">
        <v>531</v>
      </c>
      <c r="E35" s="13" t="s">
        <v>532</v>
      </c>
      <c r="F35" s="14" t="n">
        <v>5</v>
      </c>
      <c r="G35" s="13" t="s">
        <v>533</v>
      </c>
      <c r="H35" s="13" t="s">
        <v>204</v>
      </c>
      <c r="I35" s="13" t="s">
        <v>79</v>
      </c>
      <c r="J35" s="15" t="str">
        <f aca="false">IF(F35=5,"Y","")</f>
        <v>Y</v>
      </c>
      <c r="K35" s="13"/>
      <c r="L35" s="14"/>
      <c r="M35" s="14"/>
      <c r="N35" s="14"/>
      <c r="O35" s="14"/>
      <c r="P35" s="14"/>
    </row>
    <row r="36" customFormat="false" ht="23.25" hidden="false" customHeight="true" outlineLevel="0" collapsed="false">
      <c r="A36" s="13" t="s">
        <v>534</v>
      </c>
      <c r="B36" s="13" t="s">
        <v>524</v>
      </c>
      <c r="C36" s="13" t="s">
        <v>535</v>
      </c>
      <c r="D36" s="13" t="s">
        <v>387</v>
      </c>
      <c r="E36" s="13" t="s">
        <v>536</v>
      </c>
      <c r="F36" s="14" t="n">
        <v>4</v>
      </c>
      <c r="G36" s="13" t="s">
        <v>528</v>
      </c>
      <c r="H36" s="13" t="s">
        <v>204</v>
      </c>
      <c r="I36" s="13" t="s">
        <v>79</v>
      </c>
      <c r="J36" s="15" t="str">
        <f aca="false">IF(F36=5,"Y","")</f>
        <v/>
      </c>
      <c r="K36" s="13"/>
      <c r="L36" s="14"/>
      <c r="M36" s="14"/>
      <c r="N36" s="14"/>
      <c r="O36" s="14"/>
      <c r="P36" s="14"/>
    </row>
    <row r="37" customFormat="false" ht="23.25" hidden="false" customHeight="true" outlineLevel="0" collapsed="false">
      <c r="A37" s="13" t="s">
        <v>537</v>
      </c>
      <c r="B37" s="13" t="s">
        <v>524</v>
      </c>
      <c r="C37" s="13" t="s">
        <v>538</v>
      </c>
      <c r="D37" s="13" t="s">
        <v>402</v>
      </c>
      <c r="E37" s="13" t="s">
        <v>539</v>
      </c>
      <c r="F37" s="14" t="n">
        <v>4</v>
      </c>
      <c r="G37" s="13" t="s">
        <v>540</v>
      </c>
      <c r="H37" s="13" t="s">
        <v>204</v>
      </c>
      <c r="I37" s="13" t="s">
        <v>79</v>
      </c>
      <c r="J37" s="15" t="str">
        <f aca="false">IF(F37=5,"Y","")</f>
        <v/>
      </c>
      <c r="K37" s="13"/>
      <c r="L37" s="14"/>
      <c r="M37" s="14"/>
      <c r="N37" s="14"/>
      <c r="O37" s="14"/>
      <c r="P37" s="14"/>
    </row>
    <row r="38" customFormat="false" ht="23.25" hidden="false" customHeight="true" outlineLevel="0" collapsed="false">
      <c r="A38" s="13" t="s">
        <v>541</v>
      </c>
      <c r="B38" s="13" t="s">
        <v>542</v>
      </c>
      <c r="C38" s="13" t="s">
        <v>543</v>
      </c>
      <c r="D38" s="13" t="s">
        <v>381</v>
      </c>
      <c r="E38" s="13" t="s">
        <v>544</v>
      </c>
      <c r="F38" s="14" t="n">
        <v>4</v>
      </c>
      <c r="G38" s="13" t="s">
        <v>545</v>
      </c>
      <c r="H38" s="13" t="s">
        <v>546</v>
      </c>
      <c r="I38" s="13" t="s">
        <v>79</v>
      </c>
      <c r="J38" s="15" t="str">
        <f aca="false">IF(F38=5,"Y","")</f>
        <v/>
      </c>
      <c r="K38" s="13"/>
      <c r="L38" s="14"/>
      <c r="M38" s="14"/>
      <c r="N38" s="14"/>
      <c r="O38" s="14"/>
      <c r="P38" s="14"/>
    </row>
    <row r="39" customFormat="false" ht="23.25" hidden="false" customHeight="true" outlineLevel="0" collapsed="false">
      <c r="A39" s="13" t="s">
        <v>547</v>
      </c>
      <c r="B39" s="13" t="s">
        <v>542</v>
      </c>
      <c r="C39" s="13" t="s">
        <v>548</v>
      </c>
      <c r="D39" s="13" t="s">
        <v>402</v>
      </c>
      <c r="E39" s="13" t="s">
        <v>549</v>
      </c>
      <c r="F39" s="14" t="n">
        <v>4</v>
      </c>
      <c r="G39" s="13" t="s">
        <v>550</v>
      </c>
      <c r="H39" s="13" t="s">
        <v>546</v>
      </c>
      <c r="I39" s="13" t="s">
        <v>79</v>
      </c>
      <c r="J39" s="15" t="str">
        <f aca="false">IF(F39=5,"Y","")</f>
        <v/>
      </c>
      <c r="K39" s="13"/>
      <c r="L39" s="14"/>
      <c r="M39" s="14"/>
      <c r="N39" s="14"/>
      <c r="O39" s="14"/>
      <c r="P39" s="14"/>
    </row>
    <row r="40" customFormat="false" ht="23.25" hidden="false" customHeight="true" outlineLevel="0" collapsed="false">
      <c r="A40" s="13" t="s">
        <v>551</v>
      </c>
      <c r="B40" s="13" t="s">
        <v>542</v>
      </c>
      <c r="C40" s="13" t="s">
        <v>552</v>
      </c>
      <c r="D40" s="13" t="s">
        <v>387</v>
      </c>
      <c r="E40" s="13" t="s">
        <v>553</v>
      </c>
      <c r="F40" s="14" t="n">
        <v>4</v>
      </c>
      <c r="G40" s="13" t="s">
        <v>554</v>
      </c>
      <c r="H40" s="13" t="s">
        <v>546</v>
      </c>
      <c r="I40" s="13" t="s">
        <v>79</v>
      </c>
      <c r="J40" s="15" t="str">
        <f aca="false">IF(F40=5,"Y","")</f>
        <v/>
      </c>
      <c r="K40" s="13"/>
      <c r="L40" s="14"/>
      <c r="M40" s="14"/>
      <c r="N40" s="14"/>
      <c r="O40" s="14"/>
      <c r="P40" s="14"/>
    </row>
    <row r="41" customFormat="false" ht="23.25" hidden="false" customHeight="true" outlineLevel="0" collapsed="false">
      <c r="A41" s="13" t="s">
        <v>555</v>
      </c>
      <c r="B41" s="13" t="s">
        <v>542</v>
      </c>
      <c r="C41" s="13" t="s">
        <v>556</v>
      </c>
      <c r="D41" s="13" t="s">
        <v>387</v>
      </c>
      <c r="E41" s="13" t="s">
        <v>557</v>
      </c>
      <c r="F41" s="14" t="n">
        <v>4</v>
      </c>
      <c r="G41" s="13" t="s">
        <v>558</v>
      </c>
      <c r="H41" s="13" t="s">
        <v>546</v>
      </c>
      <c r="I41" s="13" t="s">
        <v>79</v>
      </c>
      <c r="J41" s="15" t="str">
        <f aca="false">IF(F41=5,"Y","")</f>
        <v/>
      </c>
      <c r="K41" s="13"/>
      <c r="L41" s="14"/>
      <c r="M41" s="14"/>
      <c r="N41" s="14"/>
      <c r="O41" s="14"/>
      <c r="P41" s="14"/>
    </row>
    <row r="42" customFormat="false" ht="23.25" hidden="false" customHeight="true" outlineLevel="0" collapsed="false">
      <c r="A42" s="13" t="s">
        <v>559</v>
      </c>
      <c r="B42" s="13" t="s">
        <v>542</v>
      </c>
      <c r="C42" s="13" t="s">
        <v>560</v>
      </c>
      <c r="D42" s="13" t="s">
        <v>402</v>
      </c>
      <c r="E42" s="13" t="s">
        <v>561</v>
      </c>
      <c r="F42" s="14" t="n">
        <v>3</v>
      </c>
      <c r="G42" s="13" t="s">
        <v>562</v>
      </c>
      <c r="H42" s="13" t="s">
        <v>546</v>
      </c>
      <c r="I42" s="13" t="s">
        <v>79</v>
      </c>
      <c r="J42" s="15" t="str">
        <f aca="false">IF(F42=5,"Y","")</f>
        <v/>
      </c>
      <c r="K42" s="13"/>
      <c r="L42" s="14"/>
      <c r="M42" s="14"/>
      <c r="N42" s="14"/>
      <c r="O42" s="14"/>
      <c r="P42" s="14"/>
    </row>
    <row r="43" customFormat="false" ht="23.25" hidden="false" customHeight="true" outlineLevel="0" collapsed="false">
      <c r="A43" s="13" t="s">
        <v>563</v>
      </c>
      <c r="B43" s="13" t="s">
        <v>564</v>
      </c>
      <c r="C43" s="13" t="s">
        <v>565</v>
      </c>
      <c r="D43" s="13" t="s">
        <v>566</v>
      </c>
      <c r="E43" s="13" t="s">
        <v>567</v>
      </c>
      <c r="F43" s="14" t="n">
        <v>4</v>
      </c>
      <c r="G43" s="13" t="s">
        <v>562</v>
      </c>
      <c r="H43" s="13" t="s">
        <v>411</v>
      </c>
      <c r="I43" s="13" t="s">
        <v>79</v>
      </c>
      <c r="J43" s="15" t="str">
        <f aca="false">IF(F43=5,"Y","")</f>
        <v/>
      </c>
      <c r="K43" s="13"/>
      <c r="L43" s="14"/>
      <c r="M43" s="14"/>
      <c r="N43" s="14"/>
      <c r="O43" s="14"/>
      <c r="P43" s="14"/>
    </row>
    <row r="44" customFormat="false" ht="23.25" hidden="false" customHeight="true" outlineLevel="0" collapsed="false">
      <c r="A44" s="13" t="s">
        <v>568</v>
      </c>
      <c r="B44" s="13" t="s">
        <v>564</v>
      </c>
      <c r="C44" s="13" t="s">
        <v>569</v>
      </c>
      <c r="D44" s="13" t="s">
        <v>434</v>
      </c>
      <c r="E44" s="13" t="s">
        <v>570</v>
      </c>
      <c r="F44" s="14" t="n">
        <v>4</v>
      </c>
      <c r="G44" s="13" t="s">
        <v>562</v>
      </c>
      <c r="H44" s="13" t="s">
        <v>546</v>
      </c>
      <c r="I44" s="13" t="s">
        <v>79</v>
      </c>
      <c r="J44" s="15" t="str">
        <f aca="false">IF(F44=5,"Y","")</f>
        <v/>
      </c>
      <c r="K44" s="13"/>
      <c r="L44" s="14"/>
      <c r="M44" s="14"/>
      <c r="N44" s="14"/>
      <c r="O44" s="14"/>
      <c r="P44" s="14"/>
    </row>
    <row r="45" customFormat="false" ht="23.25" hidden="false" customHeight="true" outlineLevel="0" collapsed="false">
      <c r="A45" s="13" t="s">
        <v>571</v>
      </c>
      <c r="B45" s="13" t="s">
        <v>564</v>
      </c>
      <c r="C45" s="13" t="s">
        <v>572</v>
      </c>
      <c r="D45" s="13" t="s">
        <v>397</v>
      </c>
      <c r="E45" s="13" t="s">
        <v>573</v>
      </c>
      <c r="F45" s="14" t="n">
        <v>4</v>
      </c>
      <c r="G45" s="13" t="s">
        <v>558</v>
      </c>
      <c r="H45" s="13" t="s">
        <v>411</v>
      </c>
      <c r="I45" s="13" t="s">
        <v>79</v>
      </c>
      <c r="J45" s="15" t="str">
        <f aca="false">IF(F45=5,"Y","")</f>
        <v/>
      </c>
      <c r="K45" s="13"/>
      <c r="L45" s="14"/>
      <c r="M45" s="14"/>
      <c r="N45" s="14"/>
      <c r="O45" s="14"/>
      <c r="P45" s="14"/>
    </row>
    <row r="46" customFormat="false" ht="23.25" hidden="false" customHeight="true" outlineLevel="0" collapsed="false">
      <c r="A46" s="13" t="s">
        <v>574</v>
      </c>
      <c r="B46" s="13" t="s">
        <v>564</v>
      </c>
      <c r="C46" s="13" t="s">
        <v>575</v>
      </c>
      <c r="D46" s="13" t="s">
        <v>387</v>
      </c>
      <c r="E46" s="13" t="s">
        <v>576</v>
      </c>
      <c r="F46" s="14" t="n">
        <v>2</v>
      </c>
      <c r="G46" s="13" t="s">
        <v>577</v>
      </c>
      <c r="H46" s="13" t="s">
        <v>411</v>
      </c>
      <c r="I46" s="13" t="s">
        <v>79</v>
      </c>
      <c r="J46" s="15" t="str">
        <f aca="false">IF(F46=5,"Y","")</f>
        <v/>
      </c>
      <c r="K46" s="13"/>
      <c r="L46" s="14"/>
      <c r="M46" s="14"/>
      <c r="N46" s="14"/>
      <c r="O46" s="14"/>
      <c r="P46" s="14"/>
    </row>
    <row r="47" customFormat="false" ht="23.25" hidden="false" customHeight="true" outlineLevel="0" collapsed="false">
      <c r="A47" s="13" t="s">
        <v>578</v>
      </c>
      <c r="B47" s="13" t="s">
        <v>579</v>
      </c>
      <c r="C47" s="13" t="s">
        <v>580</v>
      </c>
      <c r="D47" s="13" t="s">
        <v>581</v>
      </c>
      <c r="E47" s="13" t="s">
        <v>582</v>
      </c>
      <c r="F47" s="14" t="n">
        <v>4</v>
      </c>
      <c r="G47" s="13" t="s">
        <v>583</v>
      </c>
      <c r="H47" s="13" t="s">
        <v>584</v>
      </c>
      <c r="I47" s="13" t="s">
        <v>79</v>
      </c>
      <c r="J47" s="15" t="str">
        <f aca="false">IF(F47=5,"Y","")</f>
        <v/>
      </c>
      <c r="K47" s="13"/>
      <c r="L47" s="14"/>
      <c r="M47" s="14"/>
      <c r="N47" s="14"/>
      <c r="O47" s="14"/>
      <c r="P47" s="14"/>
    </row>
    <row r="48" customFormat="false" ht="23.25" hidden="false" customHeight="true" outlineLevel="0" collapsed="false">
      <c r="A48" s="13" t="s">
        <v>585</v>
      </c>
      <c r="B48" s="13" t="s">
        <v>579</v>
      </c>
      <c r="C48" s="13" t="s">
        <v>586</v>
      </c>
      <c r="D48" s="13" t="s">
        <v>387</v>
      </c>
      <c r="E48" s="13" t="s">
        <v>587</v>
      </c>
      <c r="F48" s="14" t="n">
        <v>3</v>
      </c>
      <c r="G48" s="13" t="s">
        <v>588</v>
      </c>
      <c r="H48" s="13" t="s">
        <v>584</v>
      </c>
      <c r="I48" s="13" t="s">
        <v>79</v>
      </c>
      <c r="J48" s="15" t="str">
        <f aca="false">IF(F48=5,"Y","")</f>
        <v/>
      </c>
      <c r="K48" s="13"/>
      <c r="L48" s="14"/>
      <c r="M48" s="14"/>
      <c r="N48" s="14"/>
      <c r="O48" s="14"/>
      <c r="P48" s="14"/>
    </row>
    <row r="49" customFormat="false" ht="23.25" hidden="false" customHeight="true" outlineLevel="0" collapsed="false">
      <c r="A49" s="13" t="s">
        <v>589</v>
      </c>
      <c r="B49" s="13" t="s">
        <v>579</v>
      </c>
      <c r="C49" s="13" t="s">
        <v>590</v>
      </c>
      <c r="D49" s="13" t="s">
        <v>402</v>
      </c>
      <c r="E49" s="13" t="s">
        <v>475</v>
      </c>
      <c r="F49" s="14" t="n">
        <v>4</v>
      </c>
      <c r="G49" s="13" t="s">
        <v>583</v>
      </c>
      <c r="H49" s="13" t="s">
        <v>584</v>
      </c>
      <c r="I49" s="13" t="s">
        <v>79</v>
      </c>
      <c r="J49" s="15" t="str">
        <f aca="false">IF(F49=5,"Y","")</f>
        <v/>
      </c>
      <c r="K49" s="13"/>
      <c r="L49" s="14"/>
      <c r="M49" s="14"/>
      <c r="N49" s="14"/>
      <c r="O49" s="14"/>
      <c r="P49" s="14"/>
    </row>
    <row r="50" customFormat="false" ht="23.25" hidden="false" customHeight="true" outlineLevel="0" collapsed="false">
      <c r="A50" s="13" t="s">
        <v>591</v>
      </c>
      <c r="B50" s="13" t="s">
        <v>579</v>
      </c>
      <c r="C50" s="13" t="s">
        <v>592</v>
      </c>
      <c r="D50" s="13" t="s">
        <v>387</v>
      </c>
      <c r="E50" s="13" t="s">
        <v>593</v>
      </c>
      <c r="F50" s="14" t="n">
        <v>3</v>
      </c>
      <c r="G50" s="13" t="s">
        <v>594</v>
      </c>
      <c r="H50" s="13" t="s">
        <v>584</v>
      </c>
      <c r="I50" s="13" t="s">
        <v>79</v>
      </c>
      <c r="J50" s="15" t="str">
        <f aca="false">IF(F50=5,"Y","")</f>
        <v/>
      </c>
      <c r="K50" s="13"/>
      <c r="L50" s="14"/>
      <c r="M50" s="14"/>
      <c r="N50" s="14"/>
      <c r="O50" s="14"/>
      <c r="P50" s="14"/>
    </row>
    <row r="51" customFormat="false" ht="23.25" hidden="false" customHeight="true" outlineLevel="0" collapsed="false">
      <c r="A51" s="13" t="s">
        <v>595</v>
      </c>
      <c r="B51" s="13" t="s">
        <v>596</v>
      </c>
      <c r="C51" s="13" t="s">
        <v>597</v>
      </c>
      <c r="D51" s="13" t="s">
        <v>397</v>
      </c>
      <c r="E51" s="13" t="s">
        <v>598</v>
      </c>
      <c r="F51" s="14" t="n">
        <v>5</v>
      </c>
      <c r="G51" s="13" t="s">
        <v>599</v>
      </c>
      <c r="H51" s="13" t="s">
        <v>600</v>
      </c>
      <c r="I51" s="13" t="s">
        <v>79</v>
      </c>
      <c r="J51" s="15" t="str">
        <f aca="false">IF(F51=5,"Y","")</f>
        <v>Y</v>
      </c>
      <c r="K51" s="13"/>
      <c r="L51" s="14"/>
      <c r="M51" s="14"/>
      <c r="N51" s="14"/>
      <c r="O51" s="14"/>
      <c r="P51" s="14"/>
    </row>
    <row r="52" customFormat="false" ht="23.25" hidden="false" customHeight="true" outlineLevel="0" collapsed="false">
      <c r="A52" s="13" t="s">
        <v>601</v>
      </c>
      <c r="B52" s="13" t="s">
        <v>596</v>
      </c>
      <c r="C52" s="13" t="s">
        <v>602</v>
      </c>
      <c r="D52" s="13" t="s">
        <v>470</v>
      </c>
      <c r="E52" s="13" t="s">
        <v>603</v>
      </c>
      <c r="F52" s="14" t="n">
        <v>5</v>
      </c>
      <c r="G52" s="13" t="s">
        <v>604</v>
      </c>
      <c r="H52" s="13" t="s">
        <v>605</v>
      </c>
      <c r="I52" s="13" t="s">
        <v>79</v>
      </c>
      <c r="J52" s="15" t="str">
        <f aca="false">IF(F52=5,"Y","")</f>
        <v>Y</v>
      </c>
      <c r="K52" s="13" t="s">
        <v>79</v>
      </c>
      <c r="L52" s="14"/>
      <c r="M52" s="14"/>
      <c r="N52" s="14"/>
      <c r="O52" s="14"/>
      <c r="P52" s="14"/>
    </row>
    <row r="53" customFormat="false" ht="23.25" hidden="false" customHeight="true" outlineLevel="0" collapsed="false">
      <c r="A53" s="13" t="s">
        <v>606</v>
      </c>
      <c r="B53" s="13" t="s">
        <v>596</v>
      </c>
      <c r="C53" s="13" t="s">
        <v>607</v>
      </c>
      <c r="D53" s="13" t="s">
        <v>434</v>
      </c>
      <c r="E53" s="13" t="s">
        <v>608</v>
      </c>
      <c r="F53" s="14" t="n">
        <v>4</v>
      </c>
      <c r="G53" s="13" t="s">
        <v>609</v>
      </c>
      <c r="H53" s="13" t="s">
        <v>605</v>
      </c>
      <c r="I53" s="13" t="s">
        <v>79</v>
      </c>
      <c r="J53" s="15" t="str">
        <f aca="false">IF(F53=5,"Y","")</f>
        <v/>
      </c>
      <c r="K53" s="13"/>
      <c r="L53" s="14"/>
      <c r="M53" s="14"/>
      <c r="N53" s="14"/>
      <c r="O53" s="14"/>
      <c r="P53" s="14"/>
    </row>
    <row r="54" customFormat="false" ht="23.25" hidden="false" customHeight="true" outlineLevel="0" collapsed="false">
      <c r="A54" s="13" t="s">
        <v>610</v>
      </c>
      <c r="B54" s="13" t="s">
        <v>596</v>
      </c>
      <c r="C54" s="13" t="s">
        <v>611</v>
      </c>
      <c r="D54" s="13" t="s">
        <v>387</v>
      </c>
      <c r="E54" s="13" t="s">
        <v>612</v>
      </c>
      <c r="F54" s="14" t="n">
        <v>5</v>
      </c>
      <c r="G54" s="13" t="s">
        <v>613</v>
      </c>
      <c r="H54" s="13" t="s">
        <v>614</v>
      </c>
      <c r="I54" s="13" t="s">
        <v>79</v>
      </c>
      <c r="J54" s="15" t="str">
        <f aca="false">IF(F54=5,"Y","")</f>
        <v>Y</v>
      </c>
      <c r="K54" s="13"/>
      <c r="L54" s="14"/>
      <c r="M54" s="14"/>
      <c r="N54" s="14"/>
      <c r="O54" s="14"/>
      <c r="P54" s="14"/>
    </row>
    <row r="55" customFormat="false" ht="23.25" hidden="false" customHeight="true" outlineLevel="0" collapsed="false">
      <c r="A55" s="13" t="s">
        <v>615</v>
      </c>
      <c r="B55" s="13" t="s">
        <v>596</v>
      </c>
      <c r="C55" s="13" t="s">
        <v>616</v>
      </c>
      <c r="D55" s="13" t="s">
        <v>402</v>
      </c>
      <c r="E55" s="13" t="s">
        <v>617</v>
      </c>
      <c r="F55" s="14" t="n">
        <v>3</v>
      </c>
      <c r="G55" s="13" t="s">
        <v>618</v>
      </c>
      <c r="H55" s="13" t="s">
        <v>614</v>
      </c>
      <c r="I55" s="13" t="s">
        <v>79</v>
      </c>
      <c r="J55" s="15" t="str">
        <f aca="false">IF(F55=5,"Y","")</f>
        <v/>
      </c>
      <c r="K55" s="13"/>
      <c r="L55" s="14"/>
      <c r="M55" s="14"/>
      <c r="N55" s="14"/>
      <c r="O55" s="14"/>
      <c r="P55" s="14"/>
    </row>
    <row r="56" customFormat="false" ht="23.25" hidden="false" customHeight="true" outlineLevel="0" collapsed="false">
      <c r="A56" s="13" t="s">
        <v>619</v>
      </c>
      <c r="B56" s="13" t="s">
        <v>620</v>
      </c>
      <c r="C56" s="13" t="s">
        <v>621</v>
      </c>
      <c r="D56" s="13" t="s">
        <v>434</v>
      </c>
      <c r="E56" s="13" t="s">
        <v>622</v>
      </c>
      <c r="F56" s="14" t="n">
        <v>4</v>
      </c>
      <c r="G56" s="13" t="s">
        <v>623</v>
      </c>
      <c r="H56" s="13" t="s">
        <v>624</v>
      </c>
      <c r="I56" s="13" t="s">
        <v>79</v>
      </c>
      <c r="J56" s="15" t="str">
        <f aca="false">IF(F56=5,"Y","")</f>
        <v/>
      </c>
      <c r="K56" s="13"/>
      <c r="L56" s="14"/>
      <c r="M56" s="14"/>
      <c r="N56" s="14"/>
      <c r="O56" s="14"/>
      <c r="P56" s="14"/>
    </row>
    <row r="57" customFormat="false" ht="23.25" hidden="false" customHeight="true" outlineLevel="0" collapsed="false">
      <c r="A57" s="13" t="s">
        <v>625</v>
      </c>
      <c r="B57" s="13" t="s">
        <v>620</v>
      </c>
      <c r="C57" s="13" t="s">
        <v>626</v>
      </c>
      <c r="D57" s="13" t="s">
        <v>434</v>
      </c>
      <c r="E57" s="13" t="s">
        <v>627</v>
      </c>
      <c r="F57" s="14" t="n">
        <v>5</v>
      </c>
      <c r="G57" s="13" t="s">
        <v>628</v>
      </c>
      <c r="H57" s="13" t="s">
        <v>629</v>
      </c>
      <c r="I57" s="13" t="s">
        <v>79</v>
      </c>
      <c r="J57" s="15" t="str">
        <f aca="false">IF(F57=5,"Y","")</f>
        <v>Y</v>
      </c>
      <c r="K57" s="13"/>
      <c r="L57" s="14"/>
      <c r="M57" s="14"/>
      <c r="N57" s="14"/>
      <c r="O57" s="14"/>
      <c r="P57" s="14"/>
    </row>
    <row r="58" customFormat="false" ht="23.25" hidden="false" customHeight="true" outlineLevel="0" collapsed="false">
      <c r="A58" s="13" t="s">
        <v>630</v>
      </c>
      <c r="B58" s="13" t="s">
        <v>620</v>
      </c>
      <c r="C58" s="13" t="s">
        <v>631</v>
      </c>
      <c r="D58" s="13" t="s">
        <v>632</v>
      </c>
      <c r="E58" s="13" t="s">
        <v>633</v>
      </c>
      <c r="F58" s="14" t="n">
        <v>5</v>
      </c>
      <c r="G58" s="13" t="s">
        <v>623</v>
      </c>
      <c r="H58" s="13" t="s">
        <v>629</v>
      </c>
      <c r="I58" s="13" t="s">
        <v>79</v>
      </c>
      <c r="J58" s="15" t="str">
        <f aca="false">IF(F58=5,"Y","")</f>
        <v>Y</v>
      </c>
      <c r="K58" s="13"/>
      <c r="L58" s="14"/>
      <c r="M58" s="14"/>
      <c r="N58" s="14"/>
      <c r="O58" s="14"/>
      <c r="P58" s="14"/>
    </row>
    <row r="59" customFormat="false" ht="23.25" hidden="false" customHeight="true" outlineLevel="0" collapsed="false">
      <c r="A59" s="13" t="s">
        <v>634</v>
      </c>
      <c r="B59" s="13" t="s">
        <v>620</v>
      </c>
      <c r="C59" s="13" t="s">
        <v>635</v>
      </c>
      <c r="D59" s="13" t="s">
        <v>566</v>
      </c>
      <c r="E59" s="13" t="s">
        <v>636</v>
      </c>
      <c r="F59" s="14" t="n">
        <v>4</v>
      </c>
      <c r="G59" s="13" t="s">
        <v>637</v>
      </c>
      <c r="H59" s="13" t="s">
        <v>629</v>
      </c>
      <c r="I59" s="13" t="s">
        <v>79</v>
      </c>
      <c r="J59" s="15" t="str">
        <f aca="false">IF(F59=5,"Y","")</f>
        <v/>
      </c>
      <c r="K59" s="13"/>
      <c r="L59" s="14"/>
      <c r="M59" s="14"/>
      <c r="N59" s="14"/>
      <c r="O59" s="14"/>
      <c r="P59" s="14"/>
    </row>
    <row r="60" customFormat="false" ht="23.25" hidden="false" customHeight="true" outlineLevel="0" collapsed="false">
      <c r="A60" s="13" t="s">
        <v>638</v>
      </c>
      <c r="B60" s="13" t="s">
        <v>620</v>
      </c>
      <c r="C60" s="13" t="s">
        <v>639</v>
      </c>
      <c r="D60" s="13" t="s">
        <v>387</v>
      </c>
      <c r="E60" s="13" t="s">
        <v>640</v>
      </c>
      <c r="F60" s="14" t="n">
        <v>4</v>
      </c>
      <c r="G60" s="13" t="s">
        <v>641</v>
      </c>
      <c r="H60" s="13" t="s">
        <v>629</v>
      </c>
      <c r="I60" s="13" t="s">
        <v>79</v>
      </c>
      <c r="J60" s="15" t="str">
        <f aca="false">IF(F60=5,"Y","")</f>
        <v/>
      </c>
      <c r="K60" s="13"/>
      <c r="L60" s="14"/>
      <c r="M60" s="14"/>
      <c r="N60" s="14"/>
      <c r="O60" s="14"/>
      <c r="P60" s="14"/>
    </row>
    <row r="61" customFormat="false" ht="23.25" hidden="false" customHeight="true" outlineLevel="0" collapsed="false">
      <c r="A61" s="13" t="s">
        <v>642</v>
      </c>
      <c r="B61" s="13" t="s">
        <v>643</v>
      </c>
      <c r="C61" s="13" t="s">
        <v>644</v>
      </c>
      <c r="D61" s="13" t="s">
        <v>387</v>
      </c>
      <c r="E61" s="13" t="s">
        <v>645</v>
      </c>
      <c r="F61" s="14" t="n">
        <v>3</v>
      </c>
      <c r="G61" s="13" t="s">
        <v>646</v>
      </c>
      <c r="H61" s="13" t="s">
        <v>647</v>
      </c>
      <c r="I61" s="13" t="s">
        <v>79</v>
      </c>
      <c r="J61" s="15" t="str">
        <f aca="false">IF(F61=5,"Y","")</f>
        <v/>
      </c>
      <c r="K61" s="13"/>
      <c r="L61" s="14"/>
      <c r="M61" s="14"/>
      <c r="N61" s="14"/>
      <c r="O61" s="14"/>
      <c r="P61" s="14"/>
    </row>
    <row r="62" customFormat="false" ht="23.25" hidden="false" customHeight="true" outlineLevel="0" collapsed="false">
      <c r="A62" s="13" t="s">
        <v>648</v>
      </c>
      <c r="B62" s="13" t="s">
        <v>643</v>
      </c>
      <c r="C62" s="13" t="s">
        <v>649</v>
      </c>
      <c r="D62" s="13" t="s">
        <v>402</v>
      </c>
      <c r="E62" s="13" t="s">
        <v>650</v>
      </c>
      <c r="F62" s="14" t="n">
        <v>3</v>
      </c>
      <c r="G62" s="13" t="s">
        <v>651</v>
      </c>
      <c r="H62" s="13" t="s">
        <v>647</v>
      </c>
      <c r="I62" s="13" t="s">
        <v>79</v>
      </c>
      <c r="J62" s="15" t="str">
        <f aca="false">IF(F62=5,"Y","")</f>
        <v/>
      </c>
      <c r="K62" s="13"/>
      <c r="L62" s="14"/>
      <c r="M62" s="14"/>
      <c r="N62" s="14"/>
      <c r="O62" s="14"/>
      <c r="P62" s="14"/>
    </row>
    <row r="63" customFormat="false" ht="23.25" hidden="false" customHeight="true" outlineLevel="0" collapsed="false">
      <c r="A63" s="13" t="s">
        <v>652</v>
      </c>
      <c r="B63" s="13" t="s">
        <v>643</v>
      </c>
      <c r="C63" s="13" t="s">
        <v>653</v>
      </c>
      <c r="D63" s="13" t="s">
        <v>654</v>
      </c>
      <c r="E63" s="13" t="s">
        <v>655</v>
      </c>
      <c r="F63" s="14" t="n">
        <v>3</v>
      </c>
      <c r="G63" s="13" t="s">
        <v>656</v>
      </c>
      <c r="H63" s="13" t="s">
        <v>647</v>
      </c>
      <c r="I63" s="13" t="s">
        <v>79</v>
      </c>
      <c r="J63" s="15" t="str">
        <f aca="false">IF(F63=5,"Y","")</f>
        <v/>
      </c>
      <c r="K63" s="13"/>
      <c r="L63" s="14"/>
      <c r="M63" s="14"/>
      <c r="N63" s="14"/>
      <c r="O63" s="14"/>
      <c r="P63" s="14"/>
    </row>
    <row r="64" customFormat="false" ht="23.25" hidden="false" customHeight="true" outlineLevel="0" collapsed="false">
      <c r="A64" s="13" t="s">
        <v>657</v>
      </c>
      <c r="B64" s="13" t="s">
        <v>643</v>
      </c>
      <c r="C64" s="13" t="s">
        <v>658</v>
      </c>
      <c r="D64" s="13" t="s">
        <v>387</v>
      </c>
      <c r="E64" s="13" t="s">
        <v>659</v>
      </c>
      <c r="F64" s="14" t="n">
        <v>2</v>
      </c>
      <c r="G64" s="13" t="s">
        <v>656</v>
      </c>
      <c r="H64" s="13" t="s">
        <v>647</v>
      </c>
      <c r="I64" s="13" t="s">
        <v>79</v>
      </c>
      <c r="J64" s="15" t="str">
        <f aca="false">IF(F64=5,"Y","")</f>
        <v/>
      </c>
      <c r="K64" s="13"/>
      <c r="L64" s="14"/>
      <c r="M64" s="14"/>
      <c r="N64" s="14"/>
      <c r="O64" s="14"/>
      <c r="P64" s="14"/>
    </row>
    <row r="65" customFormat="false" ht="23.25" hidden="false" customHeight="true" outlineLevel="0" collapsed="false">
      <c r="A65" s="13" t="s">
        <v>660</v>
      </c>
      <c r="B65" s="13" t="s">
        <v>661</v>
      </c>
      <c r="C65" s="13" t="s">
        <v>662</v>
      </c>
      <c r="D65" s="13" t="s">
        <v>434</v>
      </c>
      <c r="E65" s="13" t="s">
        <v>663</v>
      </c>
      <c r="F65" s="14" t="n">
        <v>3</v>
      </c>
      <c r="G65" s="13" t="s">
        <v>664</v>
      </c>
      <c r="H65" s="13" t="s">
        <v>624</v>
      </c>
      <c r="I65" s="13" t="s">
        <v>79</v>
      </c>
      <c r="J65" s="15" t="str">
        <f aca="false">IF(F65=5,"Y","")</f>
        <v/>
      </c>
      <c r="K65" s="13"/>
      <c r="L65" s="14"/>
      <c r="M65" s="14"/>
      <c r="N65" s="14"/>
      <c r="O65" s="14"/>
      <c r="P65" s="14"/>
    </row>
    <row r="66" customFormat="false" ht="23.25" hidden="false" customHeight="true" outlineLevel="0" collapsed="false">
      <c r="A66" s="13" t="s">
        <v>665</v>
      </c>
      <c r="B66" s="13" t="s">
        <v>661</v>
      </c>
      <c r="C66" s="13" t="s">
        <v>666</v>
      </c>
      <c r="D66" s="13" t="s">
        <v>402</v>
      </c>
      <c r="E66" s="13" t="s">
        <v>667</v>
      </c>
      <c r="F66" s="14" t="n">
        <v>3</v>
      </c>
      <c r="G66" s="13" t="s">
        <v>668</v>
      </c>
      <c r="H66" s="13" t="s">
        <v>624</v>
      </c>
      <c r="I66" s="13" t="s">
        <v>79</v>
      </c>
      <c r="J66" s="15" t="str">
        <f aca="false">IF(F66=5,"Y","")</f>
        <v/>
      </c>
      <c r="K66" s="13"/>
      <c r="L66" s="14"/>
      <c r="M66" s="14"/>
      <c r="N66" s="14"/>
      <c r="O66" s="14"/>
      <c r="P66" s="14"/>
    </row>
    <row r="67" customFormat="false" ht="23.25" hidden="false" customHeight="true" outlineLevel="0" collapsed="false">
      <c r="A67" s="13" t="s">
        <v>669</v>
      </c>
      <c r="B67" s="13" t="s">
        <v>661</v>
      </c>
      <c r="C67" s="13" t="s">
        <v>670</v>
      </c>
      <c r="D67" s="13" t="s">
        <v>387</v>
      </c>
      <c r="E67" s="13" t="s">
        <v>671</v>
      </c>
      <c r="F67" s="14" t="n">
        <v>2</v>
      </c>
      <c r="G67" s="13" t="s">
        <v>672</v>
      </c>
      <c r="H67" s="13" t="s">
        <v>482</v>
      </c>
      <c r="I67" s="13" t="s">
        <v>79</v>
      </c>
      <c r="J67" s="15" t="str">
        <f aca="false">IF(F67=5,"Y","")</f>
        <v/>
      </c>
      <c r="K67" s="13"/>
      <c r="L67" s="14"/>
      <c r="M67" s="14"/>
      <c r="N67" s="14"/>
      <c r="O67" s="14"/>
      <c r="P67" s="14"/>
    </row>
    <row r="68" customFormat="false" ht="23.25" hidden="false" customHeight="true" outlineLevel="0" collapsed="false">
      <c r="A68" s="13" t="s">
        <v>673</v>
      </c>
      <c r="B68" s="13" t="s">
        <v>674</v>
      </c>
      <c r="C68" s="13" t="s">
        <v>675</v>
      </c>
      <c r="D68" s="13" t="s">
        <v>387</v>
      </c>
      <c r="E68" s="13" t="s">
        <v>676</v>
      </c>
      <c r="F68" s="14" t="n">
        <v>5</v>
      </c>
      <c r="G68" s="13" t="s">
        <v>677</v>
      </c>
      <c r="H68" s="13" t="s">
        <v>204</v>
      </c>
      <c r="I68" s="13" t="s">
        <v>79</v>
      </c>
      <c r="J68" s="15" t="str">
        <f aca="false">IF(F68=5,"Y","")</f>
        <v>Y</v>
      </c>
      <c r="K68" s="13"/>
      <c r="L68" s="14"/>
      <c r="M68" s="14"/>
      <c r="N68" s="14"/>
      <c r="O68" s="14"/>
      <c r="P68" s="14"/>
    </row>
    <row r="69" customFormat="false" ht="23.25" hidden="false" customHeight="true" outlineLevel="0" collapsed="false">
      <c r="A69" s="13" t="s">
        <v>678</v>
      </c>
      <c r="B69" s="13" t="s">
        <v>674</v>
      </c>
      <c r="C69" s="13" t="s">
        <v>679</v>
      </c>
      <c r="D69" s="13" t="s">
        <v>402</v>
      </c>
      <c r="E69" s="13" t="s">
        <v>680</v>
      </c>
      <c r="F69" s="14" t="n">
        <v>5</v>
      </c>
      <c r="G69" s="13" t="s">
        <v>681</v>
      </c>
      <c r="H69" s="13" t="s">
        <v>204</v>
      </c>
      <c r="I69" s="13" t="s">
        <v>79</v>
      </c>
      <c r="J69" s="15" t="str">
        <f aca="false">IF(F69=5,"Y","")</f>
        <v>Y</v>
      </c>
      <c r="K69" s="13" t="s">
        <v>79</v>
      </c>
      <c r="L69" s="14"/>
      <c r="M69" s="14"/>
      <c r="N69" s="14"/>
      <c r="O69" s="14"/>
      <c r="P69" s="14"/>
    </row>
    <row r="70" customFormat="false" ht="23.25" hidden="false" customHeight="true" outlineLevel="0" collapsed="false">
      <c r="A70" s="13" t="s">
        <v>682</v>
      </c>
      <c r="B70" s="13" t="s">
        <v>674</v>
      </c>
      <c r="C70" s="13" t="s">
        <v>683</v>
      </c>
      <c r="D70" s="13" t="s">
        <v>387</v>
      </c>
      <c r="E70" s="13" t="s">
        <v>684</v>
      </c>
      <c r="F70" s="14" t="n">
        <v>5</v>
      </c>
      <c r="G70" s="13" t="s">
        <v>505</v>
      </c>
      <c r="H70" s="13" t="s">
        <v>204</v>
      </c>
      <c r="I70" s="13" t="s">
        <v>79</v>
      </c>
      <c r="J70" s="15" t="str">
        <f aca="false">IF(F70=5,"Y","")</f>
        <v>Y</v>
      </c>
      <c r="K70" s="13"/>
      <c r="L70" s="14"/>
      <c r="M70" s="14"/>
      <c r="N70" s="14"/>
      <c r="O70" s="14"/>
      <c r="P70" s="14"/>
    </row>
    <row r="71" customFormat="false" ht="23.25" hidden="false" customHeight="true" outlineLevel="0" collapsed="false">
      <c r="A71" s="13" t="s">
        <v>685</v>
      </c>
      <c r="B71" s="13" t="s">
        <v>674</v>
      </c>
      <c r="C71" s="13" t="s">
        <v>686</v>
      </c>
      <c r="D71" s="13" t="s">
        <v>434</v>
      </c>
      <c r="E71" s="13" t="s">
        <v>687</v>
      </c>
      <c r="F71" s="14" t="n">
        <v>5</v>
      </c>
      <c r="G71" s="13" t="s">
        <v>424</v>
      </c>
      <c r="H71" s="13" t="s">
        <v>204</v>
      </c>
      <c r="I71" s="13" t="s">
        <v>79</v>
      </c>
      <c r="J71" s="15" t="str">
        <f aca="false">IF(F71=5,"Y","")</f>
        <v>Y</v>
      </c>
      <c r="K71" s="13"/>
      <c r="L71" s="14"/>
      <c r="M71" s="14"/>
      <c r="N71" s="14"/>
      <c r="O71" s="14"/>
      <c r="P71" s="14"/>
    </row>
    <row r="72" customFormat="false" ht="23.25" hidden="false" customHeight="true" outlineLevel="0" collapsed="false">
      <c r="A72" s="13" t="s">
        <v>688</v>
      </c>
      <c r="B72" s="13" t="s">
        <v>689</v>
      </c>
      <c r="C72" s="13" t="s">
        <v>690</v>
      </c>
      <c r="D72" s="13" t="s">
        <v>387</v>
      </c>
      <c r="E72" s="13" t="s">
        <v>532</v>
      </c>
      <c r="F72" s="14" t="n">
        <v>3</v>
      </c>
      <c r="G72" s="13" t="s">
        <v>691</v>
      </c>
      <c r="H72" s="13" t="s">
        <v>204</v>
      </c>
      <c r="I72" s="13" t="s">
        <v>79</v>
      </c>
      <c r="J72" s="15" t="str">
        <f aca="false">IF(F72=5,"Y","")</f>
        <v/>
      </c>
      <c r="K72" s="13"/>
      <c r="L72" s="14"/>
      <c r="M72" s="14"/>
      <c r="N72" s="14"/>
      <c r="O72" s="14"/>
      <c r="P72" s="14"/>
    </row>
    <row r="73" customFormat="false" ht="23.25" hidden="false" customHeight="true" outlineLevel="0" collapsed="false">
      <c r="A73" s="13" t="s">
        <v>692</v>
      </c>
      <c r="B73" s="13" t="s">
        <v>689</v>
      </c>
      <c r="C73" s="13" t="s">
        <v>693</v>
      </c>
      <c r="D73" s="13" t="s">
        <v>387</v>
      </c>
      <c r="E73" s="13" t="s">
        <v>694</v>
      </c>
      <c r="F73" s="14" t="n">
        <v>3</v>
      </c>
      <c r="G73" s="13" t="s">
        <v>540</v>
      </c>
      <c r="H73" s="13" t="s">
        <v>204</v>
      </c>
      <c r="I73" s="13" t="s">
        <v>79</v>
      </c>
      <c r="J73" s="15" t="str">
        <f aca="false">IF(F73=5,"Y","")</f>
        <v/>
      </c>
      <c r="K73" s="13"/>
      <c r="L73" s="14"/>
      <c r="M73" s="14"/>
      <c r="N73" s="14"/>
      <c r="O73" s="14"/>
      <c r="P73" s="14"/>
    </row>
    <row r="74" customFormat="false" ht="23.25" hidden="false" customHeight="true" outlineLevel="0" collapsed="false">
      <c r="A74" s="13" t="s">
        <v>695</v>
      </c>
      <c r="B74" s="13" t="s">
        <v>689</v>
      </c>
      <c r="C74" s="13" t="s">
        <v>696</v>
      </c>
      <c r="D74" s="13" t="s">
        <v>531</v>
      </c>
      <c r="E74" s="13" t="s">
        <v>697</v>
      </c>
      <c r="F74" s="14" t="n">
        <v>5</v>
      </c>
      <c r="G74" s="13" t="s">
        <v>698</v>
      </c>
      <c r="H74" s="13" t="s">
        <v>204</v>
      </c>
      <c r="I74" s="13" t="s">
        <v>79</v>
      </c>
      <c r="J74" s="15" t="str">
        <f aca="false">IF(F74=5,"Y","")</f>
        <v>Y</v>
      </c>
      <c r="K74" s="13" t="s">
        <v>79</v>
      </c>
      <c r="L74" s="14"/>
      <c r="M74" s="14"/>
      <c r="N74" s="14"/>
      <c r="O74" s="14"/>
      <c r="P74" s="14"/>
    </row>
    <row r="75" customFormat="false" ht="23.25" hidden="false" customHeight="true" outlineLevel="0" collapsed="false">
      <c r="A75" s="13" t="s">
        <v>699</v>
      </c>
      <c r="B75" s="13" t="s">
        <v>689</v>
      </c>
      <c r="C75" s="13" t="s">
        <v>700</v>
      </c>
      <c r="D75" s="13" t="s">
        <v>387</v>
      </c>
      <c r="E75" s="13" t="s">
        <v>532</v>
      </c>
      <c r="F75" s="14" t="n">
        <v>3</v>
      </c>
      <c r="G75" s="13" t="s">
        <v>540</v>
      </c>
      <c r="H75" s="13" t="s">
        <v>204</v>
      </c>
      <c r="I75" s="13" t="s">
        <v>79</v>
      </c>
      <c r="J75" s="15" t="str">
        <f aca="false">IF(F75=5,"Y","")</f>
        <v/>
      </c>
      <c r="K75" s="13"/>
      <c r="L75" s="14"/>
      <c r="M75" s="14"/>
      <c r="N75" s="14"/>
      <c r="O75" s="14"/>
      <c r="P75" s="14"/>
    </row>
    <row r="77" customFormat="false" ht="15" hidden="false" customHeight="true" outlineLevel="0" collapsed="false">
      <c r="E77" s="22" t="s">
        <v>701</v>
      </c>
      <c r="F77" s="23" t="n">
        <f aca="false">SUM(F2:F75)</f>
        <v>288</v>
      </c>
    </row>
    <row r="78" customFormat="false" ht="15" hidden="false" customHeight="true" outlineLevel="0" collapsed="false">
      <c r="E78" s="22" t="s">
        <v>702</v>
      </c>
      <c r="F78" s="23" t="n">
        <f aca="false">COUNTIF(J2:J75,"Y")</f>
        <v>24</v>
      </c>
    </row>
    <row r="79" customFormat="false" ht="15" hidden="false" customHeight="true" outlineLevel="0" collapsed="false">
      <c r="E79" s="22" t="s">
        <v>703</v>
      </c>
      <c r="F79" s="23" t="n">
        <f aca="false">COUNTIF(K2:K75,"Y")</f>
        <v>6</v>
      </c>
    </row>
  </sheetData>
  <autoFilter ref="A1:P75"/>
  <dataValidations count="3">
    <dataValidation allowBlank="true" error="Enter a whole number from 1 to 5." errorStyle="stop" errorTitle="Out of range" operator="between" showDropDown="false" showErrorMessage="true" showInputMessage="false" sqref="F2:F75" type="whole">
      <formula1>1</formula1>
      <formula2>5</formula2>
    </dataValidation>
    <dataValidation allowBlank="true" error="Pick a value from the dropdown." errorStyle="stop" errorTitle="Use a listed value" operator="between" showDropDown="false" showErrorMessage="true" showInputMessage="false" sqref="N2:N75" type="list">
      <formula1>"Met,Partial,Not Met,N/A"</formula1>
      <formula2>0</formula2>
    </dataValidation>
    <dataValidation allowBlank="true" error="Pick a value from the dropdown." errorStyle="stop" errorTitle="Use a listed value" operator="between" showDropDown="false" showErrorMessage="true" showInputMessage="false" sqref="M2:M7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6"/>
    <col collapsed="false" customWidth="true" hidden="false" outlineLevel="0" max="4" min="4" style="1" width="10"/>
    <col collapsed="false" customWidth="true" hidden="false" outlineLevel="0" max="5" min="5" style="1" width="7"/>
    <col collapsed="false" customWidth="true" hidden="false" outlineLevel="0" max="6" min="6" style="1" width="8"/>
    <col collapsed="false" customWidth="true" hidden="false" outlineLevel="0" max="7" min="7" style="1" width="9"/>
    <col collapsed="false" customWidth="true" hidden="false" outlineLevel="0" max="8" min="8" style="1" width="7"/>
    <col collapsed="false" customWidth="true" hidden="false" outlineLevel="0" max="10" min="9" style="1" width="11"/>
    <col collapsed="false" customWidth="true" hidden="false" outlineLevel="0" max="13" min="11" style="1" width="10"/>
    <col collapsed="false" customWidth="true" hidden="false" outlineLevel="0" max="14" min="14" style="1" width="20"/>
    <col collapsed="false" customWidth="true" hidden="false" outlineLevel="0" max="15" min="15" style="1" width="34"/>
    <col collapsed="false" customWidth="true" hidden="false" outlineLevel="0" max="17" min="16" style="1" width="10"/>
    <col collapsed="false" customWidth="true" hidden="false" outlineLevel="0" max="18" min="18" style="1" width="18"/>
  </cols>
  <sheetData>
    <row r="1" customFormat="false" ht="18" hidden="false" customHeight="true" outlineLevel="0" collapsed="false">
      <c r="A1" s="17" t="s">
        <v>704</v>
      </c>
    </row>
    <row r="2" customFormat="false" ht="15" hidden="false" customHeight="true" outlineLevel="0" collapsed="false">
      <c r="A2" s="24" t="s">
        <v>705</v>
      </c>
    </row>
    <row r="4" customFormat="false" ht="33.75" hidden="false" customHeight="true" outlineLevel="0" collapsed="false">
      <c r="A4" s="12" t="s">
        <v>706</v>
      </c>
      <c r="B4" s="12" t="s">
        <v>707</v>
      </c>
      <c r="C4" s="12" t="s">
        <v>56</v>
      </c>
      <c r="D4" s="12" t="s">
        <v>708</v>
      </c>
      <c r="E4" s="12" t="s">
        <v>709</v>
      </c>
      <c r="F4" s="12" t="s">
        <v>710</v>
      </c>
      <c r="G4" s="12" t="s">
        <v>711</v>
      </c>
      <c r="H4" s="12" t="s">
        <v>712</v>
      </c>
      <c r="I4" s="12" t="s">
        <v>713</v>
      </c>
      <c r="J4" s="12" t="s">
        <v>714</v>
      </c>
      <c r="K4" s="12" t="s">
        <v>715</v>
      </c>
      <c r="L4" s="12" t="s">
        <v>716</v>
      </c>
      <c r="M4" s="12" t="s">
        <v>717</v>
      </c>
      <c r="N4" s="12" t="s">
        <v>718</v>
      </c>
      <c r="O4" s="12" t="s">
        <v>719</v>
      </c>
      <c r="P4" s="12" t="s">
        <v>720</v>
      </c>
      <c r="Q4" s="12" t="s">
        <v>721</v>
      </c>
      <c r="R4" s="12" t="s">
        <v>722</v>
      </c>
    </row>
    <row r="5" customFormat="false" ht="15" hidden="false" customHeight="true" outlineLevel="0" collapsed="false">
      <c r="A5" s="13" t="s">
        <v>723</v>
      </c>
      <c r="B5" s="13" t="s">
        <v>724</v>
      </c>
      <c r="C5" s="13" t="n">
        <v>1</v>
      </c>
      <c r="D5" s="14" t="n">
        <v>74</v>
      </c>
      <c r="E5" s="14" t="n">
        <v>41</v>
      </c>
      <c r="F5" s="14" t="n">
        <v>14</v>
      </c>
      <c r="G5" s="14" t="n">
        <v>17</v>
      </c>
      <c r="H5" s="14" t="n">
        <v>2</v>
      </c>
      <c r="I5" s="15" t="str">
        <f aca="false">IF(E5+F5+G5+H5=D5,"Yes","NO")</f>
        <v>Yes</v>
      </c>
      <c r="J5" s="14" t="n">
        <v>98.5</v>
      </c>
      <c r="K5" s="14" t="n">
        <v>282</v>
      </c>
      <c r="L5" s="20" t="n">
        <f aca="false">1-J5/K5</f>
        <v>0.650709219858156</v>
      </c>
      <c r="M5" s="14" t="n">
        <v>7</v>
      </c>
      <c r="N5" s="23" t="str">
        <f aca="false">IF(OR(L5&lt;0.75,M5&gt;=2),"Fail",IF(OR(L5&lt;0.9,M5=1),"Pass with conditions","Pass"))</f>
        <v>Fail</v>
      </c>
      <c r="O5" s="14" t="s">
        <v>725</v>
      </c>
      <c r="P5" s="14" t="n">
        <v>12</v>
      </c>
      <c r="Q5" s="14" t="n">
        <v>12</v>
      </c>
      <c r="R5" s="13" t="s">
        <v>726</v>
      </c>
    </row>
    <row r="6" customFormat="false" ht="15" hidden="false" customHeight="true" outlineLevel="0" collapsed="false">
      <c r="A6" s="13" t="s">
        <v>727</v>
      </c>
      <c r="B6" s="13" t="s">
        <v>728</v>
      </c>
      <c r="C6" s="13" t="n">
        <v>1</v>
      </c>
      <c r="D6" s="14" t="n">
        <v>74</v>
      </c>
      <c r="E6" s="14" t="n">
        <v>62</v>
      </c>
      <c r="F6" s="14" t="n">
        <v>9</v>
      </c>
      <c r="G6" s="14" t="n">
        <v>3</v>
      </c>
      <c r="H6" s="14" t="n">
        <v>0</v>
      </c>
      <c r="I6" s="15" t="str">
        <f aca="false">IF(E6+F6+G6+H6=D6,"Yes","NO")</f>
        <v>Yes</v>
      </c>
      <c r="J6" s="14" t="n">
        <v>32</v>
      </c>
      <c r="K6" s="14" t="n">
        <v>288</v>
      </c>
      <c r="L6" s="20" t="n">
        <f aca="false">1-J6/K6</f>
        <v>0.888888888888889</v>
      </c>
      <c r="M6" s="14" t="n">
        <v>0</v>
      </c>
      <c r="N6" s="23" t="str">
        <f aca="false">IF(OR(L6&lt;0.75,M6&gt;=2),"Fail",IF(OR(L6&lt;0.9,M6=1),"Pass with conditions","Pass"))</f>
        <v>Pass with conditions</v>
      </c>
      <c r="O6" s="14" t="s">
        <v>729</v>
      </c>
      <c r="P6" s="14" t="n">
        <v>10</v>
      </c>
      <c r="Q6" s="14" t="n">
        <v>8</v>
      </c>
      <c r="R6" s="13" t="s">
        <v>730</v>
      </c>
    </row>
    <row r="7" customFormat="false" ht="23.25" hidden="false" customHeight="true" outlineLevel="0" collapsed="false">
      <c r="A7" s="13" t="s">
        <v>731</v>
      </c>
      <c r="B7" s="13" t="s">
        <v>732</v>
      </c>
      <c r="C7" s="13" t="n">
        <v>3</v>
      </c>
      <c r="D7" s="14" t="n">
        <v>6</v>
      </c>
      <c r="E7" s="14" t="n">
        <v>5</v>
      </c>
      <c r="F7" s="14" t="n">
        <v>1</v>
      </c>
      <c r="G7" s="14" t="n">
        <v>0</v>
      </c>
      <c r="H7" s="14" t="n">
        <v>0</v>
      </c>
      <c r="I7" s="15" t="str">
        <f aca="false">IF(E7+F7+G7+H7=D7,"Yes","NO")</f>
        <v>Yes</v>
      </c>
      <c r="J7" s="14" t="n">
        <v>2.5</v>
      </c>
      <c r="K7" s="14" t="n">
        <v>30</v>
      </c>
      <c r="L7" s="20" t="n">
        <f aca="false">1-J7/K7</f>
        <v>0.916666666666667</v>
      </c>
      <c r="M7" s="14" t="n">
        <v>0</v>
      </c>
      <c r="N7" s="23" t="str">
        <f aca="false">IF(OR(L7&lt;0.75,M7&gt;=2),"Fail",IF(OR(L7&lt;0.9,M7=1),"Pass with conditions","Pass"))</f>
        <v>Pass</v>
      </c>
      <c r="O7" s="14" t="s">
        <v>733</v>
      </c>
      <c r="P7" s="14" t="n">
        <v>4</v>
      </c>
      <c r="Q7" s="14" t="n">
        <v>4</v>
      </c>
      <c r="R7" s="13" t="s">
        <v>734</v>
      </c>
    </row>
    <row r="9" customFormat="false" ht="74.25" hidden="false" customHeight="true" outlineLevel="0" collapsed="false">
      <c r="A9" s="25" t="s">
        <v>735</v>
      </c>
    </row>
    <row r="11" customFormat="false" ht="15" hidden="false" customHeight="true" outlineLevel="0" collapsed="false">
      <c r="A11" s="18" t="s">
        <v>736</v>
      </c>
    </row>
    <row r="12" customFormat="false" ht="33.75" hidden="false" customHeight="true" outlineLevel="0" collapsed="false">
      <c r="A12" s="12" t="s">
        <v>737</v>
      </c>
      <c r="B12" s="12" t="s">
        <v>738</v>
      </c>
      <c r="C12" s="12" t="s">
        <v>739</v>
      </c>
      <c r="D12" s="12" t="s">
        <v>740</v>
      </c>
      <c r="E12" s="12" t="s">
        <v>741</v>
      </c>
      <c r="F12" s="12" t="s">
        <v>742</v>
      </c>
    </row>
    <row r="13" customFormat="false" ht="561" hidden="false" customHeight="true" outlineLevel="0" collapsed="false">
      <c r="A13" s="13" t="s">
        <v>743</v>
      </c>
      <c r="B13" s="13" t="s">
        <v>324</v>
      </c>
      <c r="C13" s="13" t="s">
        <v>744</v>
      </c>
      <c r="D13" s="13" t="s">
        <v>745</v>
      </c>
      <c r="E13" s="13" t="s">
        <v>746</v>
      </c>
      <c r="F13" s="13" t="s">
        <v>747</v>
      </c>
    </row>
    <row r="14" customFormat="false" ht="493.5" hidden="false" customHeight="true" outlineLevel="0" collapsed="false">
      <c r="A14" s="13" t="s">
        <v>748</v>
      </c>
      <c r="B14" s="13" t="s">
        <v>324</v>
      </c>
      <c r="C14" s="13" t="s">
        <v>749</v>
      </c>
      <c r="D14" s="13" t="s">
        <v>750</v>
      </c>
      <c r="E14" s="13" t="s">
        <v>751</v>
      </c>
      <c r="F14" s="13" t="s">
        <v>752</v>
      </c>
    </row>
    <row r="15" customFormat="false" ht="370.5" hidden="false" customHeight="true" outlineLevel="0" collapsed="false">
      <c r="A15" s="13" t="s">
        <v>753</v>
      </c>
      <c r="B15" s="13" t="s">
        <v>754</v>
      </c>
      <c r="C15" s="13" t="s">
        <v>755</v>
      </c>
      <c r="D15" s="13" t="s">
        <v>756</v>
      </c>
      <c r="E15" s="13" t="s">
        <v>757</v>
      </c>
      <c r="F15" s="13" t="s">
        <v>758</v>
      </c>
    </row>
    <row r="16" customFormat="false" ht="325.5" hidden="false" customHeight="true" outlineLevel="0" collapsed="false">
      <c r="A16" s="13" t="s">
        <v>759</v>
      </c>
      <c r="B16" s="13" t="s">
        <v>754</v>
      </c>
      <c r="C16" s="13" t="s">
        <v>760</v>
      </c>
      <c r="D16" s="13" t="s">
        <v>761</v>
      </c>
      <c r="E16" s="13" t="s">
        <v>762</v>
      </c>
      <c r="F16" s="13" t="s">
        <v>763</v>
      </c>
    </row>
    <row r="17" customFormat="false" ht="336.75" hidden="false" customHeight="true" outlineLevel="0" collapsed="false">
      <c r="A17" s="13" t="s">
        <v>764</v>
      </c>
      <c r="B17" s="13" t="s">
        <v>754</v>
      </c>
      <c r="C17" s="13" t="s">
        <v>765</v>
      </c>
      <c r="D17" s="13" t="s">
        <v>766</v>
      </c>
      <c r="E17" s="13" t="s">
        <v>767</v>
      </c>
      <c r="F17" s="13" t="s">
        <v>768</v>
      </c>
    </row>
    <row r="18" customFormat="false" ht="292.5" hidden="false" customHeight="true" outlineLevel="0" collapsed="false">
      <c r="A18" s="13" t="s">
        <v>769</v>
      </c>
      <c r="B18" s="13" t="s">
        <v>770</v>
      </c>
      <c r="C18" s="13" t="s">
        <v>771</v>
      </c>
      <c r="D18" s="13" t="s">
        <v>436</v>
      </c>
      <c r="E18" s="13" t="s">
        <v>772</v>
      </c>
      <c r="F18" s="13" t="s">
        <v>773</v>
      </c>
    </row>
    <row r="19" customFormat="false" ht="225" hidden="false" customHeight="true" outlineLevel="0" collapsed="false">
      <c r="A19" s="13" t="s">
        <v>774</v>
      </c>
      <c r="B19" s="13" t="s">
        <v>770</v>
      </c>
      <c r="C19" s="13" t="s">
        <v>775</v>
      </c>
      <c r="D19" s="13" t="s">
        <v>776</v>
      </c>
      <c r="E19" s="13" t="s">
        <v>777</v>
      </c>
      <c r="F19" s="13" t="s">
        <v>778</v>
      </c>
    </row>
    <row r="20" customFormat="false" ht="247.5" hidden="false" customHeight="true" outlineLevel="0" collapsed="false">
      <c r="A20" s="13" t="s">
        <v>779</v>
      </c>
      <c r="B20" s="13" t="s">
        <v>770</v>
      </c>
      <c r="C20" s="13" t="s">
        <v>780</v>
      </c>
      <c r="D20" s="13" t="s">
        <v>589</v>
      </c>
      <c r="E20" s="13" t="s">
        <v>781</v>
      </c>
      <c r="F20" s="13" t="s">
        <v>782</v>
      </c>
    </row>
    <row r="21" customFormat="false" ht="157.5" hidden="false" customHeight="true" outlineLevel="0" collapsed="false">
      <c r="A21" s="13" t="s">
        <v>783</v>
      </c>
      <c r="B21" s="13" t="s">
        <v>784</v>
      </c>
      <c r="C21" s="13" t="s">
        <v>785</v>
      </c>
      <c r="D21" s="13" t="s">
        <v>688</v>
      </c>
      <c r="E21" s="13" t="s">
        <v>786</v>
      </c>
      <c r="F21" s="13" t="s">
        <v>787</v>
      </c>
    </row>
    <row r="24" customFormat="false" ht="15" hidden="false" customHeight="true" outlineLevel="0" collapsed="false">
      <c r="A24" s="18" t="s">
        <v>788</v>
      </c>
    </row>
    <row r="25" customFormat="false" ht="33.75" hidden="false" customHeight="true" outlineLevel="0" collapsed="false">
      <c r="A25" s="12" t="s">
        <v>789</v>
      </c>
      <c r="B25" s="12" t="s">
        <v>790</v>
      </c>
      <c r="C25" s="12" t="s">
        <v>791</v>
      </c>
      <c r="D25" s="12" t="s">
        <v>792</v>
      </c>
      <c r="E25" s="12" t="s">
        <v>793</v>
      </c>
      <c r="F25" s="12" t="s">
        <v>794</v>
      </c>
    </row>
    <row r="26" customFormat="false" ht="90.75" hidden="false" customHeight="true" outlineLevel="0" collapsed="false">
      <c r="A26" s="13" t="s">
        <v>795</v>
      </c>
      <c r="B26" s="13" t="s">
        <v>743</v>
      </c>
      <c r="C26" s="13" t="s">
        <v>74</v>
      </c>
      <c r="D26" s="13" t="s">
        <v>796</v>
      </c>
      <c r="E26" s="13" t="s">
        <v>797</v>
      </c>
      <c r="F26" s="13" t="s">
        <v>798</v>
      </c>
    </row>
    <row r="27" customFormat="false" ht="113.25" hidden="false" customHeight="true" outlineLevel="0" collapsed="false">
      <c r="A27" s="13" t="s">
        <v>799</v>
      </c>
      <c r="B27" s="13" t="s">
        <v>748</v>
      </c>
      <c r="C27" s="13" t="s">
        <v>74</v>
      </c>
      <c r="D27" s="13" t="s">
        <v>796</v>
      </c>
      <c r="E27" s="13" t="s">
        <v>797</v>
      </c>
      <c r="F27" s="13" t="s">
        <v>800</v>
      </c>
    </row>
    <row r="28" customFormat="false" ht="90.75" hidden="false" customHeight="true" outlineLevel="0" collapsed="false">
      <c r="A28" s="13" t="s">
        <v>801</v>
      </c>
      <c r="B28" s="13" t="s">
        <v>753</v>
      </c>
      <c r="C28" s="13" t="s">
        <v>106</v>
      </c>
      <c r="D28" s="13" t="s">
        <v>802</v>
      </c>
      <c r="E28" s="13" t="s">
        <v>803</v>
      </c>
      <c r="F28" s="13" t="s">
        <v>804</v>
      </c>
    </row>
    <row r="29" customFormat="false" ht="113.25" hidden="false" customHeight="true" outlineLevel="0" collapsed="false">
      <c r="A29" s="13" t="s">
        <v>805</v>
      </c>
      <c r="B29" s="13" t="s">
        <v>759</v>
      </c>
      <c r="C29" s="13" t="s">
        <v>74</v>
      </c>
      <c r="D29" s="13" t="s">
        <v>806</v>
      </c>
      <c r="E29" s="13" t="s">
        <v>797</v>
      </c>
      <c r="F29" s="13" t="s">
        <v>807</v>
      </c>
    </row>
    <row r="30" customFormat="false" ht="135.75" hidden="false" customHeight="true" outlineLevel="0" collapsed="false">
      <c r="A30" s="13" t="s">
        <v>808</v>
      </c>
      <c r="B30" s="13" t="s">
        <v>764</v>
      </c>
      <c r="C30" s="13" t="s">
        <v>106</v>
      </c>
      <c r="D30" s="13" t="s">
        <v>796</v>
      </c>
      <c r="E30" s="13" t="s">
        <v>797</v>
      </c>
      <c r="F30" s="13" t="s">
        <v>809</v>
      </c>
    </row>
    <row r="31" customFormat="false" ht="135.75" hidden="false" customHeight="true" outlineLevel="0" collapsed="false">
      <c r="A31" s="13" t="s">
        <v>810</v>
      </c>
      <c r="B31" s="13" t="s">
        <v>811</v>
      </c>
      <c r="C31" s="13" t="s">
        <v>74</v>
      </c>
      <c r="D31" s="13" t="s">
        <v>802</v>
      </c>
      <c r="E31" s="13" t="s">
        <v>797</v>
      </c>
      <c r="F31" s="13" t="s">
        <v>812</v>
      </c>
    </row>
    <row r="32" customFormat="false" ht="90.75" hidden="false" customHeight="true" outlineLevel="0" collapsed="false">
      <c r="A32" s="13" t="s">
        <v>813</v>
      </c>
      <c r="B32" s="13" t="s">
        <v>779</v>
      </c>
      <c r="C32" s="13" t="s">
        <v>106</v>
      </c>
      <c r="D32" s="13" t="s">
        <v>814</v>
      </c>
      <c r="E32" s="13" t="s">
        <v>815</v>
      </c>
      <c r="F32" s="13" t="s">
        <v>816</v>
      </c>
    </row>
    <row r="33" customFormat="false" ht="147" hidden="false" customHeight="true" outlineLevel="0" collapsed="false">
      <c r="A33" s="13" t="s">
        <v>817</v>
      </c>
      <c r="B33" s="13" t="s">
        <v>818</v>
      </c>
      <c r="C33" s="13" t="s">
        <v>328</v>
      </c>
      <c r="D33" s="13" t="s">
        <v>819</v>
      </c>
      <c r="E33" s="13" t="s">
        <v>820</v>
      </c>
      <c r="F33" s="13" t="s">
        <v>821</v>
      </c>
    </row>
    <row r="36" customFormat="false" ht="15" hidden="false" customHeight="true" outlineLevel="0" collapsed="false">
      <c r="A36" s="18" t="s">
        <v>822</v>
      </c>
    </row>
    <row r="37" customFormat="false" ht="33.75" hidden="false" customHeight="true" outlineLevel="0" collapsed="false">
      <c r="A37" s="12" t="s">
        <v>737</v>
      </c>
      <c r="B37" s="12" t="s">
        <v>738</v>
      </c>
      <c r="C37" s="12" t="s">
        <v>739</v>
      </c>
      <c r="D37" s="12" t="s">
        <v>740</v>
      </c>
      <c r="E37" s="12" t="s">
        <v>742</v>
      </c>
    </row>
    <row r="38" customFormat="false" ht="807" hidden="false" customHeight="true" outlineLevel="0" collapsed="false">
      <c r="A38" s="13" t="s">
        <v>823</v>
      </c>
      <c r="B38" s="13" t="s">
        <v>754</v>
      </c>
      <c r="C38" s="13" t="s">
        <v>824</v>
      </c>
      <c r="D38" s="13" t="s">
        <v>825</v>
      </c>
      <c r="E38" s="13" t="s">
        <v>826</v>
      </c>
    </row>
    <row r="39" customFormat="false" ht="225" hidden="false" customHeight="true" outlineLevel="0" collapsed="false">
      <c r="A39" s="13" t="s">
        <v>827</v>
      </c>
      <c r="B39" s="13" t="s">
        <v>770</v>
      </c>
      <c r="C39" s="13" t="s">
        <v>828</v>
      </c>
      <c r="D39" s="13" t="s">
        <v>440</v>
      </c>
      <c r="E39" s="13" t="s">
        <v>829</v>
      </c>
    </row>
    <row r="40" customFormat="false" ht="381.75" hidden="false" customHeight="true" outlineLevel="0" collapsed="false">
      <c r="A40" s="13" t="s">
        <v>830</v>
      </c>
      <c r="B40" s="13" t="s">
        <v>770</v>
      </c>
      <c r="C40" s="13" t="s">
        <v>831</v>
      </c>
      <c r="D40" s="13" t="s">
        <v>832</v>
      </c>
      <c r="E40" s="13" t="s">
        <v>833</v>
      </c>
    </row>
    <row r="41" customFormat="false" ht="459.75" hidden="false" customHeight="true" outlineLevel="0" collapsed="false">
      <c r="A41" s="13" t="s">
        <v>834</v>
      </c>
      <c r="B41" s="13" t="s">
        <v>770</v>
      </c>
      <c r="C41" s="13" t="s">
        <v>835</v>
      </c>
      <c r="D41" s="13" t="s">
        <v>836</v>
      </c>
      <c r="E41" s="13" t="s">
        <v>837</v>
      </c>
    </row>
    <row r="44" customFormat="false" ht="15" hidden="false" customHeight="true" outlineLevel="0" collapsed="false">
      <c r="A44" s="18" t="s">
        <v>838</v>
      </c>
    </row>
    <row r="45" customFormat="false" ht="33.75" hidden="false" customHeight="true" outlineLevel="0" collapsed="false">
      <c r="A45" s="12" t="s">
        <v>839</v>
      </c>
      <c r="B45" s="12" t="s">
        <v>302</v>
      </c>
      <c r="C45" s="12" t="s">
        <v>791</v>
      </c>
      <c r="D45" s="12" t="s">
        <v>792</v>
      </c>
      <c r="E45" s="12" t="s">
        <v>840</v>
      </c>
    </row>
    <row r="46" customFormat="false" ht="102" hidden="false" customHeight="true" outlineLevel="0" collapsed="false">
      <c r="A46" s="13" t="s">
        <v>841</v>
      </c>
      <c r="B46" s="13" t="s">
        <v>842</v>
      </c>
      <c r="C46" s="13" t="s">
        <v>74</v>
      </c>
      <c r="D46" s="13" t="s">
        <v>814</v>
      </c>
      <c r="E46" s="13" t="s">
        <v>843</v>
      </c>
    </row>
    <row r="47" customFormat="false" ht="45.75" hidden="false" customHeight="true" outlineLevel="0" collapsed="false">
      <c r="A47" s="13" t="s">
        <v>844</v>
      </c>
      <c r="B47" s="13" t="s">
        <v>845</v>
      </c>
      <c r="C47" s="13" t="s">
        <v>74</v>
      </c>
      <c r="D47" s="13" t="s">
        <v>814</v>
      </c>
      <c r="E47" s="13" t="s">
        <v>846</v>
      </c>
    </row>
    <row r="48" customFormat="false" ht="79.5" hidden="false" customHeight="true" outlineLevel="0" collapsed="false">
      <c r="A48" s="13" t="s">
        <v>847</v>
      </c>
      <c r="B48" s="13" t="s">
        <v>848</v>
      </c>
      <c r="C48" s="13" t="s">
        <v>328</v>
      </c>
      <c r="D48" s="13" t="s">
        <v>814</v>
      </c>
      <c r="E48" s="13" t="s">
        <v>849</v>
      </c>
    </row>
    <row r="49" customFormat="false" ht="102" hidden="false" customHeight="true" outlineLevel="0" collapsed="false">
      <c r="A49" s="13" t="s">
        <v>850</v>
      </c>
      <c r="B49" s="13" t="s">
        <v>851</v>
      </c>
      <c r="C49" s="13" t="s">
        <v>106</v>
      </c>
      <c r="D49" s="13" t="s">
        <v>814</v>
      </c>
      <c r="E49" s="13" t="s">
        <v>852</v>
      </c>
    </row>
    <row r="52" customFormat="false" ht="15" hidden="false" customHeight="true" outlineLevel="0" collapsed="false">
      <c r="A52" s="18" t="s">
        <v>853</v>
      </c>
    </row>
    <row r="53" customFormat="false" ht="33.75" hidden="false" customHeight="true" outlineLevel="0" collapsed="false">
      <c r="A53" s="12" t="s">
        <v>737</v>
      </c>
      <c r="B53" s="12" t="s">
        <v>738</v>
      </c>
      <c r="C53" s="12" t="s">
        <v>854</v>
      </c>
      <c r="D53" s="12" t="s">
        <v>365</v>
      </c>
      <c r="E53" s="12" t="s">
        <v>855</v>
      </c>
    </row>
    <row r="54" customFormat="false" ht="493.5" hidden="false" customHeight="true" outlineLevel="0" collapsed="false">
      <c r="A54" s="13" t="s">
        <v>856</v>
      </c>
      <c r="B54" s="13" t="s">
        <v>854</v>
      </c>
      <c r="C54" s="13" t="s">
        <v>857</v>
      </c>
      <c r="D54" s="13" t="s">
        <v>506</v>
      </c>
      <c r="E54" s="13" t="s">
        <v>858</v>
      </c>
    </row>
    <row r="57" customFormat="false" ht="15" hidden="false" customHeight="true" outlineLevel="0" collapsed="false">
      <c r="A57" s="18" t="s">
        <v>859</v>
      </c>
    </row>
    <row r="58" customFormat="false" ht="33.75" hidden="false" customHeight="true" outlineLevel="0" collapsed="false">
      <c r="A58" s="12" t="s">
        <v>860</v>
      </c>
      <c r="B58" s="12" t="s">
        <v>349</v>
      </c>
    </row>
    <row r="59" customFormat="false" ht="15" hidden="false" customHeight="true" outlineLevel="0" collapsed="false">
      <c r="A59" s="13" t="s">
        <v>861</v>
      </c>
      <c r="B59" s="13" t="s">
        <v>862</v>
      </c>
    </row>
    <row r="60" customFormat="false" ht="57" hidden="false" customHeight="true" outlineLevel="0" collapsed="false">
      <c r="A60" s="13" t="s">
        <v>863</v>
      </c>
      <c r="B60" s="13" t="s">
        <v>864</v>
      </c>
    </row>
    <row r="61" customFormat="false" ht="102" hidden="false" customHeight="true" outlineLevel="0" collapsed="false">
      <c r="A61" s="13" t="s">
        <v>865</v>
      </c>
      <c r="B61" s="13" t="s">
        <v>866</v>
      </c>
    </row>
    <row r="62" customFormat="false" ht="34.5" hidden="false" customHeight="true" outlineLevel="0" collapsed="false">
      <c r="A62" s="13" t="s">
        <v>867</v>
      </c>
      <c r="B62" s="13" t="s">
        <v>868</v>
      </c>
    </row>
    <row r="63" customFormat="false" ht="23.25" hidden="false" customHeight="true" outlineLevel="0" collapsed="false">
      <c r="A63" s="13" t="s">
        <v>791</v>
      </c>
      <c r="B63" s="13" t="s">
        <v>174</v>
      </c>
    </row>
    <row r="64" customFormat="false" ht="34.5" hidden="false" customHeight="true" outlineLevel="0" collapsed="false">
      <c r="A64" s="13" t="s">
        <v>6</v>
      </c>
      <c r="B64" s="13" t="s">
        <v>869</v>
      </c>
    </row>
    <row r="65" customFormat="false" ht="15" hidden="false" customHeight="true" outlineLevel="0" collapsed="false">
      <c r="A65" s="13" t="s">
        <v>414</v>
      </c>
      <c r="B65" s="13" t="s">
        <v>870</v>
      </c>
    </row>
    <row r="66" customFormat="false" ht="45.75" hidden="false" customHeight="true" outlineLevel="0" collapsed="false">
      <c r="A66" s="13" t="s">
        <v>871</v>
      </c>
      <c r="B66" s="13" t="s">
        <v>872</v>
      </c>
    </row>
  </sheetData>
  <conditionalFormatting sqref="N5:N7">
    <cfRule type="cellIs" priority="2" operator="equal" aboveAverage="0" equalAverage="0" bottom="0" percent="0" rank="0" text="" dxfId="11">
      <formula>"Fail"</formula>
    </cfRule>
    <cfRule type="cellIs" priority="3" operator="equal" aboveAverage="0" equalAverage="0" bottom="0" percent="0" rank="0" text="" dxfId="12">
      <formula>"Pass with conditions"</formula>
    </cfRule>
    <cfRule type="cellIs" priority="4" operator="equal" aboveAverage="0" equalAverage="0" bottom="0" percent="0" rank="0" text="" dxfId="13">
      <formula>"Pass"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50"/>
    <col collapsed="false" customWidth="true" hidden="false" outlineLevel="0" max="4" min="4" style="1" width="18"/>
    <col collapsed="false" customWidth="true" hidden="false" outlineLevel="0" max="5" min="5" style="1" width="20"/>
    <col collapsed="false" customWidth="true" hidden="false" outlineLevel="0" max="8" min="6" style="1" width="9"/>
    <col collapsed="false" customWidth="true" hidden="false" outlineLevel="0" max="9" min="9" style="1" width="11"/>
    <col collapsed="false" customWidth="true" hidden="false" outlineLevel="0" max="10" min="10" style="1" width="50"/>
    <col collapsed="false" customWidth="true" hidden="false" outlineLevel="0" max="13" min="11" style="1" width="9"/>
    <col collapsed="false" customWidth="true" hidden="false" outlineLevel="0" max="14" min="14" style="1" width="11"/>
    <col collapsed="false" customWidth="true" hidden="false" outlineLevel="0" max="15" min="15" style="1" width="12"/>
    <col collapsed="false" customWidth="true" hidden="false" outlineLevel="0" max="16" min="16" style="1" width="34"/>
    <col collapsed="false" customWidth="true" hidden="false" outlineLevel="0" max="17" min="17" style="1" width="16"/>
    <col collapsed="false" customWidth="true" hidden="false" outlineLevel="0" max="18" min="18" style="1" width="22"/>
  </cols>
  <sheetData>
    <row r="1" customFormat="false" ht="33.75" hidden="false" customHeight="true" outlineLevel="0" collapsed="false">
      <c r="A1" s="12" t="s">
        <v>873</v>
      </c>
      <c r="B1" s="12" t="s">
        <v>874</v>
      </c>
      <c r="C1" s="12" t="s">
        <v>875</v>
      </c>
      <c r="D1" s="12" t="s">
        <v>876</v>
      </c>
      <c r="E1" s="12" t="s">
        <v>877</v>
      </c>
      <c r="F1" s="12" t="s">
        <v>878</v>
      </c>
      <c r="G1" s="12" t="s">
        <v>879</v>
      </c>
      <c r="H1" s="12" t="s">
        <v>880</v>
      </c>
      <c r="I1" s="12" t="s">
        <v>68</v>
      </c>
      <c r="J1" s="12" t="s">
        <v>881</v>
      </c>
      <c r="K1" s="12" t="s">
        <v>882</v>
      </c>
      <c r="L1" s="12" t="s">
        <v>883</v>
      </c>
      <c r="M1" s="12" t="s">
        <v>884</v>
      </c>
      <c r="N1" s="12" t="s">
        <v>885</v>
      </c>
      <c r="O1" s="12" t="s">
        <v>886</v>
      </c>
      <c r="P1" s="12" t="s">
        <v>887</v>
      </c>
      <c r="Q1" s="12" t="s">
        <v>61</v>
      </c>
      <c r="R1" s="12" t="s">
        <v>888</v>
      </c>
    </row>
    <row r="2" customFormat="false" ht="120" hidden="false" customHeight="true" outlineLevel="0" collapsed="false">
      <c r="A2" s="13" t="s">
        <v>889</v>
      </c>
      <c r="B2" s="13" t="s">
        <v>890</v>
      </c>
      <c r="C2" s="13" t="s">
        <v>891</v>
      </c>
      <c r="D2" s="13" t="s">
        <v>892</v>
      </c>
      <c r="E2" s="13" t="s">
        <v>74</v>
      </c>
      <c r="F2" s="14" t="n">
        <v>4</v>
      </c>
      <c r="G2" s="14" t="n">
        <v>4</v>
      </c>
      <c r="H2" s="15" t="n">
        <f aca="false">F2*G2</f>
        <v>16</v>
      </c>
      <c r="I2" s="16" t="str">
        <f aca="false">IF(H2="","",IF(H2&gt;=15,"Critical",IF(H2&gt;=10,"High",IF(H2&gt;=5,"Medium","Low"))))</f>
        <v>Critical</v>
      </c>
      <c r="J2" s="13" t="s">
        <v>893</v>
      </c>
      <c r="K2" s="14" t="n">
        <v>2</v>
      </c>
      <c r="L2" s="14" t="n">
        <v>4</v>
      </c>
      <c r="M2" s="15" t="n">
        <f aca="false">K2*L2</f>
        <v>8</v>
      </c>
      <c r="N2" s="15" t="str">
        <f aca="false">IF(M2="","",IF(M2&gt;=15,"Critical",IF(M2&gt;=10,"High",IF(M2&gt;=5,"Medium","Low"))))</f>
        <v>Medium</v>
      </c>
      <c r="O2" s="14" t="s">
        <v>894</v>
      </c>
      <c r="P2" s="13" t="s">
        <v>895</v>
      </c>
      <c r="Q2" s="13" t="s">
        <v>896</v>
      </c>
      <c r="R2" s="13" t="s">
        <v>897</v>
      </c>
    </row>
    <row r="3" customFormat="false" ht="120" hidden="false" customHeight="true" outlineLevel="0" collapsed="false">
      <c r="A3" s="13" t="s">
        <v>898</v>
      </c>
      <c r="B3" s="13" t="s">
        <v>899</v>
      </c>
      <c r="C3" s="13" t="s">
        <v>900</v>
      </c>
      <c r="D3" s="13" t="s">
        <v>901</v>
      </c>
      <c r="E3" s="13" t="s">
        <v>74</v>
      </c>
      <c r="F3" s="14" t="n">
        <v>2</v>
      </c>
      <c r="G3" s="14" t="n">
        <v>5</v>
      </c>
      <c r="H3" s="15" t="n">
        <f aca="false">F3*G3</f>
        <v>10</v>
      </c>
      <c r="I3" s="16" t="str">
        <f aca="false">IF(H3="","",IF(H3&gt;=15,"Critical",IF(H3&gt;=10,"High",IF(H3&gt;=5,"Medium","Low"))))</f>
        <v>High</v>
      </c>
      <c r="J3" s="13" t="s">
        <v>902</v>
      </c>
      <c r="K3" s="14" t="n">
        <v>2</v>
      </c>
      <c r="L3" s="14" t="n">
        <v>4</v>
      </c>
      <c r="M3" s="15" t="n">
        <f aca="false">K3*L3</f>
        <v>8</v>
      </c>
      <c r="N3" s="15" t="str">
        <f aca="false">IF(M3="","",IF(M3&gt;=15,"Critical",IF(M3&gt;=10,"High",IF(M3&gt;=5,"Medium","Low"))))</f>
        <v>Medium</v>
      </c>
      <c r="O3" s="14" t="s">
        <v>894</v>
      </c>
      <c r="P3" s="13" t="s">
        <v>903</v>
      </c>
      <c r="Q3" s="13" t="s">
        <v>904</v>
      </c>
      <c r="R3" s="13" t="s">
        <v>905</v>
      </c>
    </row>
    <row r="4" customFormat="false" ht="120" hidden="false" customHeight="true" outlineLevel="0" collapsed="false">
      <c r="A4" s="13" t="s">
        <v>906</v>
      </c>
      <c r="B4" s="13" t="s">
        <v>907</v>
      </c>
      <c r="C4" s="13" t="s">
        <v>908</v>
      </c>
      <c r="D4" s="13" t="s">
        <v>909</v>
      </c>
      <c r="E4" s="13" t="s">
        <v>74</v>
      </c>
      <c r="F4" s="14" t="n">
        <v>3</v>
      </c>
      <c r="G4" s="14" t="n">
        <v>4</v>
      </c>
      <c r="H4" s="15" t="n">
        <f aca="false">F4*G4</f>
        <v>12</v>
      </c>
      <c r="I4" s="16" t="str">
        <f aca="false">IF(H4="","",IF(H4&gt;=15,"Critical",IF(H4&gt;=10,"High",IF(H4&gt;=5,"Medium","Low"))))</f>
        <v>High</v>
      </c>
      <c r="J4" s="13" t="s">
        <v>910</v>
      </c>
      <c r="K4" s="14" t="n">
        <v>2</v>
      </c>
      <c r="L4" s="14" t="n">
        <v>4</v>
      </c>
      <c r="M4" s="15" t="n">
        <f aca="false">K4*L4</f>
        <v>8</v>
      </c>
      <c r="N4" s="15" t="str">
        <f aca="false">IF(M4="","",IF(M4&gt;=15,"Critical",IF(M4&gt;=10,"High",IF(M4&gt;=5,"Medium","Low"))))</f>
        <v>Medium</v>
      </c>
      <c r="O4" s="14" t="s">
        <v>894</v>
      </c>
      <c r="P4" s="13" t="s">
        <v>911</v>
      </c>
      <c r="Q4" s="13" t="s">
        <v>142</v>
      </c>
      <c r="R4" s="13" t="s">
        <v>912</v>
      </c>
    </row>
    <row r="5" customFormat="false" ht="120" hidden="false" customHeight="true" outlineLevel="0" collapsed="false">
      <c r="A5" s="13" t="s">
        <v>913</v>
      </c>
      <c r="B5" s="13" t="s">
        <v>914</v>
      </c>
      <c r="C5" s="13" t="s">
        <v>915</v>
      </c>
      <c r="D5" s="13" t="s">
        <v>916</v>
      </c>
      <c r="E5" s="13" t="s">
        <v>74</v>
      </c>
      <c r="F5" s="14" t="n">
        <v>3</v>
      </c>
      <c r="G5" s="14" t="n">
        <v>5</v>
      </c>
      <c r="H5" s="15" t="n">
        <f aca="false">F5*G5</f>
        <v>15</v>
      </c>
      <c r="I5" s="16" t="str">
        <f aca="false">IF(H5="","",IF(H5&gt;=15,"Critical",IF(H5&gt;=10,"High",IF(H5&gt;=5,"Medium","Low"))))</f>
        <v>Critical</v>
      </c>
      <c r="J5" s="13" t="s">
        <v>917</v>
      </c>
      <c r="K5" s="14" t="n">
        <v>3</v>
      </c>
      <c r="L5" s="14" t="n">
        <v>4</v>
      </c>
      <c r="M5" s="15" t="n">
        <f aca="false">K5*L5</f>
        <v>12</v>
      </c>
      <c r="N5" s="15" t="str">
        <f aca="false">IF(M5="","",IF(M5&gt;=15,"Critical",IF(M5&gt;=10,"High",IF(M5&gt;=5,"Medium","Low"))))</f>
        <v>High</v>
      </c>
      <c r="O5" s="14" t="s">
        <v>894</v>
      </c>
      <c r="P5" s="13" t="s">
        <v>918</v>
      </c>
      <c r="Q5" s="13" t="s">
        <v>919</v>
      </c>
      <c r="R5" s="13" t="s">
        <v>920</v>
      </c>
    </row>
    <row r="6" customFormat="false" ht="120" hidden="false" customHeight="true" outlineLevel="0" collapsed="false">
      <c r="A6" s="13" t="s">
        <v>921</v>
      </c>
      <c r="B6" s="13" t="s">
        <v>922</v>
      </c>
      <c r="C6" s="13" t="s">
        <v>923</v>
      </c>
      <c r="D6" s="13" t="s">
        <v>924</v>
      </c>
      <c r="E6" s="13" t="s">
        <v>134</v>
      </c>
      <c r="F6" s="14" t="n">
        <v>4</v>
      </c>
      <c r="G6" s="14" t="n">
        <v>3</v>
      </c>
      <c r="H6" s="15" t="n">
        <f aca="false">F6*G6</f>
        <v>12</v>
      </c>
      <c r="I6" s="16" t="str">
        <f aca="false">IF(H6="","",IF(H6&gt;=15,"Critical",IF(H6&gt;=10,"High",IF(H6&gt;=5,"Medium","Low"))))</f>
        <v>High</v>
      </c>
      <c r="J6" s="13" t="s">
        <v>925</v>
      </c>
      <c r="K6" s="14" t="n">
        <v>3</v>
      </c>
      <c r="L6" s="14" t="n">
        <v>3</v>
      </c>
      <c r="M6" s="15" t="n">
        <f aca="false">K6*L6</f>
        <v>9</v>
      </c>
      <c r="N6" s="15" t="str">
        <f aca="false">IF(M6="","",IF(M6&gt;=15,"Critical",IF(M6&gt;=10,"High",IF(M6&gt;=5,"Medium","Low"))))</f>
        <v>Medium</v>
      </c>
      <c r="O6" s="14" t="s">
        <v>894</v>
      </c>
      <c r="P6" s="13" t="s">
        <v>926</v>
      </c>
      <c r="Q6" s="13" t="s">
        <v>927</v>
      </c>
      <c r="R6" s="13" t="s">
        <v>928</v>
      </c>
    </row>
    <row r="7" customFormat="false" ht="120" hidden="false" customHeight="true" outlineLevel="0" collapsed="false">
      <c r="A7" s="13" t="s">
        <v>929</v>
      </c>
      <c r="B7" s="13" t="s">
        <v>930</v>
      </c>
      <c r="C7" s="13" t="s">
        <v>931</v>
      </c>
      <c r="D7" s="13" t="s">
        <v>932</v>
      </c>
      <c r="E7" s="13" t="s">
        <v>74</v>
      </c>
      <c r="F7" s="14" t="n">
        <v>4</v>
      </c>
      <c r="G7" s="14" t="n">
        <v>4</v>
      </c>
      <c r="H7" s="15" t="n">
        <f aca="false">F7*G7</f>
        <v>16</v>
      </c>
      <c r="I7" s="16" t="str">
        <f aca="false">IF(H7="","",IF(H7&gt;=15,"Critical",IF(H7&gt;=10,"High",IF(H7&gt;=5,"Medium","Low"))))</f>
        <v>Critical</v>
      </c>
      <c r="J7" s="13" t="s">
        <v>933</v>
      </c>
      <c r="K7" s="14" t="n">
        <v>3</v>
      </c>
      <c r="L7" s="14" t="n">
        <v>3</v>
      </c>
      <c r="M7" s="15" t="n">
        <f aca="false">K7*L7</f>
        <v>9</v>
      </c>
      <c r="N7" s="15" t="str">
        <f aca="false">IF(M7="","",IF(M7&gt;=15,"Critical",IF(M7&gt;=10,"High",IF(M7&gt;=5,"Medium","Low"))))</f>
        <v>Medium</v>
      </c>
      <c r="O7" s="14" t="s">
        <v>894</v>
      </c>
      <c r="P7" s="13" t="s">
        <v>934</v>
      </c>
      <c r="Q7" s="13" t="s">
        <v>224</v>
      </c>
      <c r="R7" s="13" t="s">
        <v>928</v>
      </c>
    </row>
    <row r="8" customFormat="false" ht="120" hidden="false" customHeight="true" outlineLevel="0" collapsed="false">
      <c r="A8" s="13" t="s">
        <v>935</v>
      </c>
      <c r="B8" s="13" t="s">
        <v>936</v>
      </c>
      <c r="C8" s="13" t="s">
        <v>937</v>
      </c>
      <c r="D8" s="13" t="s">
        <v>938</v>
      </c>
      <c r="E8" s="13" t="s">
        <v>328</v>
      </c>
      <c r="F8" s="14" t="n">
        <v>3</v>
      </c>
      <c r="G8" s="14" t="n">
        <v>4</v>
      </c>
      <c r="H8" s="15" t="n">
        <f aca="false">F8*G8</f>
        <v>12</v>
      </c>
      <c r="I8" s="16" t="str">
        <f aca="false">IF(H8="","",IF(H8&gt;=15,"Critical",IF(H8&gt;=10,"High",IF(H8&gt;=5,"Medium","Low"))))</f>
        <v>High</v>
      </c>
      <c r="J8" s="13" t="s">
        <v>939</v>
      </c>
      <c r="K8" s="14" t="n">
        <v>3</v>
      </c>
      <c r="L8" s="14" t="n">
        <v>3</v>
      </c>
      <c r="M8" s="15" t="n">
        <f aca="false">K8*L8</f>
        <v>9</v>
      </c>
      <c r="N8" s="15" t="str">
        <f aca="false">IF(M8="","",IF(M8&gt;=15,"Critical",IF(M8&gt;=10,"High",IF(M8&gt;=5,"Medium","Low"))))</f>
        <v>Medium</v>
      </c>
      <c r="O8" s="14" t="s">
        <v>894</v>
      </c>
      <c r="P8" s="13" t="s">
        <v>940</v>
      </c>
      <c r="Q8" s="13" t="s">
        <v>941</v>
      </c>
      <c r="R8" s="13" t="s">
        <v>942</v>
      </c>
    </row>
    <row r="9" customFormat="false" ht="120" hidden="false" customHeight="true" outlineLevel="0" collapsed="false">
      <c r="A9" s="13" t="s">
        <v>943</v>
      </c>
      <c r="B9" s="13" t="s">
        <v>944</v>
      </c>
      <c r="C9" s="13" t="s">
        <v>945</v>
      </c>
      <c r="D9" s="13" t="s">
        <v>946</v>
      </c>
      <c r="E9" s="13" t="s">
        <v>106</v>
      </c>
      <c r="F9" s="14" t="n">
        <v>4</v>
      </c>
      <c r="G9" s="14" t="n">
        <v>4</v>
      </c>
      <c r="H9" s="15" t="n">
        <f aca="false">F9*G9</f>
        <v>16</v>
      </c>
      <c r="I9" s="16" t="str">
        <f aca="false">IF(H9="","",IF(H9&gt;=15,"Critical",IF(H9&gt;=10,"High",IF(H9&gt;=5,"Medium","Low"))))</f>
        <v>Critical</v>
      </c>
      <c r="J9" s="13" t="s">
        <v>947</v>
      </c>
      <c r="K9" s="14" t="n">
        <v>3</v>
      </c>
      <c r="L9" s="14" t="n">
        <v>3</v>
      </c>
      <c r="M9" s="15" t="n">
        <f aca="false">K9*L9</f>
        <v>9</v>
      </c>
      <c r="N9" s="15" t="str">
        <f aca="false">IF(M9="","",IF(M9&gt;=15,"Critical",IF(M9&gt;=10,"High",IF(M9&gt;=5,"Medium","Low"))))</f>
        <v>Medium</v>
      </c>
      <c r="O9" s="14" t="s">
        <v>894</v>
      </c>
      <c r="P9" s="13" t="s">
        <v>948</v>
      </c>
      <c r="Q9" s="13" t="s">
        <v>949</v>
      </c>
      <c r="R9" s="13" t="s">
        <v>950</v>
      </c>
    </row>
    <row r="10" customFormat="false" ht="120" hidden="false" customHeight="true" outlineLevel="0" collapsed="false">
      <c r="A10" s="13" t="s">
        <v>951</v>
      </c>
      <c r="B10" s="13" t="s">
        <v>952</v>
      </c>
      <c r="C10" s="13" t="s">
        <v>953</v>
      </c>
      <c r="D10" s="13" t="s">
        <v>924</v>
      </c>
      <c r="E10" s="13" t="s">
        <v>74</v>
      </c>
      <c r="F10" s="14" t="n">
        <v>4</v>
      </c>
      <c r="G10" s="14" t="n">
        <v>3</v>
      </c>
      <c r="H10" s="15" t="n">
        <f aca="false">F10*G10</f>
        <v>12</v>
      </c>
      <c r="I10" s="16" t="str">
        <f aca="false">IF(H10="","",IF(H10&gt;=15,"Critical",IF(H10&gt;=10,"High",IF(H10&gt;=5,"Medium","Low"))))</f>
        <v>High</v>
      </c>
      <c r="J10" s="13" t="s">
        <v>954</v>
      </c>
      <c r="K10" s="14" t="n">
        <v>2</v>
      </c>
      <c r="L10" s="14" t="n">
        <v>3</v>
      </c>
      <c r="M10" s="15" t="n">
        <f aca="false">K10*L10</f>
        <v>6</v>
      </c>
      <c r="N10" s="15" t="str">
        <f aca="false">IF(M10="","",IF(M10&gt;=15,"Critical",IF(M10&gt;=10,"High",IF(M10&gt;=5,"Medium","Low"))))</f>
        <v>Medium</v>
      </c>
      <c r="O10" s="14" t="s">
        <v>894</v>
      </c>
      <c r="P10" s="13" t="s">
        <v>955</v>
      </c>
      <c r="Q10" s="13" t="s">
        <v>956</v>
      </c>
      <c r="R10" s="13" t="s">
        <v>957</v>
      </c>
    </row>
    <row r="12" customFormat="false" ht="15" hidden="false" customHeight="true" outlineLevel="0" collapsed="false">
      <c r="A12" s="18" t="s">
        <v>958</v>
      </c>
    </row>
    <row r="13" customFormat="false" ht="33.75" hidden="false" customHeight="true" outlineLevel="0" collapsed="false">
      <c r="A13" s="12" t="s">
        <v>959</v>
      </c>
      <c r="B13" s="12" t="s">
        <v>960</v>
      </c>
      <c r="C13" s="12" t="s">
        <v>961</v>
      </c>
      <c r="D13" s="12" t="s">
        <v>962</v>
      </c>
    </row>
    <row r="14" customFormat="false" ht="15" hidden="false" customHeight="true" outlineLevel="0" collapsed="false">
      <c r="A14" s="22" t="s">
        <v>963</v>
      </c>
      <c r="B14" s="26" t="n">
        <v>5</v>
      </c>
      <c r="C14" s="27" t="n">
        <f aca="false">COUNTA(A2:A10)</f>
        <v>9</v>
      </c>
      <c r="D14" s="19" t="n">
        <f aca="false">B14+C14</f>
        <v>14</v>
      </c>
    </row>
    <row r="15" customFormat="false" ht="34.5" hidden="false" customHeight="true" outlineLevel="0" collapsed="false">
      <c r="A15" s="22" t="s">
        <v>964</v>
      </c>
      <c r="B15" s="26" t="n">
        <v>92</v>
      </c>
      <c r="C15" s="27" t="n">
        <f aca="false">SUM(H2:H10)</f>
        <v>121</v>
      </c>
      <c r="D15" s="19" t="n">
        <f aca="false">B15+C15</f>
        <v>213</v>
      </c>
    </row>
    <row r="16" customFormat="false" ht="23.25" hidden="false" customHeight="true" outlineLevel="0" collapsed="false">
      <c r="A16" s="22" t="s">
        <v>965</v>
      </c>
      <c r="B16" s="28" t="n">
        <f aca="false">B15/B14</f>
        <v>18.4</v>
      </c>
      <c r="C16" s="28" t="n">
        <f aca="false">C15/C14</f>
        <v>13.4444444444444</v>
      </c>
      <c r="D16" s="21" t="n">
        <f aca="false">D15/D14</f>
        <v>15.2142857142857</v>
      </c>
    </row>
    <row r="17" customFormat="false" ht="23.25" hidden="false" customHeight="true" outlineLevel="0" collapsed="false">
      <c r="A17" s="22" t="s">
        <v>966</v>
      </c>
      <c r="B17" s="26" t="n">
        <v>44</v>
      </c>
      <c r="C17" s="27" t="n">
        <f aca="false">SUM(M2:M10)</f>
        <v>78</v>
      </c>
      <c r="D17" s="19" t="n">
        <f aca="false">B17+C17</f>
        <v>122</v>
      </c>
    </row>
    <row r="18" customFormat="false" ht="23.25" hidden="false" customHeight="true" outlineLevel="0" collapsed="false">
      <c r="A18" s="22" t="s">
        <v>967</v>
      </c>
      <c r="B18" s="28" t="n">
        <f aca="false">B17/B14</f>
        <v>8.8</v>
      </c>
      <c r="C18" s="28" t="n">
        <f aca="false">C17/C14</f>
        <v>8.66666666666667</v>
      </c>
      <c r="D18" s="21" t="n">
        <f aca="false">D17/D14</f>
        <v>8.71428571428571</v>
      </c>
    </row>
    <row r="19" customFormat="false" ht="23.25" hidden="false" customHeight="true" outlineLevel="0" collapsed="false">
      <c r="A19" s="22" t="s">
        <v>968</v>
      </c>
      <c r="B19" s="29" t="n">
        <f aca="false">1-B17/B15</f>
        <v>0.521739130434783</v>
      </c>
      <c r="C19" s="29" t="n">
        <f aca="false">1-C17/C15</f>
        <v>0.355371900826446</v>
      </c>
      <c r="D19" s="20" t="n">
        <f aca="false">1-D17/D15</f>
        <v>0.427230046948357</v>
      </c>
    </row>
    <row r="20" customFormat="false" ht="34.5" hidden="false" customHeight="true" outlineLevel="0" collapsed="false">
      <c r="A20" s="22" t="s">
        <v>969</v>
      </c>
      <c r="B20" s="26" t="n">
        <v>2</v>
      </c>
      <c r="C20" s="27" t="n">
        <f aca="false">COUNTIF(N2:N10,"High")+COUNTIF(N2:N10,"Critical")</f>
        <v>1</v>
      </c>
      <c r="D20" s="19" t="n">
        <f aca="false">B20+C20</f>
        <v>3</v>
      </c>
    </row>
  </sheetData>
  <conditionalFormatting sqref="I2:I10">
    <cfRule type="cellIs" priority="2" operator="equal" aboveAverage="0" equalAverage="0" bottom="0" percent="0" rank="0" text="" dxfId="10">
      <formula>"Critical"</formula>
    </cfRule>
    <cfRule type="cellIs" priority="3" operator="equal" aboveAverage="0" equalAverage="0" bottom="0" percent="0" rank="0" text="" dxfId="11">
      <formula>"High"</formula>
    </cfRule>
    <cfRule type="cellIs" priority="4" operator="equal" aboveAverage="0" equalAverage="0" bottom="0" percent="0" rank="0" text="" dxfId="12">
      <formula>"Medium"</formula>
    </cfRule>
    <cfRule type="cellIs" priority="5" operator="equal" aboveAverage="0" equalAverage="0" bottom="0" percent="0" rank="0" text="" dxfId="13">
      <formula>"Low"</formula>
    </cfRule>
  </conditionalFormatting>
  <conditionalFormatting sqref="N2:N10">
    <cfRule type="cellIs" priority="6" operator="equal" aboveAverage="0" equalAverage="0" bottom="0" percent="0" rank="0" text="" dxfId="10">
      <formula>"Critical"</formula>
    </cfRule>
    <cfRule type="cellIs" priority="7" operator="equal" aboveAverage="0" equalAverage="0" bottom="0" percent="0" rank="0" text="" dxfId="11">
      <formula>"High"</formula>
    </cfRule>
    <cfRule type="cellIs" priority="8" operator="equal" aboveAverage="0" equalAverage="0" bottom="0" percent="0" rank="0" text="" dxfId="12">
      <formula>"Medium"</formula>
    </cfRule>
    <cfRule type="cellIs" priority="9" operator="equal" aboveAverage="0" equalAverage="0" bottom="0" percent="0" rank="0" text="" dxfId="13">
      <formula>"Low"</formula>
    </cfRule>
  </conditionalFormatting>
  <dataValidations count="2">
    <dataValidation allowBlank="true" error="Enter a whole number from 1 to 5." errorStyle="stop" errorTitle="Out of range" operator="between" showDropDown="false" showErrorMessage="true" showInputMessage="false" sqref="F2:G10 K2:L10" type="whole">
      <formula1>1</formula1>
      <formula2>5</formula2>
    </dataValidation>
    <dataValidation allowBlank="true" error="Pick a value from the dropdown." errorStyle="stop" errorTitle="Use a listed value" operator="between" showDropDown="false" showErrorMessage="true" showInputMessage="false" sqref="O2:O10" type="list">
      <formula1>"Mitigate,Transfer,Avoid,Accept"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0"/>
    <col collapsed="false" customWidth="true" hidden="false" outlineLevel="0" max="3" min="3" style="1" width="10"/>
    <col collapsed="false" customWidth="true" hidden="false" outlineLevel="0" max="4" min="4" style="1" width="14"/>
    <col collapsed="false" customWidth="true" hidden="false" outlineLevel="0" max="5" min="5" style="1" width="26"/>
    <col collapsed="false" customWidth="true" hidden="false" outlineLevel="0" max="6" min="6" style="1" width="12"/>
    <col collapsed="false" customWidth="true" hidden="false" outlineLevel="0" max="7" min="7" style="1" width="13"/>
    <col collapsed="false" customWidth="true" hidden="false" outlineLevel="0" max="8" min="8" style="1" width="16"/>
  </cols>
  <sheetData>
    <row r="1" customFormat="false" ht="33.75" hidden="false" customHeight="true" outlineLevel="0" collapsed="false">
      <c r="A1" s="12" t="s">
        <v>970</v>
      </c>
      <c r="B1" s="12" t="s">
        <v>971</v>
      </c>
      <c r="C1" s="12" t="s">
        <v>972</v>
      </c>
      <c r="D1" s="12" t="s">
        <v>973</v>
      </c>
      <c r="E1" s="12" t="s">
        <v>791</v>
      </c>
      <c r="F1" s="12" t="s">
        <v>974</v>
      </c>
      <c r="G1" s="12" t="s">
        <v>975</v>
      </c>
      <c r="H1" s="12" t="s">
        <v>976</v>
      </c>
    </row>
    <row r="2" customFormat="false" ht="15" hidden="false" customHeight="true" outlineLevel="0" collapsed="false">
      <c r="A2" s="13" t="s">
        <v>977</v>
      </c>
      <c r="B2" s="13" t="s">
        <v>978</v>
      </c>
      <c r="C2" s="13" t="s">
        <v>979</v>
      </c>
      <c r="D2" s="13" t="s">
        <v>980</v>
      </c>
      <c r="E2" s="13" t="s">
        <v>74</v>
      </c>
      <c r="F2" s="13" t="s">
        <v>981</v>
      </c>
      <c r="G2" s="20" t="n">
        <f aca="false">COUNTIF(01_Inventory!J2:J18,"Y*")/COUNTA(01_Inventory!A2:A18)</f>
        <v>0.647058823529412</v>
      </c>
      <c r="H2" s="23" t="str">
        <f aca="false">IF(G2&gt;=1,"On target",IF(G2&lt;0.95,"Escalate","Watch"))</f>
        <v>Escalate</v>
      </c>
    </row>
    <row r="3" customFormat="false" ht="23.25" hidden="false" customHeight="true" outlineLevel="0" collapsed="false">
      <c r="A3" s="13" t="s">
        <v>982</v>
      </c>
      <c r="B3" s="13" t="s">
        <v>983</v>
      </c>
      <c r="C3" s="13" t="s">
        <v>979</v>
      </c>
      <c r="D3" s="13" t="s">
        <v>984</v>
      </c>
      <c r="E3" s="13" t="s">
        <v>74</v>
      </c>
      <c r="F3" s="13" t="s">
        <v>985</v>
      </c>
      <c r="G3" s="14" t="s">
        <v>986</v>
      </c>
      <c r="H3" s="13" t="s">
        <v>987</v>
      </c>
    </row>
    <row r="4" customFormat="false" ht="23.25" hidden="false" customHeight="true" outlineLevel="0" collapsed="false">
      <c r="A4" s="13" t="s">
        <v>988</v>
      </c>
      <c r="B4" s="13" t="s">
        <v>989</v>
      </c>
      <c r="C4" s="13" t="s">
        <v>979</v>
      </c>
      <c r="D4" s="13" t="s">
        <v>990</v>
      </c>
      <c r="E4" s="13" t="s">
        <v>74</v>
      </c>
      <c r="F4" s="13" t="s">
        <v>985</v>
      </c>
      <c r="G4" s="14" t="s">
        <v>986</v>
      </c>
      <c r="H4" s="13" t="s">
        <v>987</v>
      </c>
    </row>
    <row r="5" customFormat="false" ht="23.25" hidden="false" customHeight="true" outlineLevel="0" collapsed="false">
      <c r="A5" s="13" t="s">
        <v>991</v>
      </c>
      <c r="B5" s="13" t="s">
        <v>992</v>
      </c>
      <c r="C5" s="13" t="s">
        <v>281</v>
      </c>
      <c r="D5" s="13" t="s">
        <v>993</v>
      </c>
      <c r="E5" s="13" t="s">
        <v>134</v>
      </c>
      <c r="F5" s="13" t="s">
        <v>985</v>
      </c>
      <c r="G5" s="14" t="s">
        <v>986</v>
      </c>
      <c r="H5" s="13" t="s">
        <v>987</v>
      </c>
    </row>
    <row r="6" customFormat="false" ht="23.25" hidden="false" customHeight="true" outlineLevel="0" collapsed="false">
      <c r="A6" s="13" t="s">
        <v>994</v>
      </c>
      <c r="B6" s="13" t="s">
        <v>995</v>
      </c>
      <c r="C6" s="13" t="s">
        <v>979</v>
      </c>
      <c r="D6" s="13" t="s">
        <v>984</v>
      </c>
      <c r="E6" s="13" t="s">
        <v>106</v>
      </c>
      <c r="F6" s="13" t="s">
        <v>985</v>
      </c>
      <c r="G6" s="20" t="n">
        <f aca="false">COUNTIFS(01_Inventory!Y2:Y18,"Y",01_Inventory!L2:L18,1)/COUNTIF(01_Inventory!L2:L18,1)</f>
        <v>0.857142857142857</v>
      </c>
      <c r="H6" s="23" t="str">
        <f aca="false">IF(G6&gt;=1,"On target","Escalate")</f>
        <v>Escalate</v>
      </c>
    </row>
    <row r="7" customFormat="false" ht="23.25" hidden="false" customHeight="true" outlineLevel="0" collapsed="false">
      <c r="A7" s="13" t="s">
        <v>996</v>
      </c>
      <c r="B7" s="13" t="s">
        <v>997</v>
      </c>
      <c r="C7" s="13" t="s">
        <v>998</v>
      </c>
      <c r="D7" s="13" t="s">
        <v>999</v>
      </c>
      <c r="E7" s="13" t="s">
        <v>74</v>
      </c>
      <c r="F7" s="13" t="s">
        <v>985</v>
      </c>
      <c r="G7" s="14" t="s">
        <v>986</v>
      </c>
      <c r="H7" s="13" t="s">
        <v>987</v>
      </c>
    </row>
    <row r="8" customFormat="false" ht="23.25" hidden="false" customHeight="true" outlineLevel="0" collapsed="false">
      <c r="A8" s="13" t="s">
        <v>1000</v>
      </c>
      <c r="B8" s="13" t="s">
        <v>1001</v>
      </c>
      <c r="C8" s="13" t="s">
        <v>281</v>
      </c>
      <c r="D8" s="13" t="s">
        <v>1002</v>
      </c>
      <c r="E8" s="13" t="s">
        <v>328</v>
      </c>
      <c r="F8" s="13" t="s">
        <v>1003</v>
      </c>
      <c r="G8" s="14" t="s">
        <v>986</v>
      </c>
      <c r="H8" s="13" t="s">
        <v>987</v>
      </c>
    </row>
    <row r="10" customFormat="false" ht="95.25" hidden="false" customHeight="true" outlineLevel="0" collapsed="false">
      <c r="A10" s="25" t="s">
        <v>1004</v>
      </c>
    </row>
  </sheetData>
  <conditionalFormatting sqref="H2:H8">
    <cfRule type="cellIs" priority="2" operator="equal" aboveAverage="0" equalAverage="0" bottom="0" percent="0" rank="0" text="" dxfId="11">
      <formula>"Escalate"</formula>
    </cfRule>
    <cfRule type="cellIs" priority="3" operator="equal" aboveAverage="0" equalAverage="0" bottom="0" percent="0" rank="0" text="" dxfId="13">
      <formula>"On target"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70"/>
    <col collapsed="false" customWidth="true" hidden="false" outlineLevel="0" max="4" min="4" style="1" width="10"/>
    <col collapsed="false" customWidth="true" hidden="false" outlineLevel="0" max="6" min="5" style="1" width="8"/>
    <col collapsed="false" customWidth="true" hidden="false" outlineLevel="0" max="7" min="7" style="1" width="18"/>
  </cols>
  <sheetData>
    <row r="1" customFormat="false" ht="18" hidden="false" customHeight="true" outlineLevel="0" collapsed="false">
      <c r="A1" s="17" t="s">
        <v>1005</v>
      </c>
    </row>
    <row r="2" customFormat="false" ht="15" hidden="false" customHeight="true" outlineLevel="0" collapsed="false">
      <c r="A2" s="24" t="s">
        <v>1006</v>
      </c>
    </row>
    <row r="4" customFormat="false" ht="33.75" hidden="false" customHeight="true" outlineLevel="0" collapsed="false">
      <c r="A4" s="12" t="s">
        <v>839</v>
      </c>
      <c r="B4" s="12" t="s">
        <v>1007</v>
      </c>
      <c r="C4" s="12" t="s">
        <v>1008</v>
      </c>
      <c r="D4" s="12" t="s">
        <v>351</v>
      </c>
      <c r="E4" s="12" t="s">
        <v>352</v>
      </c>
      <c r="F4" s="12" t="s">
        <v>353</v>
      </c>
      <c r="G4" s="12" t="s">
        <v>1009</v>
      </c>
    </row>
    <row r="5" customFormat="false" ht="45.75" hidden="false" customHeight="true" outlineLevel="0" collapsed="false">
      <c r="A5" s="13" t="s">
        <v>282</v>
      </c>
      <c r="B5" s="13" t="s">
        <v>1010</v>
      </c>
      <c r="C5" s="13" t="s">
        <v>1011</v>
      </c>
      <c r="D5" s="14" t="s">
        <v>1012</v>
      </c>
      <c r="E5" s="14" t="s">
        <v>1012</v>
      </c>
      <c r="F5" s="14" t="s">
        <v>1012</v>
      </c>
      <c r="G5" s="13" t="s">
        <v>681</v>
      </c>
    </row>
    <row r="6" customFormat="false" ht="23.25" hidden="false" customHeight="true" outlineLevel="0" collapsed="false">
      <c r="A6" s="13" t="s">
        <v>283</v>
      </c>
      <c r="B6" s="13" t="s">
        <v>1013</v>
      </c>
      <c r="C6" s="13" t="s">
        <v>1014</v>
      </c>
      <c r="D6" s="14" t="s">
        <v>1012</v>
      </c>
      <c r="E6" s="14" t="s">
        <v>1012</v>
      </c>
      <c r="F6" s="14" t="s">
        <v>1012</v>
      </c>
      <c r="G6" s="13" t="s">
        <v>1015</v>
      </c>
    </row>
    <row r="7" customFormat="false" ht="23.25" hidden="false" customHeight="true" outlineLevel="0" collapsed="false">
      <c r="A7" s="13" t="s">
        <v>284</v>
      </c>
      <c r="B7" s="13" t="s">
        <v>1016</v>
      </c>
      <c r="C7" s="13" t="s">
        <v>1017</v>
      </c>
      <c r="D7" s="14" t="s">
        <v>1012</v>
      </c>
      <c r="E7" s="14" t="s">
        <v>1018</v>
      </c>
      <c r="F7" s="14" t="s">
        <v>1019</v>
      </c>
      <c r="G7" s="13" t="s">
        <v>609</v>
      </c>
    </row>
    <row r="8" customFormat="false" ht="23.25" hidden="false" customHeight="true" outlineLevel="0" collapsed="false">
      <c r="A8" s="13" t="s">
        <v>1020</v>
      </c>
      <c r="B8" s="13" t="s">
        <v>1021</v>
      </c>
      <c r="C8" s="13" t="s">
        <v>1022</v>
      </c>
      <c r="D8" s="14" t="s">
        <v>1012</v>
      </c>
      <c r="E8" s="14" t="s">
        <v>1012</v>
      </c>
      <c r="F8" s="14" t="s">
        <v>1018</v>
      </c>
      <c r="G8" s="13" t="s">
        <v>1023</v>
      </c>
    </row>
    <row r="9" customFormat="false" ht="15" hidden="false" customHeight="true" outlineLevel="0" collapsed="false">
      <c r="A9" s="13" t="s">
        <v>1024</v>
      </c>
      <c r="B9" s="13" t="s">
        <v>1025</v>
      </c>
      <c r="C9" s="13" t="s">
        <v>1026</v>
      </c>
      <c r="D9" s="14" t="s">
        <v>1012</v>
      </c>
      <c r="E9" s="14" t="s">
        <v>1018</v>
      </c>
      <c r="F9" s="14" t="s">
        <v>1019</v>
      </c>
      <c r="G9" s="13" t="s">
        <v>540</v>
      </c>
    </row>
    <row r="10" customFormat="false" ht="23.25" hidden="false" customHeight="true" outlineLevel="0" collapsed="false">
      <c r="A10" s="13" t="s">
        <v>1027</v>
      </c>
      <c r="B10" s="13" t="s">
        <v>1028</v>
      </c>
      <c r="C10" s="13" t="s">
        <v>1029</v>
      </c>
      <c r="D10" s="14" t="s">
        <v>1012</v>
      </c>
      <c r="E10" s="14" t="s">
        <v>1012</v>
      </c>
      <c r="F10" s="14" t="s">
        <v>1018</v>
      </c>
      <c r="G10" s="13" t="s">
        <v>509</v>
      </c>
    </row>
    <row r="11" customFormat="false" ht="23.25" hidden="false" customHeight="true" outlineLevel="0" collapsed="false">
      <c r="A11" s="13" t="s">
        <v>1030</v>
      </c>
      <c r="B11" s="13" t="s">
        <v>1031</v>
      </c>
      <c r="C11" s="13" t="s">
        <v>1032</v>
      </c>
      <c r="D11" s="14" t="s">
        <v>1012</v>
      </c>
      <c r="E11" s="14" t="s">
        <v>1012</v>
      </c>
      <c r="F11" s="14" t="s">
        <v>1012</v>
      </c>
      <c r="G11" s="13" t="s">
        <v>681</v>
      </c>
    </row>
    <row r="12" customFormat="false" ht="23.25" hidden="false" customHeight="true" outlineLevel="0" collapsed="false">
      <c r="A12" s="13" t="s">
        <v>1033</v>
      </c>
      <c r="B12" s="13" t="s">
        <v>1034</v>
      </c>
      <c r="C12" s="13" t="s">
        <v>1035</v>
      </c>
      <c r="D12" s="14" t="s">
        <v>1018</v>
      </c>
      <c r="E12" s="14" t="s">
        <v>1018</v>
      </c>
      <c r="F12" s="14" t="s">
        <v>1019</v>
      </c>
      <c r="G12" s="13" t="s">
        <v>691</v>
      </c>
    </row>
    <row r="13" customFormat="false" ht="23.25" hidden="false" customHeight="true" outlineLevel="0" collapsed="false">
      <c r="A13" s="13" t="s">
        <v>1036</v>
      </c>
      <c r="B13" s="13" t="s">
        <v>1037</v>
      </c>
      <c r="C13" s="13" t="s">
        <v>1038</v>
      </c>
      <c r="D13" s="14" t="s">
        <v>1012</v>
      </c>
      <c r="E13" s="14" t="s">
        <v>1018</v>
      </c>
      <c r="F13" s="14" t="s">
        <v>1019</v>
      </c>
      <c r="G13" s="13" t="s">
        <v>533</v>
      </c>
    </row>
    <row r="14" customFormat="false" ht="15" hidden="false" customHeight="true" outlineLevel="0" collapsed="false">
      <c r="A14" s="13" t="s">
        <v>1039</v>
      </c>
      <c r="B14" s="13" t="s">
        <v>1040</v>
      </c>
      <c r="C14" s="13" t="s">
        <v>1041</v>
      </c>
      <c r="D14" s="14" t="s">
        <v>1012</v>
      </c>
      <c r="E14" s="14" t="s">
        <v>1018</v>
      </c>
      <c r="F14" s="14" t="s">
        <v>1019</v>
      </c>
      <c r="G14" s="13" t="s">
        <v>481</v>
      </c>
    </row>
    <row r="15" customFormat="false" ht="23.25" hidden="false" customHeight="true" outlineLevel="0" collapsed="false">
      <c r="A15" s="13" t="s">
        <v>1042</v>
      </c>
      <c r="B15" s="13" t="s">
        <v>1043</v>
      </c>
      <c r="C15" s="13" t="s">
        <v>1044</v>
      </c>
      <c r="D15" s="14" t="s">
        <v>1012</v>
      </c>
      <c r="E15" s="14" t="s">
        <v>1018</v>
      </c>
      <c r="F15" s="14" t="s">
        <v>1019</v>
      </c>
      <c r="G15" s="13" t="s">
        <v>641</v>
      </c>
    </row>
    <row r="16" customFormat="false" ht="15" hidden="false" customHeight="true" outlineLevel="0" collapsed="false">
      <c r="A16" s="13" t="s">
        <v>1045</v>
      </c>
      <c r="B16" s="13" t="s">
        <v>1046</v>
      </c>
      <c r="C16" s="13" t="s">
        <v>1047</v>
      </c>
      <c r="D16" s="14" t="s">
        <v>1012</v>
      </c>
      <c r="E16" s="14" t="s">
        <v>1012</v>
      </c>
      <c r="F16" s="14" t="s">
        <v>1012</v>
      </c>
      <c r="G16" s="13" t="s">
        <v>496</v>
      </c>
    </row>
    <row r="17" customFormat="false" ht="15" hidden="false" customHeight="true" outlineLevel="0" collapsed="false">
      <c r="A17" s="13" t="s">
        <v>1048</v>
      </c>
      <c r="B17" s="13" t="s">
        <v>1049</v>
      </c>
      <c r="C17" s="13" t="s">
        <v>1050</v>
      </c>
      <c r="D17" s="14" t="s">
        <v>1018</v>
      </c>
      <c r="E17" s="14" t="s">
        <v>1019</v>
      </c>
      <c r="F17" s="14" t="s">
        <v>1051</v>
      </c>
      <c r="G17" s="13" t="s">
        <v>540</v>
      </c>
    </row>
    <row r="18" customFormat="false" ht="23.25" hidden="false" customHeight="true" outlineLevel="0" collapsed="false">
      <c r="A18" s="13" t="s">
        <v>1052</v>
      </c>
      <c r="B18" s="13" t="s">
        <v>1053</v>
      </c>
      <c r="C18" s="13" t="s">
        <v>1054</v>
      </c>
      <c r="D18" s="14" t="s">
        <v>1055</v>
      </c>
      <c r="E18" s="14" t="s">
        <v>1018</v>
      </c>
      <c r="F18" s="14" t="s">
        <v>1019</v>
      </c>
      <c r="G18" s="13" t="s">
        <v>1056</v>
      </c>
    </row>
    <row r="19" customFormat="false" ht="15" hidden="false" customHeight="true" outlineLevel="0" collapsed="false">
      <c r="A19" s="13" t="s">
        <v>1057</v>
      </c>
      <c r="B19" s="13" t="s">
        <v>1058</v>
      </c>
      <c r="C19" s="13" t="s">
        <v>1059</v>
      </c>
      <c r="D19" s="14" t="s">
        <v>1012</v>
      </c>
      <c r="E19" s="14" t="s">
        <v>1018</v>
      </c>
      <c r="F19" s="14" t="s">
        <v>1019</v>
      </c>
      <c r="G19" s="13" t="s">
        <v>583</v>
      </c>
    </row>
    <row r="20" customFormat="false" ht="15" hidden="false" customHeight="true" outlineLevel="0" collapsed="false">
      <c r="A20" s="13" t="s">
        <v>1060</v>
      </c>
      <c r="B20" s="13" t="s">
        <v>1061</v>
      </c>
      <c r="C20" s="13" t="s">
        <v>1062</v>
      </c>
      <c r="D20" s="14" t="s">
        <v>1018</v>
      </c>
      <c r="E20" s="14" t="s">
        <v>1019</v>
      </c>
      <c r="F20" s="14" t="s">
        <v>1051</v>
      </c>
      <c r="G20" s="13" t="s">
        <v>540</v>
      </c>
    </row>
    <row r="21" customFormat="false" ht="15" hidden="false" customHeight="true" outlineLevel="0" collapsed="false">
      <c r="A21" s="13" t="s">
        <v>1063</v>
      </c>
      <c r="B21" s="13" t="s">
        <v>1064</v>
      </c>
      <c r="C21" s="13" t="s">
        <v>1065</v>
      </c>
      <c r="D21" s="14" t="s">
        <v>1018</v>
      </c>
      <c r="E21" s="14" t="s">
        <v>1019</v>
      </c>
      <c r="F21" s="14" t="s">
        <v>1051</v>
      </c>
      <c r="G21" s="13" t="s">
        <v>623</v>
      </c>
    </row>
    <row r="22" customFormat="false" ht="15" hidden="false" customHeight="true" outlineLevel="0" collapsed="false">
      <c r="A22" s="13" t="s">
        <v>1066</v>
      </c>
      <c r="B22" s="13" t="s">
        <v>1067</v>
      </c>
      <c r="C22" s="13" t="s">
        <v>1068</v>
      </c>
      <c r="D22" s="14" t="s">
        <v>1018</v>
      </c>
      <c r="E22" s="14" t="s">
        <v>1019</v>
      </c>
      <c r="F22" s="14" t="s">
        <v>1051</v>
      </c>
      <c r="G22" s="13" t="s">
        <v>533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0"/>
    <col collapsed="false" customWidth="true" hidden="false" outlineLevel="0" max="3" min="3" style="1" width="10"/>
    <col collapsed="false" customWidth="true" hidden="false" outlineLevel="0" max="4" min="4" style="1" width="50"/>
  </cols>
  <sheetData>
    <row r="1" customFormat="false" ht="33.75" hidden="false" customHeight="true" outlineLevel="0" collapsed="false">
      <c r="A1" s="12" t="s">
        <v>839</v>
      </c>
      <c r="B1" s="12" t="s">
        <v>1069</v>
      </c>
      <c r="C1" s="12" t="s">
        <v>1070</v>
      </c>
      <c r="D1" s="12" t="s">
        <v>1071</v>
      </c>
    </row>
    <row r="2" customFormat="false" ht="23.25" hidden="false" customHeight="true" outlineLevel="0" collapsed="false">
      <c r="A2" s="13" t="n">
        <v>1</v>
      </c>
      <c r="B2" s="13" t="s">
        <v>1072</v>
      </c>
      <c r="C2" s="14" t="s">
        <v>1073</v>
      </c>
      <c r="D2" s="13" t="s">
        <v>1074</v>
      </c>
    </row>
    <row r="3" customFormat="false" ht="15" hidden="false" customHeight="true" outlineLevel="0" collapsed="false">
      <c r="A3" s="13" t="n">
        <v>2</v>
      </c>
      <c r="B3" s="13" t="s">
        <v>1075</v>
      </c>
      <c r="C3" s="14" t="s">
        <v>1073</v>
      </c>
      <c r="D3" s="13"/>
    </row>
    <row r="4" customFormat="false" ht="15" hidden="false" customHeight="true" outlineLevel="0" collapsed="false">
      <c r="A4" s="13" t="n">
        <v>3</v>
      </c>
      <c r="B4" s="13" t="s">
        <v>1076</v>
      </c>
      <c r="C4" s="14" t="s">
        <v>1073</v>
      </c>
      <c r="D4" s="13" t="s">
        <v>1077</v>
      </c>
    </row>
    <row r="5" customFormat="false" ht="15" hidden="false" customHeight="true" outlineLevel="0" collapsed="false">
      <c r="A5" s="13" t="n">
        <v>4</v>
      </c>
      <c r="B5" s="13" t="s">
        <v>1078</v>
      </c>
      <c r="C5" s="14" t="s">
        <v>1073</v>
      </c>
      <c r="D5" s="13" t="s">
        <v>1079</v>
      </c>
    </row>
    <row r="6" customFormat="false" ht="15" hidden="false" customHeight="true" outlineLevel="0" collapsed="false">
      <c r="A6" s="13" t="n">
        <v>5</v>
      </c>
      <c r="B6" s="13" t="s">
        <v>1080</v>
      </c>
      <c r="C6" s="14" t="s">
        <v>1073</v>
      </c>
      <c r="D6" s="13"/>
    </row>
    <row r="7" customFormat="false" ht="15" hidden="false" customHeight="true" outlineLevel="0" collapsed="false">
      <c r="A7" s="13" t="n">
        <v>6</v>
      </c>
      <c r="B7" s="13" t="s">
        <v>1081</v>
      </c>
      <c r="C7" s="14" t="s">
        <v>1073</v>
      </c>
      <c r="D7" s="13" t="s">
        <v>1082</v>
      </c>
    </row>
    <row r="8" customFormat="false" ht="15" hidden="false" customHeight="true" outlineLevel="0" collapsed="false">
      <c r="A8" s="13" t="n">
        <v>7</v>
      </c>
      <c r="B8" s="13" t="s">
        <v>1083</v>
      </c>
      <c r="C8" s="14" t="s">
        <v>1073</v>
      </c>
      <c r="D8" s="13" t="s">
        <v>1084</v>
      </c>
    </row>
    <row r="9" customFormat="false" ht="15" hidden="false" customHeight="true" outlineLevel="0" collapsed="false">
      <c r="A9" s="13" t="n">
        <v>8</v>
      </c>
      <c r="B9" s="13" t="s">
        <v>1085</v>
      </c>
      <c r="C9" s="14" t="s">
        <v>1073</v>
      </c>
      <c r="D9" s="13" t="s">
        <v>1086</v>
      </c>
    </row>
    <row r="10" customFormat="false" ht="15" hidden="false" customHeight="true" outlineLevel="0" collapsed="false">
      <c r="A10" s="13" t="n">
        <v>9</v>
      </c>
      <c r="B10" s="13" t="s">
        <v>1087</v>
      </c>
      <c r="C10" s="14" t="s">
        <v>1073</v>
      </c>
      <c r="D10" s="13" t="s">
        <v>1088</v>
      </c>
    </row>
    <row r="11" customFormat="false" ht="15" hidden="false" customHeight="true" outlineLevel="0" collapsed="false">
      <c r="A11" s="13" t="n">
        <v>10</v>
      </c>
      <c r="B11" s="13" t="s">
        <v>1089</v>
      </c>
      <c r="C11" s="14" t="s">
        <v>1073</v>
      </c>
      <c r="D11" s="13" t="s">
        <v>1090</v>
      </c>
    </row>
    <row r="12" customFormat="false" ht="15" hidden="false" customHeight="true" outlineLevel="0" collapsed="false">
      <c r="A12" s="13" t="n">
        <v>11</v>
      </c>
      <c r="B12" s="13" t="s">
        <v>1091</v>
      </c>
      <c r="C12" s="14" t="s">
        <v>1073</v>
      </c>
      <c r="D12" s="13"/>
    </row>
    <row r="13" customFormat="false" ht="15" hidden="false" customHeight="true" outlineLevel="0" collapsed="false">
      <c r="A13" s="13" t="n">
        <v>12</v>
      </c>
      <c r="B13" s="13" t="s">
        <v>1092</v>
      </c>
      <c r="C13" s="14" t="s">
        <v>1073</v>
      </c>
      <c r="D13" s="13" t="s">
        <v>1093</v>
      </c>
    </row>
    <row r="14" customFormat="false" ht="15" hidden="false" customHeight="true" outlineLevel="0" collapsed="false">
      <c r="A14" s="13" t="n">
        <v>13</v>
      </c>
      <c r="B14" s="13" t="s">
        <v>1094</v>
      </c>
      <c r="C14" s="14" t="s">
        <v>1073</v>
      </c>
      <c r="D14" s="13" t="s">
        <v>1095</v>
      </c>
    </row>
    <row r="15" customFormat="false" ht="15" hidden="false" customHeight="true" outlineLevel="0" collapsed="false">
      <c r="A15" s="13" t="n">
        <v>14</v>
      </c>
      <c r="B15" s="13" t="s">
        <v>1096</v>
      </c>
      <c r="C15" s="14" t="s">
        <v>1073</v>
      </c>
      <c r="D15" s="13" t="s">
        <v>1097</v>
      </c>
    </row>
    <row r="16" customFormat="false" ht="23.25" hidden="false" customHeight="true" outlineLevel="0" collapsed="false">
      <c r="A16" s="13" t="n">
        <v>15</v>
      </c>
      <c r="B16" s="13" t="s">
        <v>1098</v>
      </c>
      <c r="C16" s="14" t="s">
        <v>1073</v>
      </c>
      <c r="D16" s="13" t="s">
        <v>1099</v>
      </c>
    </row>
    <row r="17" customFormat="false" ht="15" hidden="false" customHeight="true" outlineLevel="0" collapsed="false">
      <c r="A17" s="13" t="n">
        <v>16</v>
      </c>
      <c r="B17" s="13" t="s">
        <v>1100</v>
      </c>
      <c r="C17" s="14" t="s">
        <v>1073</v>
      </c>
      <c r="D17" s="13" t="s">
        <v>1101</v>
      </c>
    </row>
    <row r="18" customFormat="false" ht="15" hidden="false" customHeight="true" outlineLevel="0" collapsed="false">
      <c r="A18" s="13" t="n">
        <v>17</v>
      </c>
      <c r="B18" s="13" t="s">
        <v>1102</v>
      </c>
      <c r="C18" s="14" t="s">
        <v>1073</v>
      </c>
      <c r="D18" s="13" t="s">
        <v>1103</v>
      </c>
    </row>
    <row r="19" customFormat="false" ht="15" hidden="false" customHeight="true" outlineLevel="0" collapsed="false">
      <c r="A19" s="13" t="n">
        <v>18</v>
      </c>
      <c r="B19" s="13" t="s">
        <v>1104</v>
      </c>
      <c r="C19" s="14" t="s">
        <v>1073</v>
      </c>
      <c r="D19" s="13" t="s">
        <v>1105</v>
      </c>
    </row>
    <row r="20" customFormat="false" ht="15" hidden="false" customHeight="true" outlineLevel="0" collapsed="false">
      <c r="A20" s="13" t="n">
        <v>19</v>
      </c>
      <c r="B20" s="13" t="s">
        <v>1106</v>
      </c>
      <c r="C20" s="14" t="s">
        <v>1073</v>
      </c>
      <c r="D20" s="13"/>
    </row>
    <row r="21" customFormat="false" ht="15" hidden="false" customHeight="true" outlineLevel="0" collapsed="false">
      <c r="A21" s="13" t="n">
        <v>20</v>
      </c>
      <c r="B21" s="13" t="s">
        <v>1107</v>
      </c>
      <c r="C21" s="14" t="s">
        <v>1073</v>
      </c>
      <c r="D21" s="13"/>
    </row>
    <row r="22" customFormat="false" ht="15" hidden="false" customHeight="true" outlineLevel="0" collapsed="false">
      <c r="A22" s="13" t="n">
        <v>21</v>
      </c>
      <c r="B22" s="13" t="s">
        <v>1108</v>
      </c>
      <c r="C22" s="14" t="s">
        <v>1073</v>
      </c>
      <c r="D22" s="13"/>
    </row>
    <row r="23" customFormat="false" ht="15" hidden="false" customHeight="true" outlineLevel="0" collapsed="false">
      <c r="A23" s="13" t="n">
        <v>22</v>
      </c>
      <c r="B23" s="13" t="s">
        <v>1109</v>
      </c>
      <c r="C23" s="14" t="s">
        <v>1073</v>
      </c>
      <c r="D23" s="13"/>
    </row>
  </sheetData>
  <conditionalFormatting sqref="C2:C23">
    <cfRule type="cellIs" priority="2" operator="equal" aboveAverage="0" equalAverage="0" bottom="0" percent="0" rank="0" text="" dxfId="13">
      <formula>"Yes"</formula>
    </cfRule>
    <cfRule type="cellIs" priority="3" operator="equal" aboveAverage="0" equalAverage="0" bottom="0" percent="0" rank="0" text="" dxfId="11">
      <formula>"No"</formula>
    </cfRule>
  </conditionalFormatting>
  <dataValidations count="1">
    <dataValidation allowBlank="true" error="Pick a value from the dropdown." errorStyle="stop" errorTitle="Use a listed value" operator="between" showDropDown="false" showErrorMessage="true" showInputMessage="false" sqref="C2:C2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2026-09-16T01:36:33Z</dcterms:created>
  <dc:creator>openpyxl</dc:creator>
  <dc:description/>
  <dc:language>en-US</dc:language>
  <cp:lastModifiedBy/>
  <dcterms:modified xsi:type="dcterms:W3CDTF">2026-10-13T14:22:19Z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