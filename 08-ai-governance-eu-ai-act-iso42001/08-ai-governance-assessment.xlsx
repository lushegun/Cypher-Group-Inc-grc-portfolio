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AI_Register" sheetId="2" state="visible" r:id="rId4"/>
    <sheet name="02_AI_Act_Tests" sheetId="3" state="visible" r:id="rId5"/>
    <sheet name="03_Timeline" sheetId="4" state="visible" r:id="rId6"/>
    <sheet name="04_Clauses" sheetId="5" state="visible" r:id="rId7"/>
    <sheet name="05_Annex_A" sheetId="6" state="visible" r:id="rId8"/>
    <sheet name="06_Readiness" sheetId="7" state="visible" r:id="rId9"/>
    <sheet name="07_Impact_Assessments" sheetId="8" state="visible" r:id="rId10"/>
    <sheet name="08_Harm_Scores" sheetId="9" state="visible" r:id="rId11"/>
    <sheet name="09_DPIA_Screening" sheetId="10" state="visible" r:id="rId12"/>
    <sheet name="10_Findings" sheetId="11" state="visible" r:id="rId13"/>
    <sheet name="11_Severity_Rule" sheetId="12" state="visible" r:id="rId14"/>
    <sheet name="12_Mapping" sheetId="13" state="visible" r:id="rId15"/>
    <sheet name="13_Drawer2_Test" sheetId="14" state="visible" r:id="rId16"/>
    <sheet name="14_Register_v1.3" sheetId="15" state="visible" r:id="rId17"/>
    <sheet name="15_Roadmap" sheetId="16" state="visible" r:id="rId18"/>
    <sheet name="16_Conflicts" sheetId="17" state="visible" r:id="rId19"/>
    <sheet name="17_Maturity_Effect" sheetId="18" state="visible" r:id="rId20"/>
    <sheet name="18_Assumptions_Limits" sheetId="19" state="visible" r:id="rId21"/>
    <sheet name="19_Issue_Checklist"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<sst xmlns="http://schemas.openxmlformats.org/spreadsheetml/2006/main" count="2138" uniqueCount="1257">
  <si>
    <t xml:space="preserve">CGI-AIG-001</t>
  </si>
  <si>
    <t xml:space="preserve">AI Governance Assessment - EU AI Act applicability and ISO/IEC 42001 gap assessment</t>
  </si>
  <si>
    <t xml:space="preserve">Organisation</t>
  </si>
  <si>
    <t xml:space="preserve">Cypher Group Inc. (SIMULATED) - 50 employees, B2B SaaS project-management platform, ~200 SMB customers, ~USD 3.6M ARR</t>
  </si>
  <si>
    <t xml:space="preserve">CASE STUDY NOTICE</t>
  </si>
  <si>
    <t xml:space="preserve">Simulated case study. Laws, standards, article and clause numbers are real and current to 17 Oct 2026; ISO/IEC 42001 wording is paraphrased.</t>
  </si>
  <si>
    <t xml:space="preserve">Laws and standards</t>
  </si>
  <si>
    <t xml:space="preserve">Regulation (EU) 2024/1689 (AI Act) as amended by Regulation (EU) 2026/1744 (Digital Omnibus on AI); ISO/IEC 42001:2023; NIST AI RMF 1.0; GDPR</t>
  </si>
  <si>
    <t xml:space="preserve">Assessment date</t>
  </si>
  <si>
    <t xml:space="preserve">17 October 2026</t>
  </si>
  <si>
    <t xml:space="preserve">Prepared by</t>
  </si>
  <si>
    <t xml:space="preserve">O.S (assessor)</t>
  </si>
  <si>
    <t xml:space="preserve">Approving authority</t>
  </si>
  <si>
    <t xml:space="preserve">Jerry Gold, Chief Executive Officer</t>
  </si>
  <si>
    <t xml:space="preserve">Status</t>
  </si>
  <si>
    <t xml:space="preserve">Draft for approval</t>
  </si>
  <si>
    <t xml:space="preserve">Colour key</t>
  </si>
  <si>
    <t xml:space="preserve">Yellow = assessor input (change it and every score recalculates). Grey = formula. Navy = header.</t>
  </si>
  <si>
    <t xml:space="preserve">How to use</t>
  </si>
  <si>
    <t xml:space="preserve">Change a maturity in 05_Annex_A or a score in 04_Clauses and watch 06_Readiness and 19_Issue_Checklist update.</t>
  </si>
  <si>
    <t xml:space="preserve">Sheets</t>
  </si>
  <si>
    <t xml:space="preserve">01 register · 02 AI Act tests · 03 timeline · 04 clauses · 05 Annex A · 06 readiness · 07 impact assessments · 08 harm scores · 09 DPIA screening · 10 findings · 11 severity rule · 12 mapping · 13 drawer-2 test · 14 register v1.3 · 15 roadmap · 16 conflicts · 17 maturity · 18 assumptions · 19 issue checklist</t>
  </si>
  <si>
    <t xml:space="preserve">Part 2 - AI system register. Built only from what Projects 01-07 record, plus scenario AI-A01.</t>
  </si>
  <si>
    <t xml:space="preserve">AI system ID</t>
  </si>
  <si>
    <t xml:space="preserve">AI system</t>
  </si>
  <si>
    <t xml:space="preserve">Supplier (ID)</t>
  </si>
  <si>
    <t xml:space="preserve">What it does</t>
  </si>
  <si>
    <t xml:space="preserve">Status on 17 Oct 2026</t>
  </si>
  <si>
    <t xml:space="preserve">How it entered Cypher</t>
  </si>
  <si>
    <t xml:space="preserve">Business owner (job title)</t>
  </si>
  <si>
    <t xml:space="preserve">Scale</t>
  </si>
  <si>
    <t xml:space="preserve">Data in</t>
  </si>
  <si>
    <t xml:space="preserve">Data out</t>
  </si>
  <si>
    <t xml:space="preserve">Classification (CGI-POL-004)</t>
  </si>
  <si>
    <t xml:space="preserve">People affected</t>
  </si>
  <si>
    <t xml:space="preserve">Cypher's AI Act role</t>
  </si>
  <si>
    <t xml:space="preserve">Role article</t>
  </si>
  <si>
    <t xml:space="preserve">Risk tier for Cypher</t>
  </si>
  <si>
    <t xml:space="preserve">Deciding article(s)</t>
  </si>
  <si>
    <t xml:space="preserve">Duties that sit with the provider, not Cypher</t>
  </si>
  <si>
    <t xml:space="preserve">Model training on Cypher content (VQ-68)</t>
  </si>
  <si>
    <t xml:space="preserve">GDPR Art. 28 DPA (CGI-TPR-001)</t>
  </si>
  <si>
    <t xml:space="preserve">Human oversight today</t>
  </si>
  <si>
    <t xml:space="preserve">Source in earlier projects</t>
  </si>
  <si>
    <t xml:space="preserve">Related risk IDs</t>
  </si>
  <si>
    <t xml:space="preserve">Related findings</t>
  </si>
  <si>
    <t xml:space="preserve">Impact-assessment triage rank</t>
  </si>
  <si>
    <t xml:space="preserve">AIS-01</t>
  </si>
  <si>
    <t xml:space="preserve">ScribeCo meeting assistant</t>
  </si>
  <si>
    <t xml:space="preserve">ScribeCo (CGI-VEN-012)</t>
  </si>
  <si>
    <t xml:space="preserve">Joins internal and customer calls, records audio, produces transcripts and summaries</t>
  </si>
  <si>
    <t xml:space="preserve">In use. Shadow AI found 15 Sep 2026 in the expense review; CGI-TPR-001 decision was due 15 Oct 2026 and none is recorded</t>
  </si>
  <si>
    <t xml:space="preserve">Bought on a personal card; never onboarded (discovery source 2, finance)</t>
  </si>
  <si>
    <t xml:space="preserve">Head of Customer Success</t>
  </si>
  <si>
    <t xml:space="preserve">About 40 meetings a month</t>
  </si>
  <si>
    <t xml:space="preserve">Full audio of internal and customer calls: voices, names, commercial and security discussion, any personal data spoken aloud</t>
  </si>
  <si>
    <t xml:space="preserve">Transcripts, summaries, action items</t>
  </si>
  <si>
    <t xml:space="preserve">Confidential</t>
  </si>
  <si>
    <t xml:space="preserve">Customer staff on calls; Cypher staff; third parties named in calls</t>
  </si>
  <si>
    <t xml:space="preserve">Deployer</t>
  </si>
  <si>
    <t xml:space="preserve">Art. 3(4)</t>
  </si>
  <si>
    <t xml:space="preserve">Minimal (no AI Act duty beyond Art. 4 and Art. 5)</t>
  </si>
  <si>
    <t xml:space="preserve">Art. 6(2) + Annex III (no listed use); Art. 5(1)(f) checked (see AI-A02); Art. 50(3)-(4) not triggered</t>
  </si>
  <si>
    <t xml:space="preserve">Art. 50(1) disclosure if the bot is intended to interact with people; Art. 50(2) marking of generated text</t>
  </si>
  <si>
    <t xml:space="preserve">Unknown: no contract, terms never reviewed</t>
  </si>
  <si>
    <t xml:space="preserve">None: no contract of any kind</t>
  </si>
  <si>
    <t xml:space="preserve">None recorded. CGI-POL-001 s4.5.3 requires review before output reaches a customer</t>
  </si>
  <si>
    <t xml:space="preserve">CGI-TPR-001 inventory and Part 2.1; CGI-ISO-001 A.5.8, A.5.10; CGI-POL-001 s4.5</t>
  </si>
  <si>
    <t xml:space="preserve">VR-005; VR-006; VR-001; R-003; AR-001</t>
  </si>
  <si>
    <t xml:space="preserve">AF-01; AF-04; AF-06; AF-07; AF-09</t>
  </si>
  <si>
    <t xml:space="preserve">1</t>
  </si>
  <si>
    <t xml:space="preserve">AIS-02</t>
  </si>
  <si>
    <t xml:space="preserve">ChatCo AI features</t>
  </si>
  <si>
    <t xml:space="preserve">ChatCo (CGI-VEN-004)</t>
  </si>
  <si>
    <t xml:space="preserve">AI features inside team chat that read message content to answer questions and summarise channels</t>
  </si>
  <si>
    <t xml:space="preserve">Recorded as processing message content (VRA-2026-002 F-004, 15 Sep 2026). Action R4 (switch off by 01 Oct 2026) has no completion evidence, so treated as on (AI-A04)</t>
  </si>
  <si>
    <t xml:space="preserve">Bundled into a Tier 1 supplier's plan; AI terms never read at procurement</t>
  </si>
  <si>
    <t xml:space="preserve">IT Operations Manager</t>
  </si>
  <si>
    <t xml:space="preserve">50 users; 3 shared channels with customers</t>
  </si>
  <si>
    <t xml:space="preserve">Message content, pasted credentials and screenshots, incident traffic, customers' posts in shared channels</t>
  </si>
  <si>
    <t xml:space="preserve">AI answers and channel summaries inside ChatCo (internal)</t>
  </si>
  <si>
    <t xml:space="preserve">Cypher staff; customer staff posting in shared channels</t>
  </si>
  <si>
    <t xml:space="preserve">Art. 6(2) + Annex III (no listed use); Art. 50(3)-(4) not triggered</t>
  </si>
  <si>
    <t xml:space="preserve">Art. 50(1) and 50(2) for ChatCo's assistant</t>
  </si>
  <si>
    <t xml:space="preserve">Not Met: training not contractually prohibited; human review not excluded (F-004, VQ-68 and VQ-69)</t>
  </si>
  <si>
    <t xml:space="preserve">Not executed (F-001)</t>
  </si>
  <si>
    <t xml:space="preserve">None recorded for AI output</t>
  </si>
  <si>
    <t xml:space="preserve">CGI-TPR-001 VRA-2026-002 F-004 and action R4</t>
  </si>
  <si>
    <t xml:space="preserve">VR-006; VR-001; R-003</t>
  </si>
  <si>
    <t xml:space="preserve">AF-02; AF-04; AF-07</t>
  </si>
  <si>
    <t xml:space="preserve">2</t>
  </si>
  <si>
    <t xml:space="preserve">AIS-03</t>
  </si>
  <si>
    <t xml:space="preserve">WriteCo writing assistant</t>
  </si>
  <si>
    <t xml:space="preserve">WriteCo (CGI-VEN-013)</t>
  </si>
  <si>
    <t xml:space="preserve">Browser extension that reads text typed into web fields and suggests or drafts rewrites</t>
  </si>
  <si>
    <t xml:space="preserve">In use on 12 seats. Assessed Pass with conditions (extension scope restricted); Tier 2 by trigger T2-f</t>
  </si>
  <si>
    <t xml:space="preserve">Individual licences on expense; brought under CGI-TPR-001 by T2-f</t>
  </si>
  <si>
    <t xml:space="preserve">Head of People and Operations</t>
  </si>
  <si>
    <t xml:space="preserve">12 seats</t>
  </si>
  <si>
    <t xml:space="preserve">Any text typed into a web field: ChatCo, WikiCo, the CGI admin console, email</t>
  </si>
  <si>
    <t xml:space="preserve">Suggested and drafted text that staff send onwards</t>
  </si>
  <si>
    <t xml:space="preserve">Cypher staff; recipients of drafted text, including customers</t>
  </si>
  <si>
    <t xml:space="preserve">Art. 6(2) + Annex III (no listed use); Art. 25(1)(c) watch: an HR use could make Cypher a provider</t>
  </si>
  <si>
    <t xml:space="preserve">Art. 50(2) marking of generated text (Art. 111(4) grace to 2 Dec 2026 if on the market before 2 Aug 2026)</t>
  </si>
  <si>
    <t xml:space="preserve">Not evidenced: individual licences, no executed terms</t>
  </si>
  <si>
    <t xml:space="preserve">None: individual licences on expense</t>
  </si>
  <si>
    <t xml:space="preserve">Author edits before sending (by design, not recorded)</t>
  </si>
  <si>
    <t xml:space="preserve">CGI-TPR-001 inventory, tiering Part 3 (T2-f), Gate A</t>
  </si>
  <si>
    <t xml:space="preserve">VR-006; VR-005; VR-001; R-003; AR-001</t>
  </si>
  <si>
    <t xml:space="preserve">AF-03; AF-04; AF-05; AF-07</t>
  </si>
  <si>
    <t xml:space="preserve">3</t>
  </si>
  <si>
    <t xml:space="preserve">AIS-04</t>
  </si>
  <si>
    <t xml:space="preserve">AI-A01 project assistant (scenario)</t>
  </si>
  <si>
    <t xml:space="preserve">ModelCo, a general-purpose model provider (scenario; not counted in CGI-TPR-001)</t>
  </si>
  <si>
    <t xml:space="preserve">Planned in-product assistant: answers a customer's questions about their own projects and drafts status summaries</t>
  </si>
  <si>
    <t xml:space="preserve">Scenario assumption AI-A01: design gate 31 Mar 2027, planned launch 01 Sep 2027. Not live; excluded from every earlier project's numbers</t>
  </si>
  <si>
    <t xml:space="preserve">Product roadmap (scenario)</t>
  </si>
  <si>
    <t xml:space="preserve">Chief Technology Officer</t>
  </si>
  <si>
    <t xml:space="preserve">About 200 customer organisations at launch</t>
  </si>
  <si>
    <t xml:space="preserve">Customer project content; users' prompts</t>
  </si>
  <si>
    <t xml:space="preserve">Generated answers and summaries shown to customer users</t>
  </si>
  <si>
    <t xml:space="preserve">Confidential (customer content)</t>
  </si>
  <si>
    <t xml:space="preserve">Customer users; their team members named in projects</t>
  </si>
  <si>
    <t xml:space="preserve">Provider (and downstream provider)</t>
  </si>
  <si>
    <t xml:space="preserve">Art. 3(3); Art. 3(68)</t>
  </si>
  <si>
    <t xml:space="preserve">Transparency (Art. 50) at launch; not high-risk while the intended purpose excludes judging workers</t>
  </si>
  <si>
    <t xml:space="preserve">Art. 50(1) and 50(2); Art. 6(2) + Annex III point 4(b) excluded by the intended-purpose statement</t>
  </si>
  <si>
    <t xml:space="preserve">ModelCo: Chapter V GPAI model duties (since 2 Aug 2025)</t>
  </si>
  <si>
    <t xml:space="preserve">Design requirement: zero retention and no training, by contract</t>
  </si>
  <si>
    <t xml:space="preserve">Required before build: ModelCo DPA; customer sub-processor notice</t>
  </si>
  <si>
    <t xml:space="preserve">Design requirement: user reviews before sharing; feedback and stop control</t>
  </si>
  <si>
    <t xml:space="preserve">Declared here (Part 2.3); scenario only</t>
  </si>
  <si>
    <t xml:space="preserve">R-004; AR-002; VR-006</t>
  </si>
  <si>
    <t xml:space="preserve">AF-13</t>
  </si>
  <si>
    <t xml:space="preserve">Not ranked (not live)</t>
  </si>
  <si>
    <t xml:space="preserve">Part 3 - EU AI Act applicability: eight tests per system, each with its article.</t>
  </si>
  <si>
    <t xml:space="preserve">1. AI system? (Art. 3(1))</t>
  </si>
  <si>
    <t xml:space="preserve">2. Cypher's role (Art. 3, Art. 25)</t>
  </si>
  <si>
    <t xml:space="preserve">3. Prohibited practice? (Art. 5)</t>
  </si>
  <si>
    <t xml:space="preserve">4. Annex I product? (Art. 6(1))</t>
  </si>
  <si>
    <t xml:space="preserve">5. Annex III use? (Art. 6(2))</t>
  </si>
  <si>
    <t xml:space="preserve">6. Art. 6(3) needed?</t>
  </si>
  <si>
    <t xml:space="preserve">7. Art. 50 duty on Cypher?</t>
  </si>
  <si>
    <t xml:space="preserve">8. GPAI model duties on Cypher? (Chapter V)</t>
  </si>
  <si>
    <t xml:space="preserve">Tier for Cypher</t>
  </si>
  <si>
    <t xml:space="preserve">Applies today</t>
  </si>
  <si>
    <t xml:space="preserve">Applies later</t>
  </si>
  <si>
    <t xml:space="preserve">What would change the answer</t>
  </si>
  <si>
    <t xml:space="preserve">Yes: infers transcripts and summaries from audio</t>
  </si>
  <si>
    <t xml:space="preserve">Deployer. Not provider: no own name, no modification, no change of purpose</t>
  </si>
  <si>
    <t xml:space="preserve">No, subject to AI-A02. Emotion inference from voice at work would be Art. 5(1)(f); sentiment from transcript text alone is not emotion recognition (Art. 3(39) needs biometric data)</t>
  </si>
  <si>
    <t xml:space="preserve">No</t>
  </si>
  <si>
    <t xml:space="preserve">No: transcription is not in any of the eight Annex III areas</t>
  </si>
  <si>
    <t xml:space="preserve">No (not an Annex III use)</t>
  </si>
  <si>
    <t xml:space="preserve">No: Art. 50(3) and 50(4) not triggered. Art. 50(1) and 50(2), if they apply, are ScribeCo's</t>
  </si>
  <si>
    <t xml:space="preserve">Minimal</t>
  </si>
  <si>
    <t xml:space="preserve">Art. 4 AI literacy measures; Art. 5 do-not-use. Outside the Act: GDPR Arts 13-14 notice, 28 contract, 35 DPIA, 44-46 transfer</t>
  </si>
  <si>
    <t xml:space="preserve">Nothing new under the Act while the use stays the same</t>
  </si>
  <si>
    <t xml:space="preserve">Using summaries to assess staff performance (Annex III 4(b), from 2 Dec 2027, and Cypher may become provider under Art. 25(1)(c)); enabling voice emotion analysis on internal calls (prohibited now)</t>
  </si>
  <si>
    <t xml:space="preserve">Yes</t>
  </si>
  <si>
    <t xml:space="preserve">No: Art. 50(1) and 50(2) are ChatCo's</t>
  </si>
  <si>
    <t xml:space="preserve">Art. 4; Art. 5. Outside the Act: GDPR Art. 28 (no DPA), Art. 35 screening before re-enabling</t>
  </si>
  <si>
    <t xml:space="preserve">Nothing new under the Act</t>
  </si>
  <si>
    <t xml:space="preserve">Using chat analytics to score staff behaviour (Annex III 4(b))</t>
  </si>
  <si>
    <t xml:space="preserve">No: Art. 50(4) applies only to AI text published to inform the public on matters of public interest, and a person edits every draft. Art. 50(2) is WriteCo's</t>
  </si>
  <si>
    <t xml:space="preserve">Art. 4; Art. 5. Outside the Act: GDPR Art. 28 (no DPA)</t>
  </si>
  <si>
    <t xml:space="preserve">From 2 Dec 2026 WriteCo itself must mark generated text (Art. 111(4)); no new duty for Cypher</t>
  </si>
  <si>
    <t xml:space="preserve">HR using it to rank applicants or rate staff: Annex III 4(a)/(b) from 2 Dec 2027, and Art. 25(1)(c) would make Cypher the provider of a high-risk system</t>
  </si>
  <si>
    <t xml:space="preserve">Provider (Art. 3(3)) and downstream provider (Art. 3(68)); ModelCo is the GPAI model provider</t>
  </si>
  <si>
    <t xml:space="preserve">No, by design</t>
  </si>
  <si>
    <t xml:space="preserve">Not while the intended-purpose statement excludes monitoring or evaluating workers. A 'who on my team is underperforming' feature would be Annex III 4(b)</t>
  </si>
  <si>
    <t xml:space="preserve">Not needed if 4(b) is designed out; if relied on, it must be documented before launch</t>
  </si>
  <si>
    <t xml:space="preserve">Yes, at launch: Art. 50(1) tell users they are dealing with AI; Art. 50(2) machine-readable marking of generated text</t>
  </si>
  <si>
    <t xml:space="preserve">No, unless Cypher modifies the model itself on a large scale (Commission GPAI guidelines)</t>
  </si>
  <si>
    <t xml:space="preserve">Transparency</t>
  </si>
  <si>
    <t xml:space="preserve">Nothing yet (not on the market). Art. 4 from the start of development</t>
  </si>
  <si>
    <t xml:space="preserve">At launch (planned 01 Sep 2027): Art. 50(1), 50(2), Art. 4</t>
  </si>
  <si>
    <t xml:space="preserve">Adding staff-performance features (high-risk, Annex III 4(b)); fine-tuning ModelCo's model at scale (GPAI model provider)</t>
  </si>
  <si>
    <t xml:space="preserve">Part 3.3 - what applies today and what applies later (checked 17 Oct 2026).</t>
  </si>
  <si>
    <t xml:space="preserve">Date</t>
  </si>
  <si>
    <t xml:space="preserve">What starts to apply</t>
  </si>
  <si>
    <t xml:space="preserve">Article</t>
  </si>
  <si>
    <t xml:space="preserve">Applies to Cypher?</t>
  </si>
  <si>
    <t xml:space="preserve">How</t>
  </si>
  <si>
    <t xml:space="preserve">02 Feb 2025</t>
  </si>
  <si>
    <t xml:space="preserve">Prohibited practices (eight)</t>
  </si>
  <si>
    <t xml:space="preserve">Art. 5</t>
  </si>
  <si>
    <t xml:space="preserve">A do-not-use duty for every system. No current system does any of them (AI-A02, AI-A03).</t>
  </si>
  <si>
    <t xml:space="preserve">AI literacy (rewritten 27 Jul 2026: 'take measures to support')</t>
  </si>
  <si>
    <t xml:space="preserve">Art. 4</t>
  </si>
  <si>
    <t xml:space="preserve">As deployer of AIS-01 to AIS-03; as provider of AIS-04 from development. Supervised nationally since 02 Aug 2026.</t>
  </si>
  <si>
    <t xml:space="preserve">02 Aug 2025</t>
  </si>
  <si>
    <t xml:space="preserve">General-purpose AI model obligations; national penalty regimes</t>
  </si>
  <si>
    <t xml:space="preserve">Chapter V; Art. 99</t>
  </si>
  <si>
    <t xml:space="preserve">Cypher provides no general-purpose model. The duties sit with the model providers behind ScribeCo, ChatCo, WriteCo and ModelCo.</t>
  </si>
  <si>
    <t xml:space="preserve">27 Jul 2026</t>
  </si>
  <si>
    <t xml:space="preserve">Digital Omnibus on AI in force</t>
  </si>
  <si>
    <t xml:space="preserve">Reg. (EU) 2026/1744</t>
  </si>
  <si>
    <t xml:space="preserve">Article 4 rewritten; high-risk dates moved; small mid-cap category created.</t>
  </si>
  <si>
    <t xml:space="preserve">02 Aug 2026</t>
  </si>
  <si>
    <t xml:space="preserve">Transparency duties</t>
  </si>
  <si>
    <t xml:space="preserve">Art. 50</t>
  </si>
  <si>
    <t xml:space="preserve">Not as deployer</t>
  </si>
  <si>
    <t xml:space="preserve">No Art. 50(3) or 50(4) use. As provider of AIS-04, at launch.</t>
  </si>
  <si>
    <t xml:space="preserve">02 Dec 2026</t>
  </si>
  <si>
    <t xml:space="preserve">Two new prohibitions (non-consensual intimate content; child sexual abuse material)</t>
  </si>
  <si>
    <t xml:space="preserve">Art. 5(1)(ba), (bb)</t>
  </si>
  <si>
    <t xml:space="preserve">Yes (do-not-use)</t>
  </si>
  <si>
    <t xml:space="preserve">No current system generates images or video.</t>
  </si>
  <si>
    <t xml:space="preserve">Marking deadline for generative systems on the market before 02 Aug 2026</t>
  </si>
  <si>
    <t xml:space="preserve">Art. 111(4)</t>
  </si>
  <si>
    <t xml:space="preserve">A provider duty. Affects ScribeCo, ChatCo and WriteCo, not Cypher.</t>
  </si>
  <si>
    <t xml:space="preserve">02 Dec 2027</t>
  </si>
  <si>
    <t xml:space="preserve">High-risk rules, Annex III route</t>
  </si>
  <si>
    <t xml:space="preserve">Art. 113, as amended</t>
  </si>
  <si>
    <t xml:space="preserve">No today</t>
  </si>
  <si>
    <t xml:space="preserve">Only if an Annex III use begins (AR-002). The census AIG-04 confirms none exists.</t>
  </si>
  <si>
    <t xml:space="preserve">02 Aug 2028</t>
  </si>
  <si>
    <t xml:space="preserve">High-risk rules, Annex I route</t>
  </si>
  <si>
    <t xml:space="preserve">Cypher makes no product covered by Annex I.</t>
  </si>
  <si>
    <t xml:space="preserve">Part 4.2 - ISO/IEC 42001 clauses 4-10. Score 0 absent, 1 partial or designed, 2 met with evidence (CGI-ISO-001 method).</t>
  </si>
  <si>
    <t xml:space="preserve">Clause</t>
  </si>
  <si>
    <t xml:space="preserve">Requirement (paraphrased)</t>
  </si>
  <si>
    <t xml:space="preserve">Stage 1 gate (Y/N)</t>
  </si>
  <si>
    <t xml:space="preserve">Score (0-2)</t>
  </si>
  <si>
    <t xml:space="preserve">Current state</t>
  </si>
  <si>
    <t xml:space="preserve">Gap</t>
  </si>
  <si>
    <t xml:space="preserve">Evidence needed</t>
  </si>
  <si>
    <t xml:space="preserve">27001 evidence reusable for a joint system</t>
  </si>
  <si>
    <t xml:space="preserve">Owner (job title)</t>
  </si>
  <si>
    <t xml:space="preserve">Action</t>
  </si>
  <si>
    <t xml:space="preserve">Due</t>
  </si>
  <si>
    <t xml:space="preserve">4.1</t>
  </si>
  <si>
    <t xml:space="preserve">Understand the organisation's context for AI, including its role for each AI system and the intended purpose of the systems it uses or provides</t>
  </si>
  <si>
    <t xml:space="preserve">N</t>
  </si>
  <si>
    <t xml:space="preserve">Roles and purposes drafted in this document (Part 2); AI vendors identified by CGI-TPR-001 T2-f.</t>
  </si>
  <si>
    <t xml:space="preserve">Not approved; no context statement for AI.</t>
  </si>
  <si>
    <t xml:space="preserve">Approved AI context and role statement.</t>
  </si>
  <si>
    <t xml:space="preserve">Partial: extend the ISO-01 context and issues statement</t>
  </si>
  <si>
    <t xml:space="preserve">Chief Executive Officer</t>
  </si>
  <si>
    <t xml:space="preserve">AIG-07; ISO-01</t>
  </si>
  <si>
    <t xml:space="preserve">31 Dec 2026</t>
  </si>
  <si>
    <t xml:space="preserve">4.2</t>
  </si>
  <si>
    <t xml:space="preserve">Interested parties and their AI-related requirements, including legal ones</t>
  </si>
  <si>
    <t xml:space="preserve">Customers on calls and in shared channels, staff and the GDPR authority are known from CGI-TPR-001 and CGI-POL-005.</t>
  </si>
  <si>
    <t xml:space="preserve">AI Act and GDPR AI duties are in no obligations register.</t>
  </si>
  <si>
    <t xml:space="preserve">Obligations register with the AI Act rows from Part 3.</t>
  </si>
  <si>
    <t xml:space="preserve">Yes: the ISO-01 interested-parties and obligations register (A.5.31)</t>
  </si>
  <si>
    <t xml:space="preserve">AIG-11; ISO-01</t>
  </si>
  <si>
    <t xml:space="preserve">30 Jun 2027</t>
  </si>
  <si>
    <t xml:space="preserve">4.3</t>
  </si>
  <si>
    <t xml:space="preserve">Decide and document the scope of the AI management system</t>
  </si>
  <si>
    <t xml:space="preserve">Y</t>
  </si>
  <si>
    <t xml:space="preserve">Drafted in Part 4.1 of this document.</t>
  </si>
  <si>
    <t xml:space="preserve">Not approved.</t>
  </si>
  <si>
    <t xml:space="preserve">CEO-approved AIMS scope.</t>
  </si>
  <si>
    <t xml:space="preserve">Partial: same format as the ISO-02 ISMS scope</t>
  </si>
  <si>
    <t xml:space="preserve">AIG-07</t>
  </si>
  <si>
    <t xml:space="preserve">4.4</t>
  </si>
  <si>
    <t xml:space="preserve">Establish, run, maintain and improve the AI management system</t>
  </si>
  <si>
    <t xml:space="preserve">Pieces exist: CGI-POL-001 s4.5, tiering trigger T2-f, questionnaire domain 15.</t>
  </si>
  <si>
    <t xml:space="preserve">They do not run as one system; AI tools bypassed them.</t>
  </si>
  <si>
    <t xml:space="preserve">AIMS overview linking the processes.</t>
  </si>
  <si>
    <t xml:space="preserve">Yes: fold into the ISO-08 ISMS overview</t>
  </si>
  <si>
    <t xml:space="preserve">AIG-11</t>
  </si>
  <si>
    <t xml:space="preserve">5.1</t>
  </si>
  <si>
    <t xml:space="preserve">Top management shows leadership and commitment to the AIMS</t>
  </si>
  <si>
    <t xml:space="preserve">The CEO approved CGI-POL-001 (including s4.5) and CGI-TPR-001 (including T2-f).</t>
  </si>
  <si>
    <t xml:space="preserve">No stated commitment or resources for AI governance.</t>
  </si>
  <si>
    <t xml:space="preserve">AI policy signed by the CEO; resources agreed.</t>
  </si>
  <si>
    <t xml:space="preserve">Partial: same sign-off route as ISO-03</t>
  </si>
  <si>
    <t xml:space="preserve">5.2</t>
  </si>
  <si>
    <t xml:space="preserve">An AI policy that fits the organisation, sets a framework for AI objectives and commits to meeting requirements and improving</t>
  </si>
  <si>
    <t xml:space="preserve">CGI-POL-001 s4.5: four clauses on staff use of AI tools.</t>
  </si>
  <si>
    <t xml:space="preserve">A clause is not a capability: s4.5 covers staff tool use only, not objectives, impact assessment, oversight or prohibited uses.</t>
  </si>
  <si>
    <t xml:space="preserve">AI policy v1.0, communicated.</t>
  </si>
  <si>
    <t xml:space="preserve">Partial: reuse the ISO-03 policy template</t>
  </si>
  <si>
    <t xml:space="preserve">5.3</t>
  </si>
  <si>
    <t xml:space="preserve">Roles, responsibilities and authorities for the AIMS assigned and communicated</t>
  </si>
  <si>
    <t xml:space="preserve">The CTO keeps the approved AI tools list and assesses requests (CGI-POL-001 s4.5.1, s4.5.4).</t>
  </si>
  <si>
    <t xml:space="preserve">No AI governance lead, no impact-assessment or oversight roles.</t>
  </si>
  <si>
    <t xml:space="preserve">Written AI roles in the ISO-04 RACI.</t>
  </si>
  <si>
    <t xml:space="preserve">Yes: extend the ISO-04 RACI</t>
  </si>
  <si>
    <t xml:space="preserve">AIG-07; ISO-04</t>
  </si>
  <si>
    <t xml:space="preserve">6.1.1</t>
  </si>
  <si>
    <t xml:space="preserve">Determine the AIMS's own risks and opportunities and plan actions</t>
  </si>
  <si>
    <t xml:space="preserve">None.</t>
  </si>
  <si>
    <t xml:space="preserve">Not considered.</t>
  </si>
  <si>
    <t xml:space="preserve">AIMS risks and opportunities record.</t>
  </si>
  <si>
    <t xml:space="preserve">Yes: same record as ISO-08 (6.1.1)</t>
  </si>
  <si>
    <t xml:space="preserve">6.1.2</t>
  </si>
  <si>
    <t xml:space="preserve">An AI risk assessment process with criteria that cover harm to people, not only to the organisation</t>
  </si>
  <si>
    <t xml:space="preserve">CGI-RSK-001 applies NIST SP 800-30 and has scored AI risks (VR-005, VR-006, and AR-001/AR-002 here).</t>
  </si>
  <si>
    <t xml:space="preserve">No acceptance criteria (GAP-002) and no harm-to-people criteria.</t>
  </si>
  <si>
    <t xml:space="preserve">AI risk criteria added to the ISO-05 acceptance criteria.</t>
  </si>
  <si>
    <t xml:space="preserve">Partial: extend ISO-05</t>
  </si>
  <si>
    <t xml:space="preserve">AIG-11; ISO-05</t>
  </si>
  <si>
    <t xml:space="preserve">6.1.3</t>
  </si>
  <si>
    <t xml:space="preserve">AI risk treatment: choose controls, compare with Annex A, produce a Statement of Applicability, get owners' approval</t>
  </si>
  <si>
    <t xml:space="preserve">SoA drafted in Part 4.2 (38 controls).</t>
  </si>
  <si>
    <t xml:space="preserve">Not approved; treatment plans TP-11 and TP-12 proposed only.</t>
  </si>
  <si>
    <t xml:space="preserve">Approved AI SoA and treatment plan.</t>
  </si>
  <si>
    <t xml:space="preserve">Partial: one combined SoA approval at ISO-06</t>
  </si>
  <si>
    <t xml:space="preserve">AIG-11; ISO-06</t>
  </si>
  <si>
    <t xml:space="preserve">6.1.4</t>
  </si>
  <si>
    <t xml:space="preserve">An AI system impact assessment process covering effects on individuals, groups and society</t>
  </si>
  <si>
    <t xml:space="preserve">Process and two assessments drafted in Part 5.</t>
  </si>
  <si>
    <t xml:space="preserve">Not approved; no trigger rule in the onboarding workflow.</t>
  </si>
  <si>
    <t xml:space="preserve">Approved process; trigger in CGI-TPR-001 for every AI tool.</t>
  </si>
  <si>
    <t xml:space="preserve">No: AI-specific</t>
  </si>
  <si>
    <t xml:space="preserve">AIG-05; AIG-07</t>
  </si>
  <si>
    <t xml:space="preserve">6.2</t>
  </si>
  <si>
    <t xml:space="preserve">Measurable AI objectives and plans to achieve them</t>
  </si>
  <si>
    <t xml:space="preserve">No AI objectives.</t>
  </si>
  <si>
    <t xml:space="preserve">Objectives with owners and targets.</t>
  </si>
  <si>
    <t xml:space="preserve">Partial: add to the ISO-07 objectives plan</t>
  </si>
  <si>
    <t xml:space="preserve">AIG-11; ISO-07</t>
  </si>
  <si>
    <t xml:space="preserve">6.3</t>
  </si>
  <si>
    <t xml:space="preserve">Plan changes to the AIMS</t>
  </si>
  <si>
    <t xml:space="preserve">No change-planning rule.</t>
  </si>
  <si>
    <t xml:space="preserve">Change-planning step.</t>
  </si>
  <si>
    <t xml:space="preserve">Yes: ISO-08 procedure covers both</t>
  </si>
  <si>
    <t xml:space="preserve">7.1</t>
  </si>
  <si>
    <t xml:space="preserve">Provide the resources the AIMS needs</t>
  </si>
  <si>
    <t xml:space="preserve">The ISMS budget (USD 32,100, unapproved) contains nothing for AI.</t>
  </si>
  <si>
    <t xml:space="preserve">No AI governance time or budget.</t>
  </si>
  <si>
    <t xml:space="preserve">Approved allocation.</t>
  </si>
  <si>
    <t xml:space="preserve">Partial: add a line to ISO-03</t>
  </si>
  <si>
    <t xml:space="preserve">7.2</t>
  </si>
  <si>
    <t xml:space="preserve">Competence of people whose work affects AI performance, with evidence</t>
  </si>
  <si>
    <t xml:space="preserve">None on file.</t>
  </si>
  <si>
    <t xml:space="preserve">No AI competence requirements.</t>
  </si>
  <si>
    <t xml:space="preserve">Competence matrix with AI roles.</t>
  </si>
  <si>
    <t xml:space="preserve">Yes: the ISO-10 matrix</t>
  </si>
  <si>
    <t xml:space="preserve">AIG-11; ISO-10</t>
  </si>
  <si>
    <t xml:space="preserve">31 Mar 2027</t>
  </si>
  <si>
    <t xml:space="preserve">7.3</t>
  </si>
  <si>
    <t xml:space="preserve">Awareness of the AI policy, one's contribution and the consequences of not conforming</t>
  </si>
  <si>
    <t xml:space="preserve">CGI-POL-001 (with s4.5) acknowledged by 60% of staff.</t>
  </si>
  <si>
    <t xml:space="preserve">No AI module (OFI-04); 40% not reached.</t>
  </si>
  <si>
    <t xml:space="preserve">AI module completion records.</t>
  </si>
  <si>
    <t xml:space="preserve">Yes: REC-09 curriculum</t>
  </si>
  <si>
    <t xml:space="preserve">AIG-08</t>
  </si>
  <si>
    <t xml:space="preserve">7.4</t>
  </si>
  <si>
    <t xml:space="preserve">Internal and external communication about the AIMS</t>
  </si>
  <si>
    <t xml:space="preserve">None for AI. Customers on calls are not told about transcription.</t>
  </si>
  <si>
    <t xml:space="preserve">No AI communication plan.</t>
  </si>
  <si>
    <t xml:space="preserve">Communication plan including customer notices.</t>
  </si>
  <si>
    <t xml:space="preserve">Partial: ISO-08 plan</t>
  </si>
  <si>
    <t xml:space="preserve">AIG-06</t>
  </si>
  <si>
    <t xml:space="preserve">30 Nov 2026</t>
  </si>
  <si>
    <t xml:space="preserve">7.5</t>
  </si>
  <si>
    <t xml:space="preserve">Create, update and control documented information</t>
  </si>
  <si>
    <t xml:space="preserve">Every CGI document carries a control block (version, owner, review date).</t>
  </si>
  <si>
    <t xml:space="preserve">No AIMS record list.</t>
  </si>
  <si>
    <t xml:space="preserve">AIMS documents under the same control.</t>
  </si>
  <si>
    <t xml:space="preserve">Yes: as is</t>
  </si>
  <si>
    <t xml:space="preserve">8.1</t>
  </si>
  <si>
    <t xml:space="preserve">Plan and control the operational processes, including externally provided AI</t>
  </si>
  <si>
    <t xml:space="preserve">The CGI-TPR-001 workflow controls AI suppliers by design (T2-f, Gate B).</t>
  </si>
  <si>
    <t xml:space="preserve">Two of three AI tools reached use outside it.</t>
  </si>
  <si>
    <t xml:space="preserve">Onboarding records for every AI tool.</t>
  </si>
  <si>
    <t xml:space="preserve">Yes: the CGI-TPR-001 workflow</t>
  </si>
  <si>
    <t xml:space="preserve">AIG-03</t>
  </si>
  <si>
    <t xml:space="preserve">31 Oct 2026</t>
  </si>
  <si>
    <t xml:space="preserve">8.2</t>
  </si>
  <si>
    <t xml:space="preserve">Perform AI risk assessments at planned intervals and on change</t>
  </si>
  <si>
    <t xml:space="preserve">VR-005 and VR-006 assessed Sep 2026; AR-001 and AR-002 assessed here.</t>
  </si>
  <si>
    <t xml:space="preserve">No AI risk criteria, so not yet to the 6.1.2 method.</t>
  </si>
  <si>
    <t xml:space="preserve">Results retained against approved criteria.</t>
  </si>
  <si>
    <t xml:space="preserve">Partial: ISO-05 cadence</t>
  </si>
  <si>
    <t xml:space="preserve">8.3</t>
  </si>
  <si>
    <t xml:space="preserve">Implement the AI risk treatment plan</t>
  </si>
  <si>
    <t xml:space="preserve">T2-f operated: it moved WriteCo to Tier 2 and an assessment followed.</t>
  </si>
  <si>
    <t xml:space="preserve">ScribeCo untreated; ChatCo action R4 unevidenced.</t>
  </si>
  <si>
    <t xml:space="preserve">Treatment records.</t>
  </si>
  <si>
    <t xml:space="preserve">Partial</t>
  </si>
  <si>
    <t xml:space="preserve">AIG-01; AIG-02</t>
  </si>
  <si>
    <t xml:space="preserve">24 Oct 2026</t>
  </si>
  <si>
    <t xml:space="preserve">8.4</t>
  </si>
  <si>
    <t xml:space="preserve">Perform AI system impact assessments at planned intervals and on change</t>
  </si>
  <si>
    <t xml:space="preserve">Two assessments performed in this document for two of three systems in use.</t>
  </si>
  <si>
    <t xml:space="preserve">Not approved by owners; no interval set.</t>
  </si>
  <si>
    <t xml:space="preserve">Owner-approved assessments; interval in the process.</t>
  </si>
  <si>
    <t xml:space="preserve">AIG-05</t>
  </si>
  <si>
    <t xml:space="preserve">9.1</t>
  </si>
  <si>
    <t xml:space="preserve">Monitor, measure, analyse and evaluate the AIMS</t>
  </si>
  <si>
    <t xml:space="preserve">KRI-V4 counts suppliers found outside onboarding each quarter.</t>
  </si>
  <si>
    <t xml:space="preserve">No AI-specific measures.</t>
  </si>
  <si>
    <t xml:space="preserve">AI measures in the ISO-07 plan.</t>
  </si>
  <si>
    <t xml:space="preserve">Partial: ISO-07</t>
  </si>
  <si>
    <t xml:space="preserve">AIG-14</t>
  </si>
  <si>
    <t xml:space="preserve">9.2.1</t>
  </si>
  <si>
    <t xml:space="preserve">Internal audits at planned intervals</t>
  </si>
  <si>
    <t xml:space="preserve">None. CGI-IAU-001 WP-13 found clause 9.2 wholly unmet.</t>
  </si>
  <si>
    <t xml:space="preserve">No audit of AI controls.</t>
  </si>
  <si>
    <t xml:space="preserve">Internal audit report covering AIMS.</t>
  </si>
  <si>
    <t xml:space="preserve">Yes: one programme (ISO-12)</t>
  </si>
  <si>
    <t xml:space="preserve">AIG-11; ISO-12</t>
  </si>
  <si>
    <t xml:space="preserve">31 May 2027</t>
  </si>
  <si>
    <t xml:space="preserve">9.2.2</t>
  </si>
  <si>
    <t xml:space="preserve">An internal audit programme: frequency, methods, responsibilities, reporting</t>
  </si>
  <si>
    <t xml:space="preserve">No programme.</t>
  </si>
  <si>
    <t xml:space="preserve">Programme listing AIMS scope.</t>
  </si>
  <si>
    <t xml:space="preserve">9.3.1</t>
  </si>
  <si>
    <t xml:space="preserve">Top management reviews the AIMS at planned intervals</t>
  </si>
  <si>
    <t xml:space="preserve">AI has never been on a leadership agenda.</t>
  </si>
  <si>
    <t xml:space="preserve">Minutes.</t>
  </si>
  <si>
    <t xml:space="preserve">Yes: one review (ISO-13)</t>
  </si>
  <si>
    <t xml:space="preserve">AIG-11; ISO-13</t>
  </si>
  <si>
    <t xml:space="preserve">9.3.2</t>
  </si>
  <si>
    <t xml:space="preserve">Management review inputs</t>
  </si>
  <si>
    <t xml:space="preserve">No inputs defined for AI.</t>
  </si>
  <si>
    <t xml:space="preserve">Agenda with AI inputs.</t>
  </si>
  <si>
    <t xml:space="preserve">Yes: ISO-13</t>
  </si>
  <si>
    <t xml:space="preserve">9.3.3</t>
  </si>
  <si>
    <t xml:space="preserve">Management review results</t>
  </si>
  <si>
    <t xml:space="preserve">No decisions recorded.</t>
  </si>
  <si>
    <t xml:space="preserve">Recorded decisions.</t>
  </si>
  <si>
    <t xml:space="preserve">10.1</t>
  </si>
  <si>
    <t xml:space="preserve">Continually improve the AIMS</t>
  </si>
  <si>
    <t xml:space="preserve">Improvement happens through commissioned projects (this one included).</t>
  </si>
  <si>
    <t xml:space="preserve">No routine.</t>
  </si>
  <si>
    <t xml:space="preserve">Improvement log.</t>
  </si>
  <si>
    <t xml:space="preserve">Yes: ISO-08</t>
  </si>
  <si>
    <t xml:space="preserve">10.2</t>
  </si>
  <si>
    <t xml:space="preserve">React to nonconformities and take corrective action</t>
  </si>
  <si>
    <t xml:space="preserve">None. ScribeCo's breach of CGI-POL-001 s4.5 was never raised as a nonconformity.</t>
  </si>
  <si>
    <t xml:space="preserve">No corrective-action record.</t>
  </si>
  <si>
    <t xml:space="preserve">Corrective-action log entry for ScribeCo.</t>
  </si>
  <si>
    <t xml:space="preserve">Yes: ISO-08 / ISO-15 log</t>
  </si>
  <si>
    <t xml:space="preserve">AIG-01</t>
  </si>
  <si>
    <t xml:space="preserve">Total</t>
  </si>
  <si>
    <t xml:space="preserve">Maximum</t>
  </si>
  <si>
    <t xml:space="preserve">Clause score</t>
  </si>
  <si>
    <t xml:space="preserve">Gates failing</t>
  </si>
  <si>
    <t xml:space="preserve">Part 4.3 - ISO/IEC 42001 Annex A, all 38 controls. Status is a formula over maturity (0 Not started, 1-2 Partial, 3-4 Implemented).</t>
  </si>
  <si>
    <t xml:space="preserve">Control</t>
  </si>
  <si>
    <t xml:space="preserve">Title</t>
  </si>
  <si>
    <t xml:space="preserve">Group</t>
  </si>
  <si>
    <t xml:space="preserve">What it asks (paraphrased)</t>
  </si>
  <si>
    <t xml:space="preserve">Applicable (Y/N)</t>
  </si>
  <si>
    <t xml:space="preserve">Justification</t>
  </si>
  <si>
    <t xml:space="preserve">Maturity (0-4)</t>
  </si>
  <si>
    <t xml:space="preserve">Status (derived)</t>
  </si>
  <si>
    <t xml:space="preserve">Evidence held / required</t>
  </si>
  <si>
    <t xml:space="preserve">Related risk ID</t>
  </si>
  <si>
    <t xml:space="preserve">Related AI Act article</t>
  </si>
  <si>
    <t xml:space="preserve">Related ISO/IEC 27001 control</t>
  </si>
  <si>
    <t xml:space="preserve">Related finding</t>
  </si>
  <si>
    <t xml:space="preserve">Roadmap</t>
  </si>
  <si>
    <t xml:space="preserve">Target date</t>
  </si>
  <si>
    <t xml:space="preserve">A.2.2</t>
  </si>
  <si>
    <t xml:space="preserve">AI policy</t>
  </si>
  <si>
    <t xml:space="preserve">A.2 Policies related to AI</t>
  </si>
  <si>
    <t xml:space="preserve">A documented policy for developing or using AI systems</t>
  </si>
  <si>
    <t xml:space="preserve">Cypher uses three AI systems (AIS-01 to AIS-03).</t>
  </si>
  <si>
    <t xml:space="preserve">Held: CGI-POL-001 s4.5 (four clauses on staff use; a fragment). Required: AI policy v1.0.</t>
  </si>
  <si>
    <t xml:space="preserve">VR-005; VR-006; AR-002</t>
  </si>
  <si>
    <t xml:space="preserve">Art. 4; Art. 5</t>
  </si>
  <si>
    <t xml:space="preserve">A.5.1</t>
  </si>
  <si>
    <t xml:space="preserve">AF-08</t>
  </si>
  <si>
    <t xml:space="preserve">A.2.3</t>
  </si>
  <si>
    <t xml:space="preserve">Alignment with other organizational policies</t>
  </si>
  <si>
    <t xml:space="preserve">Know where other policies touch AI and keep them consistent</t>
  </si>
  <si>
    <t xml:space="preserve">AI use touches acceptable use, classification and supplier policies.</t>
  </si>
  <si>
    <t xml:space="preserve">Held: s4.5 sits inside CGI-POL-001 and uses CGI-POL-004 classes. Required: evidence of a consistency review.</t>
  </si>
  <si>
    <t xml:space="preserve">VR-006</t>
  </si>
  <si>
    <t xml:space="preserve">-</t>
  </si>
  <si>
    <t xml:space="preserve">A.2.4</t>
  </si>
  <si>
    <t xml:space="preserve">Review of the AI policy</t>
  </si>
  <si>
    <t xml:space="preserve">Review the AI policy at planned intervals and on change</t>
  </si>
  <si>
    <t xml:space="preserve">Needed once an AI policy exists.</t>
  </si>
  <si>
    <t xml:space="preserve">Held: CGI-POL-001 annual review date. Required: review criteria covering new tools and legal change (the Omnibus rewrote Art. 4).</t>
  </si>
  <si>
    <t xml:space="preserve">VR-005</t>
  </si>
  <si>
    <t xml:space="preserve">A.3.2</t>
  </si>
  <si>
    <t xml:space="preserve">AI roles and responsibilities</t>
  </si>
  <si>
    <t xml:space="preserve">A.3 Internal organization</t>
  </si>
  <si>
    <t xml:space="preserve">Define and allocate AI roles</t>
  </si>
  <si>
    <t xml:space="preserve">Owners exist per tool; nobody owns AI governance.</t>
  </si>
  <si>
    <t xml:space="preserve">Held: CTO list-keeper role (s4.5.1). Required: AI lead, impact-assessment owner, reviewers.</t>
  </si>
  <si>
    <t xml:space="preserve">VR-005; AR-001</t>
  </si>
  <si>
    <t xml:space="preserve">A.5.2</t>
  </si>
  <si>
    <t xml:space="preserve">A.3.3</t>
  </si>
  <si>
    <t xml:space="preserve">Reporting of concerns</t>
  </si>
  <si>
    <t xml:space="preserve">A way for people to report concerns about an AI system</t>
  </si>
  <si>
    <t xml:space="preserve">Staff and customers see AI output first.</t>
  </si>
  <si>
    <t xml:space="preserve">Held: CGI-POL-005 incident reporting (not AI-specific). Required: AI concern category and route.</t>
  </si>
  <si>
    <t xml:space="preserve">AR-001</t>
  </si>
  <si>
    <t xml:space="preserve">A.6.8</t>
  </si>
  <si>
    <t xml:space="preserve">AF-10</t>
  </si>
  <si>
    <t xml:space="preserve">AIG-10</t>
  </si>
  <si>
    <t xml:space="preserve">31 Jan 2027</t>
  </si>
  <si>
    <t xml:space="preserve">A.4.2</t>
  </si>
  <si>
    <t xml:space="preserve">Resource documentation</t>
  </si>
  <si>
    <t xml:space="preserve">A.4 Resources for AI systems</t>
  </si>
  <si>
    <t xml:space="preserve">Document the resources each AI system relies on</t>
  </si>
  <si>
    <t xml:space="preserve">A deployer must know what each system uses and touches.</t>
  </si>
  <si>
    <t xml:space="preserve">Held: AI register drafted here. Required: register approved and kept current.</t>
  </si>
  <si>
    <t xml:space="preserve">A.5.9</t>
  </si>
  <si>
    <t xml:space="preserve">AF-03</t>
  </si>
  <si>
    <t xml:space="preserve">A.4.3</t>
  </si>
  <si>
    <t xml:space="preserve">Data resources</t>
  </si>
  <si>
    <t xml:space="preserve">Document the data each AI system uses</t>
  </si>
  <si>
    <t xml:space="preserve">Applicable to the data Cypher feeds in.</t>
  </si>
  <si>
    <t xml:space="preserve">Held: data-in column of the AI register (from the CGI-TPR-001 inventory). Required: owner confirmation.</t>
  </si>
  <si>
    <t xml:space="preserve">A.5.12</t>
  </si>
  <si>
    <t xml:space="preserve">A.4.4</t>
  </si>
  <si>
    <t xml:space="preserve">Tooling resources</t>
  </si>
  <si>
    <t xml:space="preserve">Document tools used to build AI systems</t>
  </si>
  <si>
    <t xml:space="preserve">Not applicable while Cypher develops no AI system (AI register, Part 2). Becomes applicable at the AI-A01 design gate (AIG-13).</t>
  </si>
  <si>
    <t xml:space="preserve">AIG-13</t>
  </si>
  <si>
    <t xml:space="preserve">A.4.5</t>
  </si>
  <si>
    <t xml:space="preserve">System and computing resources</t>
  </si>
  <si>
    <t xml:space="preserve">Document computing resources used by AI systems</t>
  </si>
  <si>
    <t xml:space="preserve">Not applicable while Cypher develops no AI system (AI register, Part 2). Becomes applicable at the AI-A01 design gate (AIG-13). For supplier AI the computing is the supplier's.</t>
  </si>
  <si>
    <t xml:space="preserve">A.4.6</t>
  </si>
  <si>
    <t xml:space="preserve">Human resources</t>
  </si>
  <si>
    <t xml:space="preserve">Document the people and competences AI systems need</t>
  </si>
  <si>
    <t xml:space="preserve">Oversight needs competent reviewers.</t>
  </si>
  <si>
    <t xml:space="preserve">Held: none. Required: AI roles in the competence matrix.</t>
  </si>
  <si>
    <t xml:space="preserve">A.6.3</t>
  </si>
  <si>
    <t xml:space="preserve">AF-05</t>
  </si>
  <si>
    <t xml:space="preserve">AI system impact assessment process</t>
  </si>
  <si>
    <t xml:space="preserve">A.5 Assessing impacts of AI systems</t>
  </si>
  <si>
    <t xml:space="preserve">A process to assess consequences for people and society</t>
  </si>
  <si>
    <t xml:space="preserve">Two systems process people's conversations.</t>
  </si>
  <si>
    <t xml:space="preserve">Held: process drafted in Part 5. Required: approval; trigger in CGI-TPR-001.</t>
  </si>
  <si>
    <t xml:space="preserve">VR-006; AR-001</t>
  </si>
  <si>
    <t xml:space="preserve">A.5.34</t>
  </si>
  <si>
    <t xml:space="preserve">AF-07</t>
  </si>
  <si>
    <t xml:space="preserve">A.5.3</t>
  </si>
  <si>
    <t xml:space="preserve">Documentation of AI system impact assessments</t>
  </si>
  <si>
    <t xml:space="preserve">Record and keep impact assessment results</t>
  </si>
  <si>
    <t xml:space="preserve">Same.</t>
  </si>
  <si>
    <t xml:space="preserve">Held: AIIA-01 and AIIA-02 (this document). Required: owner approval; retention rule.</t>
  </si>
  <si>
    <t xml:space="preserve">A.5.4</t>
  </si>
  <si>
    <t xml:space="preserve">Assessing impacts on individuals or groups</t>
  </si>
  <si>
    <t xml:space="preserve">Assess effects on individuals and groups</t>
  </si>
  <si>
    <t xml:space="preserve">Customers and staff are recorded on calls.</t>
  </si>
  <si>
    <t xml:space="preserve">Held: harm tables in AIIA-01 and AIIA-02. Required: approval.</t>
  </si>
  <si>
    <t xml:space="preserve">AR-001; AR-002</t>
  </si>
  <si>
    <t xml:space="preserve">Art. 5(1)(f)</t>
  </si>
  <si>
    <t xml:space="preserve">A.5.5</t>
  </si>
  <si>
    <t xml:space="preserve">Assessing societal impacts of AI systems</t>
  </si>
  <si>
    <t xml:space="preserve">Assess wider effects on society</t>
  </si>
  <si>
    <t xml:space="preserve">Required by the process even when the answer is small.</t>
  </si>
  <si>
    <t xml:space="preserve">Held: societal section in AIIA-01 and AIIA-02 (negligible at this scale). Required: approval.</t>
  </si>
  <si>
    <t xml:space="preserve">A.6.1.2</t>
  </si>
  <si>
    <t xml:space="preserve">Objectives for responsible development of AI systems</t>
  </si>
  <si>
    <t xml:space="preserve">A.6 AI system life cycle</t>
  </si>
  <si>
    <t xml:space="preserve">Objectives that guide AI development</t>
  </si>
  <si>
    <t xml:space="preserve">A.6.1.3</t>
  </si>
  <si>
    <t xml:space="preserve">Processes for responsible design and development</t>
  </si>
  <si>
    <t xml:space="preserve">A.6.2.2</t>
  </si>
  <si>
    <t xml:space="preserve">AI system requirements and specification</t>
  </si>
  <si>
    <t xml:space="preserve">Specify requirements for new AI systems</t>
  </si>
  <si>
    <t xml:space="preserve">Not applicable while Cypher develops no AI system (AI register, Part 2). Becomes applicable at the AI-A01 design gate (AIG-13). Buying supplier AI is governed by A.10.3.</t>
  </si>
  <si>
    <t xml:space="preserve">A.6.2.3</t>
  </si>
  <si>
    <t xml:space="preserve">Documentation of AI system design and development</t>
  </si>
  <si>
    <t xml:space="preserve">Document design and development</t>
  </si>
  <si>
    <t xml:space="preserve">A.6.2.4</t>
  </si>
  <si>
    <t xml:space="preserve">AI system verification and validation</t>
  </si>
  <si>
    <t xml:space="preserve">Check the system works as intended before use</t>
  </si>
  <si>
    <t xml:space="preserve">A deployer should test a tool on its own calls before trusting it. Nobody has checked ScribeCo's accuracy.</t>
  </si>
  <si>
    <t xml:space="preserve">Held: none. Required: an acceptance test (sample of summaries checked against recordings).</t>
  </si>
  <si>
    <t xml:space="preserve">A.8.29</t>
  </si>
  <si>
    <t xml:space="preserve">AF-06</t>
  </si>
  <si>
    <t xml:space="preserve">AIG-09</t>
  </si>
  <si>
    <t xml:space="preserve">A.6.2.5</t>
  </si>
  <si>
    <t xml:space="preserve">AI system deployment</t>
  </si>
  <si>
    <t xml:space="preserve">Plan deployment and confirm requirements are met first</t>
  </si>
  <si>
    <t xml:space="preserve">Every tool Cypher puts into use is a deployment.</t>
  </si>
  <si>
    <t xml:space="preserve">Held: none; two tools arrived on expenses. Required: deployment checklist in the onboarding workflow.</t>
  </si>
  <si>
    <t xml:space="preserve">A.5.8</t>
  </si>
  <si>
    <t xml:space="preserve">A.6.2.6</t>
  </si>
  <si>
    <t xml:space="preserve">AI system operation and monitoring</t>
  </si>
  <si>
    <t xml:space="preserve">Operate and monitor the system, including errors and misuse</t>
  </si>
  <si>
    <t xml:space="preserve">Output errors are the AR-001 risk.</t>
  </si>
  <si>
    <t xml:space="preserve">Held: none. Required: review log sample; error reporting.</t>
  </si>
  <si>
    <t xml:space="preserve">A.8.16</t>
  </si>
  <si>
    <t xml:space="preserve">A.6.2.7</t>
  </si>
  <si>
    <t xml:space="preserve">AI system technical documentation</t>
  </si>
  <si>
    <t xml:space="preserve">Technical documentation for users and others</t>
  </si>
  <si>
    <t xml:space="preserve">Not applicable while Cypher develops no AI system (AI register, Part 2). Becomes applicable at the AI-A01 design gate (AIG-13). Supplier documentation is collected under A.8.2 and A.10.3.</t>
  </si>
  <si>
    <t xml:space="preserve">Art. 50 (AIS-04)</t>
  </si>
  <si>
    <t xml:space="preserve">A.6.2.8</t>
  </si>
  <si>
    <t xml:space="preserve">AI system recording of event logs</t>
  </si>
  <si>
    <t xml:space="preserve">Keep event logs for the system</t>
  </si>
  <si>
    <t xml:space="preserve">Cypher should know who used which tool on which meeting.</t>
  </si>
  <si>
    <t xml:space="preserve">Held: none. Required: admin usage export kept 6 months.</t>
  </si>
  <si>
    <t xml:space="preserve">A.8.15</t>
  </si>
  <si>
    <t xml:space="preserve">A.7.2</t>
  </si>
  <si>
    <t xml:space="preserve">Data for development and enhancement of AI systems</t>
  </si>
  <si>
    <t xml:space="preserve">A.7 Data for AI systems</t>
  </si>
  <si>
    <t xml:space="preserve">Manage data used to build or improve AI</t>
  </si>
  <si>
    <t xml:space="preserve">Not applicable while Cypher develops no AI system (AI register, Part 2). Becomes applicable at the AI-A01 design gate (AIG-13). A supplier training on Cypher's data is a supplier control (A.10.3, VR-006).</t>
  </si>
  <si>
    <t xml:space="preserve">A.7.3</t>
  </si>
  <si>
    <t xml:space="preserve">Acquisition of data</t>
  </si>
  <si>
    <t xml:space="preserve">Govern how training data is acquired</t>
  </si>
  <si>
    <t xml:space="preserve">A.7.4</t>
  </si>
  <si>
    <t xml:space="preserve">Quality of data for AI systems</t>
  </si>
  <si>
    <t xml:space="preserve">Define and meet data quality requirements</t>
  </si>
  <si>
    <t xml:space="preserve">A.7.5</t>
  </si>
  <si>
    <t xml:space="preserve">Data provenance</t>
  </si>
  <si>
    <t xml:space="preserve">Record where data came from</t>
  </si>
  <si>
    <t xml:space="preserve">A.7.6</t>
  </si>
  <si>
    <t xml:space="preserve">Data preparation</t>
  </si>
  <si>
    <t xml:space="preserve">Define how data is prepared</t>
  </si>
  <si>
    <t xml:space="preserve">A.8.2</t>
  </si>
  <si>
    <t xml:space="preserve">System documentation and information for users</t>
  </si>
  <si>
    <t xml:space="preserve">A.8 Information for interested parties</t>
  </si>
  <si>
    <t xml:space="preserve">Give users the information they need to use the system properly</t>
  </si>
  <si>
    <t xml:space="preserve">Staff need to know what each tool may and may not be used for.</t>
  </si>
  <si>
    <t xml:space="preserve">Held: none; no AI-use instruction (OFI-04). Required: one-page use guide per approved tool.</t>
  </si>
  <si>
    <t xml:space="preserve">AR-001; VR-006</t>
  </si>
  <si>
    <t xml:space="preserve">A.5.10</t>
  </si>
  <si>
    <t xml:space="preserve">A.8.3</t>
  </si>
  <si>
    <t xml:space="preserve">External reporting</t>
  </si>
  <si>
    <t xml:space="preserve">Let outside parties report adverse impacts</t>
  </si>
  <si>
    <t xml:space="preserve">Customers are the first to see a wrong summary.</t>
  </si>
  <si>
    <t xml:space="preserve">Held: none. Required: customer route for AI concerns.</t>
  </si>
  <si>
    <t xml:space="preserve">A.8.4</t>
  </si>
  <si>
    <t xml:space="preserve">Communication of incidents</t>
  </si>
  <si>
    <t xml:space="preserve">Tell affected parties about AI incidents</t>
  </si>
  <si>
    <t xml:space="preserve">AI incidents can be data incidents.</t>
  </si>
  <si>
    <t xml:space="preserve">Held: CGI-POL-005 customer and regulator communications (RS.CO = 2). Required: AI incident type.</t>
  </si>
  <si>
    <t xml:space="preserve">A.5.24</t>
  </si>
  <si>
    <t xml:space="preserve">A.8.5</t>
  </si>
  <si>
    <t xml:space="preserve">Information for interested parties</t>
  </si>
  <si>
    <t xml:space="preserve">Decide what to tell interested parties about AI and tell them</t>
  </si>
  <si>
    <t xml:space="preserve">Customers on calls are not told they are transcribed.</t>
  </si>
  <si>
    <t xml:space="preserve">Held: none. Required: call notice; AI sub-processors on the customer list.</t>
  </si>
  <si>
    <t xml:space="preserve">AF-09</t>
  </si>
  <si>
    <t xml:space="preserve">A.9.2</t>
  </si>
  <si>
    <t xml:space="preserve">Processes for responsible use of AI systems</t>
  </si>
  <si>
    <t xml:space="preserve">A.9 Use of AI systems</t>
  </si>
  <si>
    <t xml:space="preserve">Define how AI systems may be used responsibly</t>
  </si>
  <si>
    <t xml:space="preserve">Core control for a deployer.</t>
  </si>
  <si>
    <t xml:space="preserve">Held: CGI-POL-001 s4.5.1 to s4.5.4 (approved). Contradicted by ScribeCo; cannot reach 3 until operating evidence exists. Required: approved list; review records.</t>
  </si>
  <si>
    <t xml:space="preserve">VR-005; VR-006; AR-001</t>
  </si>
  <si>
    <t xml:space="preserve">A.9.3</t>
  </si>
  <si>
    <t xml:space="preserve">Objectives for responsible use of AI systems</t>
  </si>
  <si>
    <t xml:space="preserve">Set objectives for responsible use</t>
  </si>
  <si>
    <t xml:space="preserve">Needed to measure the AIMS.</t>
  </si>
  <si>
    <t xml:space="preserve">Held: none. Required: AI objectives (ISO-07).</t>
  </si>
  <si>
    <t xml:space="preserve">A.9.4</t>
  </si>
  <si>
    <t xml:space="preserve">Intended use of the AI system</t>
  </si>
  <si>
    <t xml:space="preserve">Use the system as intended and per its documentation</t>
  </si>
  <si>
    <t xml:space="preserve">Stops drift into prohibited or high-risk uses.</t>
  </si>
  <si>
    <t xml:space="preserve">Held: WriteCo extension scope restricted (CGI-TPR-001 condition). Required: intended-use and banned-use statement per tool.</t>
  </si>
  <si>
    <t xml:space="preserve">AR-002</t>
  </si>
  <si>
    <t xml:space="preserve">Art. 5; Art. 6(2); Art. 25(1)(c)</t>
  </si>
  <si>
    <t xml:space="preserve">AF-11</t>
  </si>
  <si>
    <t xml:space="preserve">A.10.2</t>
  </si>
  <si>
    <t xml:space="preserve">Allocation of responsibilities</t>
  </si>
  <si>
    <t xml:space="preserve">A.10 Third-party and customer relationships</t>
  </si>
  <si>
    <t xml:space="preserve">Split AI responsibilities between the organisation, its suppliers and its customers</t>
  </si>
  <si>
    <t xml:space="preserve">All three systems in use are supplier AI.</t>
  </si>
  <si>
    <t xml:space="preserve">Held: CGI-TPR-001 clause checklist incl. no-training clause (approved). Required: executed clauses for AI suppliers.</t>
  </si>
  <si>
    <t xml:space="preserve">VR-006; VR-001</t>
  </si>
  <si>
    <t xml:space="preserve">A.5.20</t>
  </si>
  <si>
    <t xml:space="preserve">AF-01; AF-02</t>
  </si>
  <si>
    <t xml:space="preserve">A.10.3</t>
  </si>
  <si>
    <t xml:space="preserve">Suppliers</t>
  </si>
  <si>
    <t xml:space="preserve">Make sure supplier AI fits the organisation's approach to responsible AI</t>
  </si>
  <si>
    <t xml:space="preserve">Held: T2-f and questionnaire domain 15, operated once (WriteCo). Not 3: no review cycle has run (same reason GV.SC = 2). Required: ScribeCo decision; ChatCo DPA.</t>
  </si>
  <si>
    <t xml:space="preserve">VR-005; VR-006</t>
  </si>
  <si>
    <t xml:space="preserve">A.5.19; A.5.21</t>
  </si>
  <si>
    <t xml:space="preserve">AF-01; AF-02; AF-04</t>
  </si>
  <si>
    <t xml:space="preserve">AIG-01; AIG-04</t>
  </si>
  <si>
    <t xml:space="preserve">A.10.4</t>
  </si>
  <si>
    <t xml:space="preserve">Customers</t>
  </si>
  <si>
    <t xml:space="preserve">Consider customers' needs and expectations when AI touches their data</t>
  </si>
  <si>
    <t xml:space="preserve">Cypher is a processor for ~200 customers.</t>
  </si>
  <si>
    <t xml:space="preserve">Held: none for AI. Required: AI sub-processors in the customer list and the SOC-02 system description.</t>
  </si>
  <si>
    <t xml:space="preserve">VR-001</t>
  </si>
  <si>
    <t xml:space="preserve">AF-12</t>
  </si>
  <si>
    <t xml:space="preserve">AIG-12</t>
  </si>
  <si>
    <t xml:space="preserve">Controls</t>
  </si>
  <si>
    <t xml:space="preserve">Applicable</t>
  </si>
  <si>
    <t xml:space="preserve">Not applicable</t>
  </si>
  <si>
    <t xml:space="preserve">Not started</t>
  </si>
  <si>
    <t xml:space="preserve">Implemented</t>
  </si>
  <si>
    <t xml:space="preserve">Mean maturity (applicable)</t>
  </si>
  <si>
    <t xml:space="preserve">Annex A score</t>
  </si>
  <si>
    <t xml:space="preserve">Part 4.4 - readiness score and go / no-go. Every number is a formula over 04_Clauses and 05_Annex_A.</t>
  </si>
  <si>
    <t xml:space="preserve">Component</t>
  </si>
  <si>
    <t xml:space="preserve">Calculation</t>
  </si>
  <si>
    <t xml:space="preserve">Result</t>
  </si>
  <si>
    <t xml:space="preserve">Weight</t>
  </si>
  <si>
    <t xml:space="preserve">Clauses 4-10</t>
  </si>
  <si>
    <t xml:space="preserve">Sum of 0-2 scores / (2 x requirements)</t>
  </si>
  <si>
    <t xml:space="preserve">Annex A</t>
  </si>
  <si>
    <t xml:space="preserve">(Implemented + 0.5 x Partial) / applicable</t>
  </si>
  <si>
    <t xml:space="preserve">Weighted readiness</t>
  </si>
  <si>
    <t xml:space="preserve">0.6 x clauses + 0.4 x Annex A</t>
  </si>
  <si>
    <t xml:space="preserve">Gate requirements failing (of 9)</t>
  </si>
  <si>
    <t xml:space="preserve">Gates: 4.3, 6.1.2, 6.1.3, 6.1.4, 9.2.1, 9.2.2, 9.3.1, 9.3.2, 9.3.3</t>
  </si>
  <si>
    <t xml:space="preserve">Band</t>
  </si>
  <si>
    <t xml:space="preserve">&gt;= 85% and no gate failure = Ready for Stage 1; 60-84% = within 90 days; &lt; 60% = Not ready</t>
  </si>
  <si>
    <t xml:space="preserve">Go / no-go</t>
  </si>
  <si>
    <t xml:space="preserve">Any failed gate = NO-GO</t>
  </si>
  <si>
    <t xml:space="preserve">Sensitivity: AI-A01 in scope</t>
  </si>
  <si>
    <t xml:space="preserve">Excluded controls join at maturity 0</t>
  </si>
  <si>
    <t xml:space="preserve">Part 5 - AIIA-01 (ScribeCo) and AIIA-02 (ChatCo AI features). Triage below the table.</t>
  </si>
  <si>
    <t xml:space="preserve">Assessment</t>
  </si>
  <si>
    <t xml:space="preserve">Section</t>
  </si>
  <si>
    <t xml:space="preserve">Field</t>
  </si>
  <si>
    <t xml:space="preserve">Content</t>
  </si>
  <si>
    <t xml:space="preserve">AIIA-01</t>
  </si>
  <si>
    <t xml:space="preserve">Identity</t>
  </si>
  <si>
    <t xml:space="preserve">System</t>
  </si>
  <si>
    <t xml:space="preserve">AIS-01 ScribeCo meeting assistant (CGI-VEN-012)</t>
  </si>
  <si>
    <t xml:space="preserve">Assessor / approver</t>
  </si>
  <si>
    <t xml:space="preserve">O.S / Head of Customer Success (owner), then Chief Executive Officer</t>
  </si>
  <si>
    <t xml:space="preserve">Date and trigger</t>
  </si>
  <si>
    <t xml:space="preserve">17 Oct 2026. Trigger: shadow AI found 15 Sep 2026; no contract; decision overdue since 15 Oct 2026</t>
  </si>
  <si>
    <t xml:space="preserve">Use</t>
  </si>
  <si>
    <t xml:space="preserve">Intended use</t>
  </si>
  <si>
    <t xml:space="preserve">Notes and summaries of internal and customer calls for Customer Success</t>
  </si>
  <si>
    <t xml:space="preserve">Uses that must never happen</t>
  </si>
  <si>
    <t xml:space="preserve">Assessing staff performance from calls (Annex III 4(b)); inferring emotions from voice at work (Art. 5(1)(f))</t>
  </si>
  <si>
    <t xml:space="preserve">Data</t>
  </si>
  <si>
    <t xml:space="preserve">Live audio of about 40 meetings a month: voices, names, commercial terms, security discussion, any personal data spoken</t>
  </si>
  <si>
    <t xml:space="preserve">Transcripts, summaries and action items, stored by ScribeCo in the United States and shared by link</t>
  </si>
  <si>
    <t xml:space="preserve">Model-training terms</t>
  </si>
  <si>
    <t xml:space="preserve">Unknown. No contract and no terms review, so VQ-68 and VQ-69 cannot be answered. Treat as 'may train, may review'</t>
  </si>
  <si>
    <t xml:space="preserve">People</t>
  </si>
  <si>
    <t xml:space="preserve">Affected people</t>
  </si>
  <si>
    <t xml:space="preserve">Customer participants (individuals and their companies); Cypher staff (employees: power imbalance); third parties named on calls</t>
  </si>
  <si>
    <t xml:space="preserve">Oversight</t>
  </si>
  <si>
    <t xml:space="preserve">None recorded. CGI-POL-001 s4.5.3 requires a competent person to review AI output before it reaches a customer</t>
  </si>
  <si>
    <t xml:space="preserve">Oversight required</t>
  </si>
  <si>
    <t xml:space="preserve">Human-in-the-loop: the call owner checks every summary before it leaves Cypher; monthly sample of 10 checked against recordings</t>
  </si>
  <si>
    <t xml:space="preserve">GDPR</t>
  </si>
  <si>
    <t xml:space="preserve">Cypher's GDPR role</t>
  </si>
  <si>
    <t xml:space="preserve">Controller: these are Cypher's own business calls, so Cypher (not its customers) decides why and how they are recorded</t>
  </si>
  <si>
    <t xml:space="preserve">Art. 28 contract</t>
  </si>
  <si>
    <t xml:space="preserve">None. ScribeCo processes personal data for Cypher with no Art. 28 terms (VR-001); no transfer mechanism for US hosting (Arts 44-46)</t>
  </si>
  <si>
    <t xml:space="preserve">Art. 35 DPIA</t>
  </si>
  <si>
    <t xml:space="preserve">Required: 4 of the 9 EDPB criteria met (see DPIA screening). Must be done before any further use</t>
  </si>
  <si>
    <t xml:space="preserve">Arts 13-14 notice</t>
  </si>
  <si>
    <t xml:space="preserve">Not given. People on calls are not told the call is recorded and transcribed by a third party</t>
  </si>
  <si>
    <t xml:space="preserve">Societal</t>
  </si>
  <si>
    <t xml:space="preserve">Societal impact</t>
  </si>
  <si>
    <t xml:space="preserve">Negligible at this scale (one company's calls). Recorded so the process is complete (A.5.5)</t>
  </si>
  <si>
    <t xml:space="preserve">Decision</t>
  </si>
  <si>
    <t xml:space="preserve">Recommendation</t>
  </si>
  <si>
    <t xml:space="preserve">Suspend now. Then either contract (DPA, no training, no human review, EU or covered transfer, 30-day retention, deletion on exit) with notice, DPIA and review step, or exit with a deletion certificate. Without a contract the residual stays at 16</t>
  </si>
  <si>
    <t xml:space="preserve">AIIA-02</t>
  </si>
  <si>
    <t xml:space="preserve">AIS-02 ChatCo AI features (CGI-VEN-004)</t>
  </si>
  <si>
    <t xml:space="preserve">O.S / IT Operations Manager (owner), then Chief Technology Officer</t>
  </si>
  <si>
    <t xml:space="preserve">17 Oct 2026. Trigger: VRA-2026-002 F-004; action R4 due 01 Oct 2026 with no completion evidence</t>
  </si>
  <si>
    <t xml:space="preserve">Answers and channel summaries for staff inside ChatCo</t>
  </si>
  <si>
    <t xml:space="preserve">Scoring staff from chat behaviour (Annex III 4(b)); using AI summaries as the incident record (CGI-POL-005 decision log stays human)</t>
  </si>
  <si>
    <t xml:space="preserve">All message content the user can see: internal discussion, pasted credentials and screenshots, incident traffic, customers' posts in 3 shared channels</t>
  </si>
  <si>
    <t xml:space="preserve">AI answers and summaries shown inside ChatCo</t>
  </si>
  <si>
    <t xml:space="preserve">Not Met: training not contractually prohibited; human review not excluded (F-004; VQ-68, VQ-69)</t>
  </si>
  <si>
    <t xml:space="preserve">Cypher staff (employees); customer staff posting in shared channels</t>
  </si>
  <si>
    <t xml:space="preserve">None recorded; summaries are internal and unchecked</t>
  </si>
  <si>
    <t xml:space="preserve">Human-on-the-loop: summaries labelled as AI and never used as the incident record; switch-off control kept with the IT Operations Manager</t>
  </si>
  <si>
    <t xml:space="preserve">Controller for its own workspace content</t>
  </si>
  <si>
    <t xml:space="preserve">Not executed (F-001; VR-001)</t>
  </si>
  <si>
    <t xml:space="preserve">Required before re-enabling: 3 of the 9 EDPB criteria met</t>
  </si>
  <si>
    <t xml:space="preserve">Customers in shared channels are not told their posts may be processed by AI</t>
  </si>
  <si>
    <t xml:space="preserve">Negligible at this scale</t>
  </si>
  <si>
    <t xml:space="preserve">Confirm the features are off today (screenshot). Re-enable only after a DPA with no-training and no-human-review clauses, a DPIA, retention limits (F-005) and AI switched off in shared channels</t>
  </si>
  <si>
    <t xml:space="preserve">Part 5 - harms scored on the CGI-RSK-001 1-5 scales. Score = L x I.</t>
  </si>
  <si>
    <t xml:space="preserve">Harm ID</t>
  </si>
  <si>
    <t xml:space="preserve">Harm</t>
  </si>
  <si>
    <t xml:space="preserve">Who is affected</t>
  </si>
  <si>
    <t xml:space="preserve">Current L</t>
  </si>
  <si>
    <t xml:space="preserve">Current I</t>
  </si>
  <si>
    <t xml:space="preserve">Current score</t>
  </si>
  <si>
    <t xml:space="preserve">Measures</t>
  </si>
  <si>
    <t xml:space="preserve">Measure type</t>
  </si>
  <si>
    <t xml:space="preserve">After L</t>
  </si>
  <si>
    <t xml:space="preserve">After I</t>
  </si>
  <si>
    <t xml:space="preserve">After score</t>
  </si>
  <si>
    <t xml:space="preserve">H1</t>
  </si>
  <si>
    <t xml:space="preserve">Call content retained, reviewed or used for training by a supplier under no contract</t>
  </si>
  <si>
    <t xml:space="preserve">Customer participants; Cypher</t>
  </si>
  <si>
    <t xml:space="preserve">DPA with no-training and no-human-review clauses and a transfer mechanism (brakes); 30-day retention and deletion on exit (seatbelt)</t>
  </si>
  <si>
    <t xml:space="preserve">Brakes and seatbelt (two measures)</t>
  </si>
  <si>
    <t xml:space="preserve">H2</t>
  </si>
  <si>
    <t xml:space="preserve">A wrong summary is acted on or sent to a customer (misstated commitments)</t>
  </si>
  <si>
    <t xml:space="preserve">Call owner reviews every summary before it leaves Cypher (brakes); monthly accuracy sample of sent summaries (seatbelt: finds what slipped through)</t>
  </si>
  <si>
    <t xml:space="preserve">Brakes, checked by a seatbelt</t>
  </si>
  <si>
    <t xml:space="preserve">H3</t>
  </si>
  <si>
    <t xml:space="preserve">People are recorded without being told</t>
  </si>
  <si>
    <t xml:space="preserve">Customer participants; staff; third parties</t>
  </si>
  <si>
    <t xml:space="preserve">Spoken and written notice at the start of every recorded call; bot shown by name</t>
  </si>
  <si>
    <t xml:space="preserve">Brakes</t>
  </si>
  <si>
    <t xml:space="preserve">H4</t>
  </si>
  <si>
    <t xml:space="preserve">Use drifts into judging staff, or emotion inference from voice</t>
  </si>
  <si>
    <t xml:space="preserve">Staff</t>
  </si>
  <si>
    <t xml:space="preserve">Banned-use statement in the AI policy; feature check in AIG-04</t>
  </si>
  <si>
    <t xml:space="preserve">Message content (credentials, customer posts) used for training or human review</t>
  </si>
  <si>
    <t xml:space="preserve">Staff; customers in shared channels</t>
  </si>
  <si>
    <t xml:space="preserve">Features off until a DPA with no-training and no-human-review clauses</t>
  </si>
  <si>
    <t xml:space="preserve">Customers in shared channels unaware their posts are processed by AI</t>
  </si>
  <si>
    <t xml:space="preserve">Customer staff</t>
  </si>
  <si>
    <t xml:space="preserve">AI off in shared channels; notice in channel description</t>
  </si>
  <si>
    <t xml:space="preserve">A wrong incident-channel summary misleads the response</t>
  </si>
  <si>
    <t xml:space="preserve">Customers (indirectly)</t>
  </si>
  <si>
    <t xml:space="preserve">Rule: AI summaries are never the incident record</t>
  </si>
  <si>
    <t xml:space="preserve">AI answers make pasted credentials and customer detail easier to find</t>
  </si>
  <si>
    <t xml:space="preserve">Staff; customers</t>
  </si>
  <si>
    <t xml:space="preserve">Retention limit (F-005); credential-pasting rule; secret rotation if found</t>
  </si>
  <si>
    <t xml:space="preserve">Harms where 'after' exceeds 'now'</t>
  </si>
  <si>
    <t xml:space="preserve">Part 5.4 - GDPR Art. 35 screening against the nine EDPB criteria. Two or more usually means a DPIA is required.</t>
  </si>
  <si>
    <t xml:space="preserve">EDPB criterion</t>
  </si>
  <si>
    <t xml:space="preserve">AIS-01 ScribeCo</t>
  </si>
  <si>
    <t xml:space="preserve">AIS-02 ChatCo AI features</t>
  </si>
  <si>
    <t xml:space="preserve">AIS-03 WriteCo</t>
  </si>
  <si>
    <t xml:space="preserve">1. Evaluation or scoring</t>
  </si>
  <si>
    <t xml:space="preserve">2. Automated decision with legal or similar effect</t>
  </si>
  <si>
    <t xml:space="preserve">3. Systematic monitoring</t>
  </si>
  <si>
    <t xml:space="preserve">Yes: every recorded call</t>
  </si>
  <si>
    <t xml:space="preserve">4. Sensitive or highly personal data</t>
  </si>
  <si>
    <t xml:space="preserve">Yes: private communications</t>
  </si>
  <si>
    <t xml:space="preserve">Yes: anything typed</t>
  </si>
  <si>
    <t xml:space="preserve">5. Large scale</t>
  </si>
  <si>
    <t xml:space="preserve">6. Matching or combining datasets</t>
  </si>
  <si>
    <t xml:space="preserve">7. Vulnerable data subjects (employees)</t>
  </si>
  <si>
    <t xml:space="preserve">8. Innovative use or new technology</t>
  </si>
  <si>
    <t xml:space="preserve">9. Prevents exercising a right or using a service</t>
  </si>
  <si>
    <t xml:space="preserve">Criteria met</t>
  </si>
  <si>
    <t xml:space="preserve">Part 7 - findings register AF-01 to AF-13.</t>
  </si>
  <si>
    <t xml:space="preserve">Finding ID</t>
  </si>
  <si>
    <t xml:space="preserve">Severity</t>
  </si>
  <si>
    <t xml:space="preserve">What we found</t>
  </si>
  <si>
    <t xml:space="preserve">Requirement</t>
  </si>
  <si>
    <t xml:space="preserve">Root cause</t>
  </si>
  <si>
    <t xml:space="preserve">Remediation</t>
  </si>
  <si>
    <t xml:space="preserve">Effort (S/M/L)</t>
  </si>
  <si>
    <t xml:space="preserve">Roadmap link</t>
  </si>
  <si>
    <t xml:space="preserve">Risk ID</t>
  </si>
  <si>
    <t xml:space="preserve">AI systems</t>
  </si>
  <si>
    <t xml:space="preserve">AF-01</t>
  </si>
  <si>
    <t xml:space="preserve">Critical</t>
  </si>
  <si>
    <t xml:space="preserve">ScribeCo records customer calls with no contract of any kind</t>
  </si>
  <si>
    <t xml:space="preserve">AIS-01 joins internal and customer calls and stores audio and transcripts in the United States. There is no contract, DPA or transfer mechanism. CGI-TPR-001 set a decision for 15 Oct 2026; none is recorded.</t>
  </si>
  <si>
    <t xml:space="preserve">GDPR Arts 28 and 44-46; CGI-TPR-001 Gate B (no DPA, no onboarding); CGI-POL-001 s4.5.1-4.5.2</t>
  </si>
  <si>
    <t xml:space="preserve">Bought on a personal card; never entered onboarding; the decision date passed without an owner chasing it.</t>
  </si>
  <si>
    <t xml:space="preserve">Today: remove the bot from all calls. By 24 Oct: CEO decides contract (DPA, no training, no human review, transfer mechanism, 30-day retention, deletion on exit) or exit with a deletion certificate. Record a nonconformity against CGI-POL-001 s4.5.</t>
  </si>
  <si>
    <t xml:space="preserve">S</t>
  </si>
  <si>
    <t xml:space="preserve">VR-001; VR-005; VR-006; R-003</t>
  </si>
  <si>
    <t xml:space="preserve">Open</t>
  </si>
  <si>
    <t xml:space="preserve">AF-02</t>
  </si>
  <si>
    <t xml:space="preserve">High</t>
  </si>
  <si>
    <t xml:space="preserve">ChatCo's AI reads customer content under no training prohibition, and the switch-off is unevidenced</t>
  </si>
  <si>
    <t xml:space="preserve">F-004 (15 Sep 2026): AI features process message content, including customers' posts in 3 shared channels; training not prohibited, human review not excluded. Action R4 (switch off by 01 Oct 2026) has no completion evidence.</t>
  </si>
  <si>
    <t xml:space="preserve">VQ-68, VQ-69 (weight 5); GDPR Art. 28</t>
  </si>
  <si>
    <t xml:space="preserve">AI terms not read at procurement; R4 had no evidence requirement checked.</t>
  </si>
  <si>
    <t xml:space="preserve">Screenshot the admin setting showing AI off (today). Keep off until the DPA includes no-training and no-human-review clauses (ISO-09).</t>
  </si>
  <si>
    <t xml:space="preserve">AIG-02</t>
  </si>
  <si>
    <t xml:space="preserve">Medium</t>
  </si>
  <si>
    <t xml:space="preserve">The approved AI tools list the policy depends on does not exist</t>
  </si>
  <si>
    <t xml:space="preserve">CGI-POL-001 s4.5.1 tells staff to use only tools on the CTO's approved list. No list is recorded anywhere, so staff cannot comply and nobody can check.</t>
  </si>
  <si>
    <t xml:space="preserve">CGI-POL-001 s4.5.1; ISO/IEC 42001 A.9.2, A.4.2</t>
  </si>
  <si>
    <t xml:space="preserve">The policy clause was approved before the list was built.</t>
  </si>
  <si>
    <t xml:space="preserve">Publish list v1 (WriteCo with conditions; ScribeCo and ChatCo AI pending) and adopt the AI register from Part 2 as its record.</t>
  </si>
  <si>
    <t xml:space="preserve">AIS-01; AIS-02; AIS-03</t>
  </si>
  <si>
    <t xml:space="preserve">AF-04</t>
  </si>
  <si>
    <t xml:space="preserve">Cypher cannot yet prove it has no prohibited or high-risk AI use</t>
  </si>
  <si>
    <t xml:space="preserve">VQ-67 answers are recorded for ChatCo only. AI features of HRCo, SupportCo, CRMCo, OfficeCo and the other suppliers are unconfirmed, so AI-A02 and AI-A03 are assumptions.</t>
  </si>
  <si>
    <t xml:space="preserve">AI Act Arts 5 and 6 with Annex III (classification needs a complete population)</t>
  </si>
  <si>
    <t xml:space="preserve">The AI questionnaire domain has been answered by one Tier 1 supplier.</t>
  </si>
  <si>
    <t xml:space="preserve">Run an AI-feature census: VQ-67 and VQ-68 to all 17 suppliers; confirm HRCo has no screening or evaluation features in use.</t>
  </si>
  <si>
    <t xml:space="preserve">M</t>
  </si>
  <si>
    <t xml:space="preserve">AIG-04</t>
  </si>
  <si>
    <t xml:space="preserve">VR-005; AR-002</t>
  </si>
  <si>
    <t xml:space="preserve">All</t>
  </si>
  <si>
    <t xml:space="preserve">AI literacy measures cover 60% of staff and say nothing specific about AI</t>
  </si>
  <si>
    <t xml:space="preserve">CGI-POL-001 (with s4.5) is acknowledged by 60% of staff. No AI-use module exists (OFI-04). Some measure exists, so the Art. 4 duty is partly met, not unmet.</t>
  </si>
  <si>
    <t xml:space="preserve">AI Act Art. 4 (take measures to support AI literacy; since 2 Feb 2025, rewritten 27 Jul 2026)</t>
  </si>
  <si>
    <t xml:space="preserve">Awareness is induction-only (CG-04).</t>
  </si>
  <si>
    <t xml:space="preserve">AI-use module for every staff member who uses AIS-01 to AIS-03, with a completion record; pulled forward from REC-09.</t>
  </si>
  <si>
    <t xml:space="preserve">No record that AI output is checked before it reaches a customer</t>
  </si>
  <si>
    <t xml:space="preserve">CGI-POL-001 s4.5.3 requires a competent person to review AI output before it is sent to a customer. No review record or reviewer exists, and nobody has tested ScribeCo's accuracy.</t>
  </si>
  <si>
    <t xml:space="preserve">CGI-POL-001 s4.5.3; ISO/IEC 42001 A.6.2.4, A.6.2.6, A.9.2</t>
  </si>
  <si>
    <t xml:space="preserve">Rule written; no procedure or record behind it.</t>
  </si>
  <si>
    <t xml:space="preserve">Named reviewers per tool; review step and log; monthly sample of 10 summaries checked against recordings.</t>
  </si>
  <si>
    <t xml:space="preserve">AIS-01; AIS-03</t>
  </si>
  <si>
    <t xml:space="preserve">No DPIA was done for three AI tools that meet the DPIA criteria</t>
  </si>
  <si>
    <t xml:space="preserve">Screening against the nine EDPB criteria: ScribeCo meets 4, ChatCo AI 3, WriteCo 3. Two or more usually means a DPIA is required. None has one.</t>
  </si>
  <si>
    <t xml:space="preserve">GDPR Art. 35; ISO/IEC 42001 6.1.4, 8.4, A.5.2-A.5.4</t>
  </si>
  <si>
    <t xml:space="preserve">No impact-assessment trigger in onboarding.</t>
  </si>
  <si>
    <t xml:space="preserve">DPIA for ScribeCo before any further use, and for ChatCo AI before re-enabling; WriteCo by 30 Nov. Add the trigger to CGI-TPR-001.</t>
  </si>
  <si>
    <t xml:space="preserve">No AI policy, AIMS scope or AI roles</t>
  </si>
  <si>
    <t xml:space="preserve">The only AI rules are four clauses in CGI-POL-001 s4.5. Nobody owns AI governance.</t>
  </si>
  <si>
    <t xml:space="preserve">ISO/IEC 42001 4.3, 5.2, 5.3; A.2.2, A.3.2</t>
  </si>
  <si>
    <t xml:space="preserve">AI arrived through suppliers before anyone planned for it.</t>
  </si>
  <si>
    <t xml:space="preserve">AI policy v1.0 (extends s4.5; banned uses; impact-assessment rule), AIMS scope statement and AI roles in the ISO-04 RACI.</t>
  </si>
  <si>
    <t xml:space="preserve">People on recorded calls are not told</t>
  </si>
  <si>
    <t xml:space="preserve">Customers and staff on ScribeCo calls, and customers in ChatCo shared channels, are not told their words are processed by a third-party AI.</t>
  </si>
  <si>
    <t xml:space="preserve">GDPR Arts 13-14; ISO/IEC 42001 A.8.5</t>
  </si>
  <si>
    <t xml:space="preserve">Tools arrived outside any process that writes notices.</t>
  </si>
  <si>
    <t xml:space="preserve">Spoken and written notice on every recorded call; channel notice; AI sub-processors added to the customer-facing list.</t>
  </si>
  <si>
    <t xml:space="preserve">AIS-01; AIS-02</t>
  </si>
  <si>
    <t xml:space="preserve">No route to report a harmful or wrong AI output</t>
  </si>
  <si>
    <t xml:space="preserve">CGI-POL-005 covers security incidents. Nothing tells staff or customers how to report a wrong summary or misuse of an AI tool.</t>
  </si>
  <si>
    <t xml:space="preserve">ISO/IEC 42001 A.3.3, A.8.3, A.8.4</t>
  </si>
  <si>
    <t xml:space="preserve">AI harms were never treated as incidents.</t>
  </si>
  <si>
    <t xml:space="preserve">Add an 'AI output or misuse' category to CGI-POL-005 reporting, and a customer contact route.</t>
  </si>
  <si>
    <t xml:space="preserve">Nothing stops an approved tool being used for a banned or high-risk purpose</t>
  </si>
  <si>
    <t xml:space="preserve">Onboarding controls new tools, not new uses. HR could use WriteCo to rank applicants (Annex III 4(a), and Art. 25(1)(c) would make Cypher the provider) or switch on voice emotion analysis (Art. 5(1)(f)).</t>
  </si>
  <si>
    <t xml:space="preserve">AI Act Arts 5, 6(2) and Annex III, 25(1)(c); ISO/IEC 42001 A.9.4</t>
  </si>
  <si>
    <t xml:space="preserve">Use is assessed at purchase, never afterwards.</t>
  </si>
  <si>
    <t xml:space="preserve">Banned-use list in the AI policy; intended use recorded per tool in the register; HR sign-off for any AI touching staff decisions.</t>
  </si>
  <si>
    <t xml:space="preserve">Low</t>
  </si>
  <si>
    <t xml:space="preserve">AI suppliers are missing from what customers are told about Cypher's service</t>
  </si>
  <si>
    <t xml:space="preserve">The draft system description and customer obligations (SOC-02) do not mention AI suppliers or AI features.</t>
  </si>
  <si>
    <t xml:space="preserve">ISO/IEC 42001 A.10.4; SOC 2 CC2.3</t>
  </si>
  <si>
    <t xml:space="preserve">Written before the AI inventory existed.</t>
  </si>
  <si>
    <t xml:space="preserve">Add AI suppliers and any AI-related customer obligations to SOC-02 and the trust page (SOC-13).</t>
  </si>
  <si>
    <t xml:space="preserve">Scenario AI-A01: no design gate for Cypher's first AI product feature</t>
  </si>
  <si>
    <t xml:space="preserve">The planned project assistant would make Cypher a provider with Art. 50 duties at launch. No intended-purpose statement, design controls (A.6, A.7) or supplier assessment of ModelCo exists, and CGI-POL-007 (secure development) is not yet written.</t>
  </si>
  <si>
    <t xml:space="preserve">AI Act Arts 3(3), 50(1)-(2), 6(2) and Annex III 4(b); ISO/IEC 42001 A.6, A.7, A.5</t>
  </si>
  <si>
    <t xml:space="preserve">Product planning ahead of governance (scenario).</t>
  </si>
  <si>
    <t xml:space="preserve">Design gate before any build: intended-purpose statement excluding staff evaluation; Art. 50 design requirements; impact assessment; ModelCo assessed as Tier 1 under CGI-TPR-001.</t>
  </si>
  <si>
    <t xml:space="preserve">R-004; AR-002</t>
  </si>
  <si>
    <t xml:space="preserve">Open (scenario)</t>
  </si>
  <si>
    <t xml:space="preserve">Part 7.1 - severity rule, published before any finding was graded.</t>
  </si>
  <si>
    <t xml:space="preserve">Rule</t>
  </si>
  <si>
    <t xml:space="preserve">Customer or personal data is processed by an AI system today under no contract of any kind, or a prohibited practice (Art. 5) is in use.</t>
  </si>
  <si>
    <t xml:space="preserve">A legal duty in force today is unmet (GDPR Arts 13-14, 28, 35; AI Act Art. 4 with no measure at all), or customer content sits under no training or human-review prohibition, or Cypher cannot tell whether it has a prohibited or high-risk use.</t>
  </si>
  <si>
    <t xml:space="preserve">An approved policy control or a required management-system process is absent or unevidenced, with no legal duty unmet today.</t>
  </si>
  <si>
    <t xml:space="preserve">A documentation or customer-assurance gap with no exposure.</t>
  </si>
  <si>
    <t xml:space="preserve">Part 6 - each finding across seven frameworks. 'None' is stated where no counterpart exists.</t>
  </si>
  <si>
    <t xml:space="preserve">EU AI Act</t>
  </si>
  <si>
    <t xml:space="preserve">ISO/IEC 42001</t>
  </si>
  <si>
    <t xml:space="preserve">ISO/IEC 27001:2022 Annex A</t>
  </si>
  <si>
    <t xml:space="preserve">SOC 2 (TSC)</t>
  </si>
  <si>
    <t xml:space="preserve">NIST CSF 2.0</t>
  </si>
  <si>
    <t xml:space="preserve">NIST AI RMF</t>
  </si>
  <si>
    <t xml:space="preserve">None directly (Art. 4 only). The duty broken is GDPR Arts 28 and 44-46</t>
  </si>
  <si>
    <t xml:space="preserve">A.10.2; A.10.3; 8.1</t>
  </si>
  <si>
    <t xml:space="preserve">A.5.19; A.5.20; A.5.34</t>
  </si>
  <si>
    <t xml:space="preserve">CC9.2</t>
  </si>
  <si>
    <t xml:space="preserve">GV.SC</t>
  </si>
  <si>
    <t xml:space="preserve">GOVERN</t>
  </si>
  <si>
    <t xml:space="preserve">None (ChatCo holds the provider duties). GDPR Art. 28</t>
  </si>
  <si>
    <t xml:space="preserve">A.10.2; A.10.3</t>
  </si>
  <si>
    <t xml:space="preserve">A.5.20; A.5.34</t>
  </si>
  <si>
    <t xml:space="preserve">GV.SC; PR.DS</t>
  </si>
  <si>
    <t xml:space="preserve">GOVERN; MAP</t>
  </si>
  <si>
    <t xml:space="preserve">Art. 4 (a measure staff can follow)</t>
  </si>
  <si>
    <t xml:space="preserve">A.9.2; A.4.2; A.6.2.5; 8.1</t>
  </si>
  <si>
    <t xml:space="preserve">A.5.10; A.5.9</t>
  </si>
  <si>
    <t xml:space="preserve">CC5.3</t>
  </si>
  <si>
    <t xml:space="preserve">GV.PO; ID.AM</t>
  </si>
  <si>
    <t xml:space="preserve">Art. 5; Art. 6(2) and Annex III</t>
  </si>
  <si>
    <t xml:space="preserve">4.1; A.4.2; A.10.3</t>
  </si>
  <si>
    <t xml:space="preserve">A.5.9; A.5.31</t>
  </si>
  <si>
    <t xml:space="preserve">None: CGI-SOC-001 found A.5.31 has no criterion counterpart</t>
  </si>
  <si>
    <t xml:space="preserve">ID.AM; GV.OC</t>
  </si>
  <si>
    <t xml:space="preserve">MAP</t>
  </si>
  <si>
    <t xml:space="preserve">7.2; 7.3; A.4.6; A.8.2</t>
  </si>
  <si>
    <t xml:space="preserve">CC1.4; CC2.2</t>
  </si>
  <si>
    <t xml:space="preserve">PR.AT</t>
  </si>
  <si>
    <t xml:space="preserve">None: Arts 14 and 26 apply to high-risk systems only. Voluntary alignment</t>
  </si>
  <si>
    <t xml:space="preserve">A.6.2.4; A.6.2.6; A.9.2</t>
  </si>
  <si>
    <t xml:space="preserve">None: Annex A has no control for output accuracy (nearest A.5.10)</t>
  </si>
  <si>
    <t xml:space="preserve">None in scope: Processing Integrity is outside Cypher's SOC 2 scope</t>
  </si>
  <si>
    <t xml:space="preserve">None: CSF 2.0 has no Category for output accuracy (nearest GV.PO)</t>
  </si>
  <si>
    <t xml:space="preserve">MEASURE; MANAGE</t>
  </si>
  <si>
    <t xml:space="preserve">None for Cypher (Art. 27 FRIA applies only to certain deployers of high-risk systems). GDPR Art. 35</t>
  </si>
  <si>
    <t xml:space="preserve">6.1.4; 8.4; A.5.2; A.5.3; A.5.4</t>
  </si>
  <si>
    <t xml:space="preserve">None: Privacy is outside Cypher's SOC 2 scope (SOC-A03)</t>
  </si>
  <si>
    <t xml:space="preserve">ID.RA; GV.OC</t>
  </si>
  <si>
    <t xml:space="preserve">Art. 4 (measures need an owner)</t>
  </si>
  <si>
    <t xml:space="preserve">4.3; 5.2; 5.3; A.2.2; A.3.2</t>
  </si>
  <si>
    <t xml:space="preserve">A.5.1; A.5.2</t>
  </si>
  <si>
    <t xml:space="preserve">CC1.3; CC5.3</t>
  </si>
  <si>
    <t xml:space="preserve">GV.PO; GV.RR</t>
  </si>
  <si>
    <t xml:space="preserve">None for Cypher as deployer (Art. 50(3)-(4) not triggered). GDPR Arts 13-14</t>
  </si>
  <si>
    <t xml:space="preserve">A.8.5; A.10.4</t>
  </si>
  <si>
    <t xml:space="preserve">CC2.3</t>
  </si>
  <si>
    <t xml:space="preserve">GV.OC</t>
  </si>
  <si>
    <t xml:space="preserve">None directly</t>
  </si>
  <si>
    <t xml:space="preserve">A.3.3; A.8.3; A.8.4</t>
  </si>
  <si>
    <t xml:space="preserve">A.5.24; A.6.8</t>
  </si>
  <si>
    <t xml:space="preserve">CC2.3; CC7.3</t>
  </si>
  <si>
    <t xml:space="preserve">RS.MA; RS.CO</t>
  </si>
  <si>
    <t xml:space="preserve">MANAGE</t>
  </si>
  <si>
    <t xml:space="preserve">Art. 5(1)(f); Art. 6(2) and Annex III point 4; Art. 25(1)(c)</t>
  </si>
  <si>
    <t xml:space="preserve">A.9.4; A.2.2</t>
  </si>
  <si>
    <t xml:space="preserve">A.5.31</t>
  </si>
  <si>
    <t xml:space="preserve">None</t>
  </si>
  <si>
    <t xml:space="preserve">Art. 3(3); Art. 50(1)-(2); Art. 6(2) and Annex III 4(b); Art. 4</t>
  </si>
  <si>
    <t xml:space="preserve">A.6.1.2; A.6.1.3; A.6.2.2; A.5.2; A.8.2</t>
  </si>
  <si>
    <t xml:space="preserve">A.5.8; A.8.25; A.8.26</t>
  </si>
  <si>
    <t xml:space="preserve">CC3.4; CC8.1</t>
  </si>
  <si>
    <t xml:space="preserve">GV.OC; ID.RA</t>
  </si>
  <si>
    <t xml:space="preserve">MAP; MEASURE</t>
  </si>
  <si>
    <t xml:space="preserve">Part 8.1 - would the existing risk's controls have prevented it? If not, it is a new risk.</t>
  </si>
  <si>
    <t xml:space="preserve">Candidate event</t>
  </si>
  <si>
    <t xml:space="preserve">Existing risk considered</t>
  </si>
  <si>
    <t xml:space="preserve">Would its controls have prevented it?</t>
  </si>
  <si>
    <t xml:space="preserve">ScribeCo processes customer call audio under no contract</t>
  </si>
  <si>
    <t xml:space="preserve">Yes: Gate B (no DPA, no onboarding) stops exactly this</t>
  </si>
  <si>
    <t xml:space="preserve">Existing risk, new route: VR-001 already lists CGI-VEN-012. No new risk</t>
  </si>
  <si>
    <t xml:space="preserve">A supplier trains on or reviews Cypher's content</t>
  </si>
  <si>
    <t xml:space="preserve">Yes: it is VR-006's own scenario</t>
  </si>
  <si>
    <t xml:space="preserve">Existing risk. No new risk</t>
  </si>
  <si>
    <t xml:space="preserve">A team adopts an AI tool with no review</t>
  </si>
  <si>
    <t xml:space="preserve">Yes, when the tool is paid for or connected</t>
  </si>
  <si>
    <t xml:space="preserve">Staff paste Confidential data into a free web AI tool</t>
  </si>
  <si>
    <t xml:space="preserve">No: expense and OAuth reconciliation cannot see a free browser tool, though VR-005's scenario names free tiers</t>
  </si>
  <si>
    <t xml:space="preserve">Existing risk, control gap: flag VR-005's residual for the Q1 2027 review (same treatment as R-001 in CGI-AWS-001). No new risk</t>
  </si>
  <si>
    <t xml:space="preserve">Inaccurate AI output is acted on or sent to a customer</t>
  </si>
  <si>
    <t xml:space="preserve">VR-006; VR-005</t>
  </si>
  <si>
    <t xml:space="preserve">No: neither control set touches output accuracy</t>
  </si>
  <si>
    <t xml:space="preserve">NEW RISK AR-001</t>
  </si>
  <si>
    <t xml:space="preserve">An approved tool is used for a prohibited or Annex III purpose</t>
  </si>
  <si>
    <t xml:space="preserve">No: the gate checks tools at purchase, not later uses</t>
  </si>
  <si>
    <t xml:space="preserve">NEW RISK AR-002</t>
  </si>
  <si>
    <t xml:space="preserve">Part 8 - CGI-RSK-001 v1.3: 14 risks from v1.2 plus AR-001 and AR-002. Scores are formulas.</t>
  </si>
  <si>
    <t xml:space="preserve">Last changed</t>
  </si>
  <si>
    <t xml:space="preserve">Inherent L</t>
  </si>
  <si>
    <t xml:space="preserve">Inherent I</t>
  </si>
  <si>
    <t xml:space="preserve">Inherent</t>
  </si>
  <si>
    <t xml:space="preserve">Inherent rating</t>
  </si>
  <si>
    <t xml:space="preserve">Residual L</t>
  </si>
  <si>
    <t xml:space="preserve">Residual I</t>
  </si>
  <si>
    <t xml:space="preserve">Residual</t>
  </si>
  <si>
    <t xml:space="preserve">Residual rating</t>
  </si>
  <si>
    <t xml:space="preserve">R-001</t>
  </si>
  <si>
    <t xml:space="preserve">v1.1</t>
  </si>
  <si>
    <t xml:space="preserve">R-002</t>
  </si>
  <si>
    <t xml:space="preserve">R-003</t>
  </si>
  <si>
    <t xml:space="preserve">R-004</t>
  </si>
  <si>
    <t xml:space="preserve">R-005</t>
  </si>
  <si>
    <t xml:space="preserve">v1.2</t>
  </si>
  <si>
    <t xml:space="preserve">VR-002</t>
  </si>
  <si>
    <t xml:space="preserve">VR-003</t>
  </si>
  <si>
    <t xml:space="preserve">VR-004</t>
  </si>
  <si>
    <t xml:space="preserve">VR-007</t>
  </si>
  <si>
    <t xml:space="preserve">VR-008</t>
  </si>
  <si>
    <t xml:space="preserve">VR-009</t>
  </si>
  <si>
    <t xml:space="preserve">v1.3 (new)</t>
  </si>
  <si>
    <t xml:space="preserve">Risks</t>
  </si>
  <si>
    <t xml:space="preserve">Inherent total</t>
  </si>
  <si>
    <t xml:space="preserve">Residual total</t>
  </si>
  <si>
    <t xml:space="preserve">Reduction</t>
  </si>
  <si>
    <t xml:space="preserve">Mean residual</t>
  </si>
  <si>
    <t xml:space="preserve">v1.2 residual (first 14 rows)</t>
  </si>
  <si>
    <t xml:space="preserve">v1.2 inherent (first 14 rows)</t>
  </si>
  <si>
    <t xml:space="preserve">Residual Critical</t>
  </si>
  <si>
    <t xml:space="preserve">Residual High</t>
  </si>
  <si>
    <t xml:space="preserve">Part 9.1 - AIG-01 to AIG-15, reconciled with REC, ISO, SOC, AWS and TP actions.</t>
  </si>
  <si>
    <t xml:space="preserve">ID</t>
  </si>
  <si>
    <t xml:space="preserve">Phase</t>
  </si>
  <si>
    <t xml:space="preserve">Closes</t>
  </si>
  <si>
    <t xml:space="preserve">Est. cost (USD)</t>
  </si>
  <si>
    <t xml:space="preserve">Reconciles with</t>
  </si>
  <si>
    <t xml:space="preserve">Phase 0 - Contain</t>
  </si>
  <si>
    <t xml:space="preserve">Remove ScribeCo from all calls today; CEO decision by 24 Oct: contract (DPA, no training, no human review, transfer mechanism, 30-day retention, deletion on exit) or exit with a deletion certificate; log the s4.5 breach as a nonconformity</t>
  </si>
  <si>
    <t xml:space="preserve">0</t>
  </si>
  <si>
    <t xml:space="preserve">CGI-TPR-001 ScribeCo decision (due 15 Oct, overdue - AC-01); ISO-09</t>
  </si>
  <si>
    <t xml:space="preserve">Evidence ChatCo AI is off (admin screenshot); keep it off until the DPA carries no-training and no-human-review clauses</t>
  </si>
  <si>
    <t xml:space="preserve">VRA-2026-002 R4 (due 01 Oct, unevidenced - AC-02); ISO-09</t>
  </si>
  <si>
    <t xml:space="preserve">Publish the approved AI tools list v1 and adopt the Part 2 AI register as its record; deployment checklist and usage-log export in onboarding</t>
  </si>
  <si>
    <t xml:space="preserve">CGI-POL-001 s4.5.1; CGI-TPR-001 workflow</t>
  </si>
  <si>
    <t xml:space="preserve">Phase 1 - Foundation</t>
  </si>
  <si>
    <t xml:space="preserve">AI-feature census: VQ-67 and VQ-68 to all 17 suppliers; confirm no Annex III or Art. 5 use (HRCo first)</t>
  </si>
  <si>
    <t xml:space="preserve">REC-15 cadence; REC-05 inventory</t>
  </si>
  <si>
    <t xml:space="preserve">DPIAs for ScribeCo (before any further use), ChatCo AI (before re-enabling) and WriteCo; approve the impact-assessment process and add its trigger to CGI-TPR-001</t>
  </si>
  <si>
    <t xml:space="preserve">ISO-09 (A.5.34)</t>
  </si>
  <si>
    <t xml:space="preserve">Call-recording and channel notices; AI suppliers added to the customer-facing sub-processor list</t>
  </si>
  <si>
    <t xml:space="preserve">SOC-02; SOC-13</t>
  </si>
  <si>
    <t xml:space="preserve">AI policy v1.0 (extends CGI-POL-001 s4.5; banned uses; intended use per tool), AIMS scope statement, AI roles in the RACI, AI resourcing line</t>
  </si>
  <si>
    <t xml:space="preserve">AF-08; AF-11</t>
  </si>
  <si>
    <t xml:space="preserve">ISO-03; ISO-04 (AC-07)</t>
  </si>
  <si>
    <t xml:space="preserve">AI-use module for every AI user, with completion records (the Art. 4 evidence)</t>
  </si>
  <si>
    <t xml:space="preserve">REC-09 (AI part pulled forward - AC-03); OFI-04</t>
  </si>
  <si>
    <t xml:space="preserve">Phase 2 - Operate</t>
  </si>
  <si>
    <t xml:space="preserve">Human-review procedure: named reviewers, review log, monthly accuracy sample</t>
  </si>
  <si>
    <t xml:space="preserve">TP-11 (AR-001)</t>
  </si>
  <si>
    <t xml:space="preserve">'AI output or misuse' reporting category in CGI-POL-005; customer contact route; AI scenario in the REC-12 tabletop</t>
  </si>
  <si>
    <t xml:space="preserve">REC-12</t>
  </si>
  <si>
    <t xml:space="preserve">Join the AIMS to the ISMS: AI risk criteria into ISO-05, objectives into ISO-07, AIMS in the ISO-12 audit and ISO-13 reviews, one combined SoA approval at ISO-06</t>
  </si>
  <si>
    <t xml:space="preserve">Clauses 6.1.2, 6.2, 9.2, 9.3</t>
  </si>
  <si>
    <t xml:space="preserve">ISO-05; ISO-06; ISO-07; ISO-12; ISO-13 (AC-07)</t>
  </si>
  <si>
    <t xml:space="preserve">AI suppliers and AI obligations in the system description and customer obligations</t>
  </si>
  <si>
    <t xml:space="preserve">SOC-02</t>
  </si>
  <si>
    <t xml:space="preserve">AI-A01 design gate (scenario): intended purpose excluding staff evaluation; Art. 50 design; impact assessment; ModelCo assessed as Tier 1; Annex A A.6 and A.7 controls brought into scope</t>
  </si>
  <si>
    <t xml:space="preserve">REC-06 (CGI-POL-007 must exist first - AC-06)</t>
  </si>
  <si>
    <t xml:space="preserve">Phase 3 - Sustain</t>
  </si>
  <si>
    <t xml:space="preserve">Quarterly AI reconciliation (KRI-V4 extended to AI features); annual register and policy review</t>
  </si>
  <si>
    <t xml:space="preserve">AF-03; AF-04</t>
  </si>
  <si>
    <t xml:space="preserve">Finance Manager</t>
  </si>
  <si>
    <t xml:space="preserve">KRI-V4</t>
  </si>
  <si>
    <t xml:space="preserve">AIG-15</t>
  </si>
  <si>
    <t xml:space="preserve">Buy ISO/IEC 42001 and decide on certification after the ISO 27001 certificate; not before Q1 2028</t>
  </si>
  <si>
    <t xml:space="preserve">31 Mar 2028</t>
  </si>
  <si>
    <t xml:space="preserve">Standard purchase (planning estimate USD 200)</t>
  </si>
  <si>
    <t xml:space="preserve">ISO-16; ISO-17 (AC-08)</t>
  </si>
  <si>
    <t xml:space="preserve">Part 9.2 - where earlier deliverables and the evidence disagree, and how it was resolved.</t>
  </si>
  <si>
    <t xml:space="preserve">Earlier deliverable says</t>
  </si>
  <si>
    <t xml:space="preserve">The evidence says</t>
  </si>
  <si>
    <t xml:space="preserve">Resolution</t>
  </si>
  <si>
    <t xml:space="preserve">AC-01</t>
  </si>
  <si>
    <t xml:space="preserve">CGI-TPR-001 set the ScribeCo decision for 15 Oct 2026.</t>
  </si>
  <si>
    <t xml:space="preserve">No decision is recorded in any later deliverable.</t>
  </si>
  <si>
    <t xml:space="preserve">Treated as overdue. AIG-01 suspends use now and resets the decision to 24 Oct 2026.</t>
  </si>
  <si>
    <t xml:space="preserve">AC-02</t>
  </si>
  <si>
    <t xml:space="preserve">VRA-2026-002 action R4: switch ChatCo AI off by 01 Oct 2026, evidenced by an admin screenshot.</t>
  </si>
  <si>
    <t xml:space="preserve">No screenshot is recorded.</t>
  </si>
  <si>
    <t xml:space="preserve">Treated as not done (AI-A04). AIG-02 asks for the evidence, not a new action.</t>
  </si>
  <si>
    <t xml:space="preserve">AC-03</t>
  </si>
  <si>
    <t xml:space="preserve">REC-09 schedules the awareness curriculum for Q1 2027.</t>
  </si>
  <si>
    <t xml:space="preserve">Art. 4 has applied since 02 Feb 2025 and is supervised since 02 Aug 2026.</t>
  </si>
  <si>
    <t xml:space="preserve">The AI-use module is pulled forward to 31 Dec 2026 (AIG-08); the rest of REC-09 keeps its date.</t>
  </si>
  <si>
    <t xml:space="preserve">AC-04</t>
  </si>
  <si>
    <t xml:space="preserve">The Part 1 teaching notes said CGI-SOC-001 noted SOC 2 has no AI criterion.</t>
  </si>
  <si>
    <t xml:space="preserve">CGI-SOC-001 listed 11 Annex A controls and 7 clause requirements with no criterion (including A.5.31). It said nothing about AI.</t>
  </si>
  <si>
    <t xml:space="preserve">Corrected. This document makes the 'no criterion' calls itself and cites CGI-SOC-001 only for A.5.31.</t>
  </si>
  <si>
    <t xml:space="preserve">AC-05</t>
  </si>
  <si>
    <t xml:space="preserve">CGI-TPR-001 counts 17 suppliers and 6 without a DPA (KRI-V1 65%).</t>
  </si>
  <si>
    <t xml:space="preserve">If AIG-01 ends in exit, ScribeCo leaves the inventory.</t>
  </si>
  <si>
    <t xml:space="preserve">Re-state KRI-V1 on the new base (16 suppliers) with a note; never change a denominator silently.</t>
  </si>
  <si>
    <t xml:space="preserve">AC-06</t>
  </si>
  <si>
    <t xml:space="preserve">AI-A01's design gate falls on 31 Mar 2027.</t>
  </si>
  <si>
    <t xml:space="preserve">REC-06 (CGI-POL-007 secure development) is due in Q1 2027; a product AI feature needs it first.</t>
  </si>
  <si>
    <t xml:space="preserve">AIG-13 cannot pass before REC-06 is approved. Launch stays 01 Sep 2027 (scenario).</t>
  </si>
  <si>
    <t xml:space="preserve">AC-07</t>
  </si>
  <si>
    <t xml:space="preserve">ISO-05 (risk acceptance criteria) and ISO-04 (RACI) cover information security only.</t>
  </si>
  <si>
    <t xml:space="preserve">ISO/IEC 42001 6.1.2 needs criteria for harm to people; 5.3 needs AI roles.</t>
  </si>
  <si>
    <t xml:space="preserve">Extend ISO-05 and ISO-04 instead of creating parallel actions (AIG-07, AIG-11). Their due dates do not move.</t>
  </si>
  <si>
    <t xml:space="preserve">AC-08</t>
  </si>
  <si>
    <t xml:space="preserve">CGI-ISO-001 targets ISO 27001 certification in November 2027.</t>
  </si>
  <si>
    <t xml:space="preserve">A parallel ISO/IEC 42001 certificate would compete for the same people.</t>
  </si>
  <si>
    <t xml:space="preserve">No 42001 certification before the 27001 certificate. Build the joint system now; decide in Q1 2028 (AIG-15).</t>
  </si>
  <si>
    <t xml:space="preserve">Part 10 - CGI-GAP-001 after CGI-AIG-001. Overall = sum / 22.</t>
  </si>
  <si>
    <t xml:space="preserve">Category</t>
  </si>
  <si>
    <t xml:space="preserve">Name</t>
  </si>
  <si>
    <t xml:space="preserve">Before</t>
  </si>
  <si>
    <t xml:space="preserve">After</t>
  </si>
  <si>
    <t xml:space="preserve">Why</t>
  </si>
  <si>
    <t xml:space="preserve">Organizational Context</t>
  </si>
  <si>
    <t xml:space="preserve">AI roles and intended purposes are drafted here, not approved. A draft is a prerequisite, not a score.</t>
  </si>
  <si>
    <t xml:space="preserve">GV.RM</t>
  </si>
  <si>
    <t xml:space="preserve">Risk Management Strategy</t>
  </si>
  <si>
    <t xml:space="preserve">AR-001 and AR-002 use the existing method, but there are still no acceptance criteria, for AI or anything else.</t>
  </si>
  <si>
    <t xml:space="preserve">GV.RR</t>
  </si>
  <si>
    <t xml:space="preserve">Roles, Responsibilities and Authorities</t>
  </si>
  <si>
    <t xml:space="preserve">Not touched by this assessment</t>
  </si>
  <si>
    <t xml:space="preserve">GV.PO</t>
  </si>
  <si>
    <t xml:space="preserve">Policy</t>
  </si>
  <si>
    <t xml:space="preserve">CGI-POL-001 s4.5 is approved but unevidenced: that is already a 2. A new AI policy would also be approved but unevidenced, so it could not lift it either.</t>
  </si>
  <si>
    <t xml:space="preserve">GV.OV</t>
  </si>
  <si>
    <t xml:space="preserve">Cybersecurity Supply Chain Risk Management</t>
  </si>
  <si>
    <t xml:space="preserve">T2-f operated once (WriteCo); ScribeCo and ChatCo AI show the programme not yet holding.</t>
  </si>
  <si>
    <t xml:space="preserve">ID.AM</t>
  </si>
  <si>
    <t xml:space="preserve">Asset Management</t>
  </si>
  <si>
    <t xml:space="preserve">The AI register lists four systems. Like Project 7's cloud resource list, it is an input to REC-05, not an asset inventory.</t>
  </si>
  <si>
    <t xml:space="preserve">ID.RA</t>
  </si>
  <si>
    <t xml:space="preserve">Risk Assessment</t>
  </si>
  <si>
    <t xml:space="preserve">ID.IM</t>
  </si>
  <si>
    <t xml:space="preserve">Improvement</t>
  </si>
  <si>
    <t xml:space="preserve">PR.AA</t>
  </si>
  <si>
    <t xml:space="preserve">Identity Management, Authentication and Access Control</t>
  </si>
  <si>
    <t xml:space="preserve">Awareness and Training</t>
  </si>
  <si>
    <t xml:space="preserve">No AI module has run.</t>
  </si>
  <si>
    <t xml:space="preserve">PR.DS</t>
  </si>
  <si>
    <t xml:space="preserve">Data Security</t>
  </si>
  <si>
    <t xml:space="preserve">PR.PS</t>
  </si>
  <si>
    <t xml:space="preserve">Platform Security</t>
  </si>
  <si>
    <t xml:space="preserve">PR.IR</t>
  </si>
  <si>
    <t xml:space="preserve">Technology Infrastructure Resilience</t>
  </si>
  <si>
    <t xml:space="preserve">DE.CM</t>
  </si>
  <si>
    <t xml:space="preserve">Continuous Monitoring</t>
  </si>
  <si>
    <t xml:space="preserve">DE.AE</t>
  </si>
  <si>
    <t xml:space="preserve">Adverse Event Analysis</t>
  </si>
  <si>
    <t xml:space="preserve">RS.MA</t>
  </si>
  <si>
    <t xml:space="preserve">Incident Management</t>
  </si>
  <si>
    <t xml:space="preserve">RS.AN</t>
  </si>
  <si>
    <t xml:space="preserve">Incident Analysis</t>
  </si>
  <si>
    <t xml:space="preserve">RS.CO</t>
  </si>
  <si>
    <t xml:space="preserve">Incident Response Reporting and Communication</t>
  </si>
  <si>
    <t xml:space="preserve">RS.MI</t>
  </si>
  <si>
    <t xml:space="preserve">Incident Mitigation</t>
  </si>
  <si>
    <t xml:space="preserve">RC.RP</t>
  </si>
  <si>
    <t xml:space="preserve">Incident Recovery Plan Execution</t>
  </si>
  <si>
    <t xml:space="preserve">RC.CO</t>
  </si>
  <si>
    <t xml:space="preserve">Incident Recovery Communication</t>
  </si>
  <si>
    <t xml:space="preserve">Sum</t>
  </si>
  <si>
    <t xml:space="preserve">Overall</t>
  </si>
  <si>
    <t xml:space="preserve">Appendix A.2 - assumptions AI-A01 to AI-A04 and limitations L-01 to L-05.</t>
  </si>
  <si>
    <t xml:space="preserve">Type</t>
  </si>
  <si>
    <t xml:space="preserve">Statement</t>
  </si>
  <si>
    <t xml:space="preserve">Effect</t>
  </si>
  <si>
    <t xml:space="preserve">AI-A01</t>
  </si>
  <si>
    <t xml:space="preserve">Assumption</t>
  </si>
  <si>
    <t xml:space="preserve">Cypher plans an in-product AI project assistant built on a third-party general-purpose model (ModelCo). Design gate 31 Mar 2027; launch not before 01 Sep 2027.</t>
  </si>
  <si>
    <t xml:space="preserve">Tests the provider role. Declared after 16 Oct 2026 and kept out of every earlier project's numbers: ModelCo is not supplier 18, and no risk score, maturity score or SoA status uses it.</t>
  </si>
  <si>
    <t xml:space="preserve">AI-A02</t>
  </si>
  <si>
    <t xml:space="preserve">ScribeCo is used for transcription and summaries only. No feature infers emotions from voice and no output is used to assess staff.</t>
  </si>
  <si>
    <t xml:space="preserve">Unverified (no contract, no product review). If either is false, Art. 5(1)(f) or Annex III point 4(b) applies. Verified through AIG-04.</t>
  </si>
  <si>
    <t xml:space="preserve">AI-A03</t>
  </si>
  <si>
    <t xml:space="preserve">No supplier AI feature is used for recruitment, staff evaluation, credit or other Annex III purposes.</t>
  </si>
  <si>
    <t xml:space="preserve">Rests on what earlier projects record. HRCo, SupportCo, CRMCo and OfficeCo have no recorded VQ-67 answer. Verified through AIG-04 (finding AF-04).</t>
  </si>
  <si>
    <t xml:space="preserve">AI-A04</t>
  </si>
  <si>
    <t xml:space="preserve">ChatCo's AI features are still switched on.</t>
  </si>
  <si>
    <t xml:space="preserve">VRA-2026-002 action R4 was due 01 Oct 2026 and no later deliverable records it done. Never assume evidence an earlier project records as absent.</t>
  </si>
  <si>
    <t xml:space="preserve">L-01</t>
  </si>
  <si>
    <t xml:space="preserve">Limitation</t>
  </si>
  <si>
    <t xml:space="preserve">Documentation only. No supplier's real terms were read and no tool was tested.</t>
  </si>
  <si>
    <t xml:space="preserve">Every system fact comes from Projects 01-07 or from AI-A01 to AI-A04.</t>
  </si>
  <si>
    <t xml:space="preserve">L-02</t>
  </si>
  <si>
    <t xml:space="preserve">Legal reading, not legal advice. The AI Act text is as amended by Regulation (EU) 2026/1744 and checked on 17 Oct 2026.</t>
  </si>
  <si>
    <t xml:space="preserve">Edge questions (for example whether a meeting bot 'interacts directly' with people under Art. 50(1)) are assessor judgements. Check the Commission's Article 50 and Article 6 guidelines before relying on them.</t>
  </si>
  <si>
    <t xml:space="preserve">L-03</t>
  </si>
  <si>
    <t xml:space="preserve">'No high-risk system' holds for the four recorded systems only.</t>
  </si>
  <si>
    <t xml:space="preserve">The supplier AI-feature census (AIG-04) is what turns it into a company-wide statement.</t>
  </si>
  <si>
    <t xml:space="preserve">L-04</t>
  </si>
  <si>
    <t xml:space="preserve">ISO/IEC 42001:2023 requirements are paraphrased. Control titles are given as short names.</t>
  </si>
  <si>
    <t xml:space="preserve">Obtain the standard before implementation (AIG-15).</t>
  </si>
  <si>
    <t xml:space="preserve">L-05</t>
  </si>
  <si>
    <t xml:space="preserve">Self-assessment. The same author prepared the inputs being assessed.</t>
  </si>
  <si>
    <t xml:space="preserve">Same independence limit as CGI-IAU-001 (OFI-08). An independent review belongs in the ISO-12 internal audit programme.</t>
  </si>
  <si>
    <t xml:space="preserve">Every row must read PASS before this workbook is published.</t>
  </si>
  <si>
    <t xml:space="preserve">#</t>
  </si>
  <si>
    <t xml:space="preserve">Check</t>
  </si>
  <si>
    <t xml:space="preserve">Expected</t>
  </si>
  <si>
    <t xml:space="preserve">Actual (formula)</t>
  </si>
  <si>
    <t xml:space="preserve">Annex A controls counted</t>
  </si>
  <si>
    <t xml:space="preserve">Applicable + not applicable = 38</t>
  </si>
  <si>
    <t xml:space="preserve">Applicable controls</t>
  </si>
  <si>
    <t xml:space="preserve">Every applicable control has a derived status</t>
  </si>
  <si>
    <t xml:space="preserve">No excluded control carries a maturity</t>
  </si>
  <si>
    <t xml:space="preserve">No control above 2 without operating evidence (none Implemented)</t>
  </si>
  <si>
    <t xml:space="preserve">Clause requirements counted</t>
  </si>
  <si>
    <t xml:space="preserve">Clause score total</t>
  </si>
  <si>
    <t xml:space="preserve">Gate requirements failing</t>
  </si>
  <si>
    <t xml:space="preserve">Weighted readiness (1 dp)</t>
  </si>
  <si>
    <t xml:space="preserve">AI systems in the register</t>
  </si>
  <si>
    <t xml:space="preserve">Systems in a high-risk or prohibited tier</t>
  </si>
  <si>
    <t xml:space="preserve">Findings counted</t>
  </si>
  <si>
    <t xml:space="preserve">Severity counts add up</t>
  </si>
  <si>
    <t xml:space="preserve">Every finding has a roadmap link</t>
  </si>
  <si>
    <t xml:space="preserve">Mapping rows = finding rows</t>
  </si>
  <si>
    <t xml:space="preserve">Risks in register v1.3</t>
  </si>
  <si>
    <t xml:space="preserve">v1.2 inherent total (14 risks)</t>
  </si>
  <si>
    <t xml:space="preserve">v1.2 residual total (14 risks)</t>
  </si>
  <si>
    <t xml:space="preserve">v1.3 inherent total</t>
  </si>
  <si>
    <t xml:space="preserve">v1.3 residual total</t>
  </si>
  <si>
    <t xml:space="preserve">Residual Critical risks</t>
  </si>
  <si>
    <t xml:space="preserve">CSF sum of 22 Categories</t>
  </si>
  <si>
    <t xml:space="preserve">CSF overall (2 dp)</t>
  </si>
  <si>
    <t xml:space="preserve">DPIA criteria met, ScribeCo</t>
  </si>
  <si>
    <t xml:space="preserve">No harm scores higher after measures</t>
  </si>
  <si>
    <t xml:space="preserve">Checks passing</t>
  </si>
</sst>
</file>

<file path=xl/styles.xml><?xml version="1.0" encoding="utf-8"?>
<styleSheet xmlns="http://schemas.openxmlformats.org/spreadsheetml/2006/main">
  <numFmts count="5">
    <numFmt numFmtId="164" formatCode="General"/>
    <numFmt numFmtId="165" formatCode="General"/>
    <numFmt numFmtId="166" formatCode="0.0%"/>
    <numFmt numFmtId="167" formatCode="0.00"/>
    <numFmt numFmtId="168" formatCode="0%"/>
  </numFmts>
  <fonts count="8">
    <font>
      <sz val="11"/>
      <color theme="1"/>
      <name val="Calibri"/>
      <family val="2"/>
      <charset val="1"/>
    </font>
    <font>
      <sz val="10"/>
      <name val="Arial"/>
      <family val="0"/>
    </font>
    <font>
      <sz val="10"/>
      <name val="Arial"/>
      <family val="0"/>
    </font>
    <font>
      <sz val="10"/>
      <name val="Arial"/>
      <family val="0"/>
    </font>
    <font>
      <b val="true"/>
      <sz val="9"/>
      <name val="Arial"/>
      <family val="0"/>
      <charset val="1"/>
    </font>
    <font>
      <sz val="9"/>
      <name val="Arial"/>
      <family val="0"/>
      <charset val="1"/>
    </font>
    <font>
      <b val="true"/>
      <sz val="12"/>
      <color rgb="FF1F3864"/>
      <name val="Arial"/>
      <family val="0"/>
      <charset val="1"/>
    </font>
    <font>
      <b val="true"/>
      <sz val="9"/>
      <color rgb="FFFFFFFF"/>
      <name val="Arial"/>
      <family val="0"/>
      <charset val="1"/>
    </font>
  </fonts>
  <fills count="6">
    <fill>
      <patternFill patternType="none"/>
    </fill>
    <fill>
      <patternFill patternType="gray125"/>
    </fill>
    <fill>
      <patternFill patternType="solid">
        <fgColor rgb="FFFCE4C4"/>
        <bgColor rgb="FFFFF2CC"/>
      </patternFill>
    </fill>
    <fill>
      <patternFill patternType="solid">
        <fgColor rgb="FF1F3864"/>
        <bgColor rgb="FF333333"/>
      </patternFill>
    </fill>
    <fill>
      <patternFill patternType="solid">
        <fgColor rgb="FFFFF2CC"/>
        <bgColor rgb="FFFCE4C4"/>
      </patternFill>
    </fill>
    <fill>
      <patternFill patternType="solid">
        <fgColor rgb="FFE8E8E8"/>
        <bgColor rgb="FFFCE4C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6" fontId="5" fillId="5" borderId="0" xfId="0" applyFont="true" applyBorder="false" applyAlignment="true" applyProtection="false">
      <alignment horizontal="general" vertical="top" textRotation="0" wrapText="tru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xf numFmtId="165" fontId="5"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8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C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3" t="s">
        <v>5</v>
      </c>
    </row>
    <row r="4" customFormat="false" ht="15" hidden="false" customHeight="false" outlineLevel="0" collapsed="false">
      <c r="A4" s="1" t="s">
        <v>6</v>
      </c>
      <c r="B4" s="2" t="s">
        <v>7</v>
      </c>
    </row>
    <row r="5" customFormat="false" ht="15" hidden="false" customHeight="false" outlineLevel="0" collapsed="false">
      <c r="A5" s="1" t="s">
        <v>8</v>
      </c>
      <c r="B5" s="2" t="s">
        <v>9</v>
      </c>
    </row>
    <row r="6" customFormat="false" ht="15" hidden="false" customHeight="false" outlineLevel="0" collapsed="false">
      <c r="A6" s="1" t="s">
        <v>10</v>
      </c>
      <c r="B6" s="2" t="s">
        <v>11</v>
      </c>
    </row>
    <row r="7" customFormat="false" ht="15" hidden="false" customHeight="false" outlineLevel="0" collapsed="false">
      <c r="A7" s="1" t="s">
        <v>12</v>
      </c>
      <c r="B7" s="2" t="s">
        <v>13</v>
      </c>
    </row>
    <row r="8" customFormat="false" ht="15" hidden="false" customHeight="false" outlineLevel="0" collapsed="false">
      <c r="A8" s="1" t="s">
        <v>14</v>
      </c>
      <c r="B8" s="2" t="s">
        <v>15</v>
      </c>
    </row>
    <row r="9" customFormat="false" ht="15" hidden="false" customHeight="false" outlineLevel="0" collapsed="false">
      <c r="A9" s="1" t="s">
        <v>16</v>
      </c>
      <c r="B9" s="2" t="s">
        <v>17</v>
      </c>
    </row>
    <row r="10" customFormat="false" ht="15" hidden="false" customHeight="false" outlineLevel="0" collapsed="false">
      <c r="A10" s="1" t="s">
        <v>18</v>
      </c>
      <c r="B10" s="2" t="s">
        <v>19</v>
      </c>
    </row>
    <row r="11" customFormat="false" ht="22.35" hidden="false" customHeight="false" outlineLevel="0" collapsed="false">
      <c r="A11" s="1" t="s">
        <v>20</v>
      </c>
      <c r="B11"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22"/>
    <col collapsed="false" customWidth="true" hidden="false" outlineLevel="0" max="4" min="4" style="0" width="30"/>
    <col collapsed="false" customWidth="true" hidden="false" outlineLevel="0" max="5" min="5" style="0" width="34"/>
    <col collapsed="false" customWidth="true" hidden="false" outlineLevel="0" max="6" min="6" style="0" width="26"/>
    <col collapsed="false" customWidth="true" hidden="false" outlineLevel="0" max="7" min="7" style="0" width="20"/>
    <col collapsed="false" customWidth="true" hidden="false" outlineLevel="0" max="8" min="8" style="0" width="16"/>
    <col collapsed="false" customWidth="true" hidden="false" outlineLevel="0" max="9" min="9" style="0" width="34"/>
    <col collapsed="false" customWidth="true" hidden="false" outlineLevel="0" max="10" min="10" style="0" width="26"/>
    <col collapsed="false" customWidth="true" hidden="false" outlineLevel="0" max="11" min="11" style="0" width="14"/>
    <col collapsed="false" customWidth="true" hidden="false" outlineLevel="0" max="12" min="12" style="0" width="26"/>
    <col collapsed="false" customWidth="true" hidden="false" outlineLevel="0" max="13" min="13" style="0" width="16"/>
    <col collapsed="false" customWidth="true" hidden="false" outlineLevel="0" max="14" min="14" style="0" width="12"/>
    <col collapsed="false" customWidth="true" hidden="false" outlineLevel="0" max="15" min="15" style="0" width="26"/>
    <col collapsed="false" customWidth="true" hidden="false" outlineLevel="0" max="16" min="16" style="0" width="34"/>
    <col collapsed="false" customWidth="true" hidden="false" outlineLevel="0" max="17" min="17" style="0" width="30"/>
    <col collapsed="false" customWidth="true" hidden="false" outlineLevel="0" max="18" min="18" style="0" width="28"/>
    <col collapsed="false" customWidth="true" hidden="false" outlineLevel="0" max="19" min="19" style="0" width="22"/>
    <col collapsed="false" customWidth="true" hidden="false" outlineLevel="0" max="21" min="20" style="0" width="28"/>
    <col collapsed="false" customWidth="true" hidden="false" outlineLevel="0" max="23" min="22" style="0" width="22"/>
    <col collapsed="false" customWidth="true" hidden="false" outlineLevel="0" max="24" min="24" style="0" width="10"/>
  </cols>
  <sheetData>
    <row r="1" customFormat="false" ht="15" hidden="false" customHeight="false" outlineLevel="0" collapsed="false">
      <c r="A1" s="4" t="s">
        <v>22</v>
      </c>
    </row>
    <row r="3" customFormat="false" ht="43.25" hidden="false" customHeight="false" outlineLevel="0" collapsed="false">
      <c r="A3" s="5" t="s">
        <v>23</v>
      </c>
      <c r="B3" s="5" t="s">
        <v>24</v>
      </c>
      <c r="C3" s="5" t="s">
        <v>25</v>
      </c>
      <c r="D3" s="5" t="s">
        <v>26</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row>
    <row r="4" customFormat="false" ht="32.8" hidden="false" customHeight="false" outlineLevel="0" collapsed="false">
      <c r="A4" s="6" t="s">
        <v>47</v>
      </c>
      <c r="B4" s="6" t="s">
        <v>48</v>
      </c>
      <c r="C4" s="6" t="s">
        <v>49</v>
      </c>
      <c r="D4" s="6" t="s">
        <v>50</v>
      </c>
      <c r="E4" s="6" t="s">
        <v>51</v>
      </c>
      <c r="F4" s="6" t="s">
        <v>52</v>
      </c>
      <c r="G4" s="6" t="s">
        <v>53</v>
      </c>
      <c r="H4" s="6" t="s">
        <v>54</v>
      </c>
      <c r="I4" s="6" t="s">
        <v>55</v>
      </c>
      <c r="J4" s="6" t="s">
        <v>56</v>
      </c>
      <c r="K4" s="6" t="s">
        <v>57</v>
      </c>
      <c r="L4" s="6" t="s">
        <v>58</v>
      </c>
      <c r="M4" s="6" t="s">
        <v>59</v>
      </c>
      <c r="N4" s="6" t="s">
        <v>60</v>
      </c>
      <c r="O4" s="6" t="s">
        <v>61</v>
      </c>
      <c r="P4" s="6" t="s">
        <v>62</v>
      </c>
      <c r="Q4" s="6" t="s">
        <v>63</v>
      </c>
      <c r="R4" s="6" t="s">
        <v>64</v>
      </c>
      <c r="S4" s="6" t="s">
        <v>65</v>
      </c>
      <c r="T4" s="6" t="s">
        <v>66</v>
      </c>
      <c r="U4" s="6" t="s">
        <v>67</v>
      </c>
      <c r="V4" s="6" t="s">
        <v>68</v>
      </c>
      <c r="W4" s="6" t="s">
        <v>69</v>
      </c>
      <c r="X4" s="6" t="s">
        <v>70</v>
      </c>
    </row>
    <row r="5" customFormat="false" ht="53.7" hidden="false" customHeight="false" outlineLevel="0" collapsed="false">
      <c r="A5" s="6" t="s">
        <v>71</v>
      </c>
      <c r="B5" s="6" t="s">
        <v>72</v>
      </c>
      <c r="C5" s="6" t="s">
        <v>73</v>
      </c>
      <c r="D5" s="6" t="s">
        <v>74</v>
      </c>
      <c r="E5" s="6" t="s">
        <v>75</v>
      </c>
      <c r="F5" s="6" t="s">
        <v>76</v>
      </c>
      <c r="G5" s="6" t="s">
        <v>77</v>
      </c>
      <c r="H5" s="6" t="s">
        <v>78</v>
      </c>
      <c r="I5" s="6" t="s">
        <v>79</v>
      </c>
      <c r="J5" s="6" t="s">
        <v>80</v>
      </c>
      <c r="K5" s="6" t="s">
        <v>57</v>
      </c>
      <c r="L5" s="6" t="s">
        <v>81</v>
      </c>
      <c r="M5" s="6" t="s">
        <v>59</v>
      </c>
      <c r="N5" s="6" t="s">
        <v>60</v>
      </c>
      <c r="O5" s="6" t="s">
        <v>61</v>
      </c>
      <c r="P5" s="6" t="s">
        <v>82</v>
      </c>
      <c r="Q5" s="6" t="s">
        <v>83</v>
      </c>
      <c r="R5" s="6" t="s">
        <v>84</v>
      </c>
      <c r="S5" s="6" t="s">
        <v>85</v>
      </c>
      <c r="T5" s="6" t="s">
        <v>86</v>
      </c>
      <c r="U5" s="6" t="s">
        <v>87</v>
      </c>
      <c r="V5" s="6" t="s">
        <v>88</v>
      </c>
      <c r="W5" s="6" t="s">
        <v>89</v>
      </c>
      <c r="X5" s="6" t="s">
        <v>90</v>
      </c>
    </row>
    <row r="6" customFormat="false" ht="32.8" hidden="false" customHeight="false" outlineLevel="0" collapsed="false">
      <c r="A6" s="6" t="s">
        <v>91</v>
      </c>
      <c r="B6" s="6" t="s">
        <v>92</v>
      </c>
      <c r="C6" s="6" t="s">
        <v>93</v>
      </c>
      <c r="D6" s="6" t="s">
        <v>94</v>
      </c>
      <c r="E6" s="6" t="s">
        <v>95</v>
      </c>
      <c r="F6" s="6" t="s">
        <v>96</v>
      </c>
      <c r="G6" s="6" t="s">
        <v>97</v>
      </c>
      <c r="H6" s="6" t="s">
        <v>98</v>
      </c>
      <c r="I6" s="6" t="s">
        <v>99</v>
      </c>
      <c r="J6" s="6" t="s">
        <v>100</v>
      </c>
      <c r="K6" s="6" t="s">
        <v>57</v>
      </c>
      <c r="L6" s="6" t="s">
        <v>101</v>
      </c>
      <c r="M6" s="6" t="s">
        <v>59</v>
      </c>
      <c r="N6" s="6" t="s">
        <v>60</v>
      </c>
      <c r="O6" s="6" t="s">
        <v>61</v>
      </c>
      <c r="P6" s="6" t="s">
        <v>102</v>
      </c>
      <c r="Q6" s="6" t="s">
        <v>103</v>
      </c>
      <c r="R6" s="6" t="s">
        <v>104</v>
      </c>
      <c r="S6" s="6" t="s">
        <v>105</v>
      </c>
      <c r="T6" s="6" t="s">
        <v>106</v>
      </c>
      <c r="U6" s="6" t="s">
        <v>107</v>
      </c>
      <c r="V6" s="6" t="s">
        <v>108</v>
      </c>
      <c r="W6" s="6" t="s">
        <v>109</v>
      </c>
      <c r="X6" s="6" t="s">
        <v>110</v>
      </c>
    </row>
    <row r="7" customFormat="false" ht="43.25" hidden="false" customHeight="false" outlineLevel="0" collapsed="false">
      <c r="A7" s="6" t="s">
        <v>111</v>
      </c>
      <c r="B7" s="6" t="s">
        <v>112</v>
      </c>
      <c r="C7" s="6" t="s">
        <v>113</v>
      </c>
      <c r="D7" s="6" t="s">
        <v>114</v>
      </c>
      <c r="E7" s="6" t="s">
        <v>115</v>
      </c>
      <c r="F7" s="6" t="s">
        <v>116</v>
      </c>
      <c r="G7" s="6" t="s">
        <v>117</v>
      </c>
      <c r="H7" s="6" t="s">
        <v>118</v>
      </c>
      <c r="I7" s="6" t="s">
        <v>119</v>
      </c>
      <c r="J7" s="6" t="s">
        <v>120</v>
      </c>
      <c r="K7" s="6" t="s">
        <v>121</v>
      </c>
      <c r="L7" s="6" t="s">
        <v>122</v>
      </c>
      <c r="M7" s="6" t="s">
        <v>123</v>
      </c>
      <c r="N7" s="6" t="s">
        <v>124</v>
      </c>
      <c r="O7" s="6" t="s">
        <v>125</v>
      </c>
      <c r="P7" s="6" t="s">
        <v>126</v>
      </c>
      <c r="Q7" s="6" t="s">
        <v>127</v>
      </c>
      <c r="R7" s="6" t="s">
        <v>128</v>
      </c>
      <c r="S7" s="6" t="s">
        <v>129</v>
      </c>
      <c r="T7" s="6" t="s">
        <v>130</v>
      </c>
      <c r="U7" s="6" t="s">
        <v>131</v>
      </c>
      <c r="V7" s="6" t="s">
        <v>132</v>
      </c>
      <c r="W7" s="6" t="s">
        <v>133</v>
      </c>
      <c r="X7" s="6"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6"/>
    <col collapsed="false" customWidth="true" hidden="false" outlineLevel="0" max="4" min="4" style="0" width="22"/>
    <col collapsed="false" customWidth="true" hidden="false" outlineLevel="0" max="5" min="5" style="0" width="34"/>
    <col collapsed="false" customWidth="true" hidden="false" outlineLevel="0" max="6" min="6" style="0" width="12"/>
    <col collapsed="false" customWidth="true" hidden="false" outlineLevel="0" max="7" min="7" style="0" width="30"/>
    <col collapsed="false" customWidth="true" hidden="false" outlineLevel="0" max="8" min="8" style="0" width="18"/>
    <col collapsed="false" customWidth="true" hidden="false" outlineLevel="0" max="9" min="9" style="0" width="32"/>
    <col collapsed="false" customWidth="true" hidden="false" outlineLevel="0" max="10" min="10" style="0" width="20"/>
    <col collapsed="false" customWidth="true" hidden="false" outlineLevel="0" max="11" min="11" style="0" width="14"/>
    <col collapsed="false" customWidth="true" hidden="false" outlineLevel="0" max="12" min="12" style="0" width="34"/>
    <col collapsed="false" customWidth="true" hidden="false" outlineLevel="0" max="13" min="13" style="0" width="30"/>
    <col collapsed="false" customWidth="true" hidden="false" outlineLevel="0" max="14" min="14" style="0" width="40"/>
  </cols>
  <sheetData>
    <row r="1" customFormat="false" ht="15" hidden="false" customHeight="false" outlineLevel="0" collapsed="false">
      <c r="A1" s="4" t="s">
        <v>135</v>
      </c>
    </row>
    <row r="3" customFormat="false" ht="32.8" hidden="false" customHeight="false" outlineLevel="0" collapsed="false">
      <c r="A3" s="5" t="s">
        <v>23</v>
      </c>
      <c r="B3" s="5" t="s">
        <v>24</v>
      </c>
      <c r="C3" s="5" t="s">
        <v>136</v>
      </c>
      <c r="D3" s="5" t="s">
        <v>137</v>
      </c>
      <c r="E3" s="5" t="s">
        <v>138</v>
      </c>
      <c r="F3" s="5" t="s">
        <v>139</v>
      </c>
      <c r="G3" s="5" t="s">
        <v>140</v>
      </c>
      <c r="H3" s="5" t="s">
        <v>141</v>
      </c>
      <c r="I3" s="5" t="s">
        <v>142</v>
      </c>
      <c r="J3" s="5" t="s">
        <v>143</v>
      </c>
      <c r="K3" s="5" t="s">
        <v>144</v>
      </c>
      <c r="L3" s="5" t="s">
        <v>145</v>
      </c>
      <c r="M3" s="5" t="s">
        <v>146</v>
      </c>
      <c r="N3" s="5" t="s">
        <v>147</v>
      </c>
    </row>
    <row r="4" customFormat="false" ht="53.7" hidden="false" customHeight="false" outlineLevel="0" collapsed="false">
      <c r="A4" s="6" t="s">
        <v>47</v>
      </c>
      <c r="B4" s="6" t="s">
        <v>48</v>
      </c>
      <c r="C4" s="6" t="s">
        <v>148</v>
      </c>
      <c r="D4" s="6" t="s">
        <v>149</v>
      </c>
      <c r="E4" s="6" t="s">
        <v>150</v>
      </c>
      <c r="F4" s="6" t="s">
        <v>151</v>
      </c>
      <c r="G4" s="6" t="s">
        <v>152</v>
      </c>
      <c r="H4" s="6" t="s">
        <v>153</v>
      </c>
      <c r="I4" s="6" t="s">
        <v>154</v>
      </c>
      <c r="J4" s="6" t="s">
        <v>151</v>
      </c>
      <c r="K4" s="6" t="s">
        <v>155</v>
      </c>
      <c r="L4" s="6" t="s">
        <v>156</v>
      </c>
      <c r="M4" s="6" t="s">
        <v>157</v>
      </c>
      <c r="N4" s="6" t="s">
        <v>158</v>
      </c>
    </row>
    <row r="5" customFormat="false" ht="32.8" hidden="false" customHeight="false" outlineLevel="0" collapsed="false">
      <c r="A5" s="6" t="s">
        <v>71</v>
      </c>
      <c r="B5" s="6" t="s">
        <v>72</v>
      </c>
      <c r="C5" s="6" t="s">
        <v>159</v>
      </c>
      <c r="D5" s="6" t="s">
        <v>59</v>
      </c>
      <c r="E5" s="6" t="s">
        <v>151</v>
      </c>
      <c r="F5" s="6" t="s">
        <v>151</v>
      </c>
      <c r="G5" s="6" t="s">
        <v>151</v>
      </c>
      <c r="H5" s="6" t="s">
        <v>151</v>
      </c>
      <c r="I5" s="6" t="s">
        <v>160</v>
      </c>
      <c r="J5" s="6" t="s">
        <v>151</v>
      </c>
      <c r="K5" s="6" t="s">
        <v>155</v>
      </c>
      <c r="L5" s="6" t="s">
        <v>161</v>
      </c>
      <c r="M5" s="6" t="s">
        <v>162</v>
      </c>
      <c r="N5" s="6" t="s">
        <v>163</v>
      </c>
    </row>
    <row r="6" customFormat="false" ht="43.25" hidden="false" customHeight="false" outlineLevel="0" collapsed="false">
      <c r="A6" s="6" t="s">
        <v>91</v>
      </c>
      <c r="B6" s="6" t="s">
        <v>92</v>
      </c>
      <c r="C6" s="6" t="s">
        <v>159</v>
      </c>
      <c r="D6" s="6" t="s">
        <v>59</v>
      </c>
      <c r="E6" s="6" t="s">
        <v>151</v>
      </c>
      <c r="F6" s="6" t="s">
        <v>151</v>
      </c>
      <c r="G6" s="6" t="s">
        <v>151</v>
      </c>
      <c r="H6" s="6" t="s">
        <v>151</v>
      </c>
      <c r="I6" s="6" t="s">
        <v>164</v>
      </c>
      <c r="J6" s="6" t="s">
        <v>151</v>
      </c>
      <c r="K6" s="6" t="s">
        <v>155</v>
      </c>
      <c r="L6" s="6" t="s">
        <v>165</v>
      </c>
      <c r="M6" s="6" t="s">
        <v>166</v>
      </c>
      <c r="N6" s="6" t="s">
        <v>167</v>
      </c>
    </row>
    <row r="7" customFormat="false" ht="53.7" hidden="false" customHeight="false" outlineLevel="0" collapsed="false">
      <c r="A7" s="6" t="s">
        <v>111</v>
      </c>
      <c r="B7" s="6" t="s">
        <v>112</v>
      </c>
      <c r="C7" s="6" t="s">
        <v>159</v>
      </c>
      <c r="D7" s="6" t="s">
        <v>168</v>
      </c>
      <c r="E7" s="6" t="s">
        <v>169</v>
      </c>
      <c r="F7" s="6" t="s">
        <v>151</v>
      </c>
      <c r="G7" s="6" t="s">
        <v>170</v>
      </c>
      <c r="H7" s="6" t="s">
        <v>171</v>
      </c>
      <c r="I7" s="6" t="s">
        <v>172</v>
      </c>
      <c r="J7" s="6" t="s">
        <v>173</v>
      </c>
      <c r="K7" s="6" t="s">
        <v>174</v>
      </c>
      <c r="L7" s="6" t="s">
        <v>175</v>
      </c>
      <c r="M7" s="6" t="s">
        <v>176</v>
      </c>
      <c r="N7" s="6"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6"/>
    <col collapsed="false" customWidth="true" hidden="false" outlineLevel="0" max="3" min="3" style="0" width="20"/>
    <col collapsed="false" customWidth="true" hidden="false" outlineLevel="0" max="4" min="4" style="0" width="16"/>
    <col collapsed="false" customWidth="true" hidden="false" outlineLevel="0" max="5" min="5" style="0" width="70"/>
  </cols>
  <sheetData>
    <row r="1" customFormat="false" ht="15" hidden="false" customHeight="false" outlineLevel="0" collapsed="false">
      <c r="A1" s="4" t="s">
        <v>178</v>
      </c>
    </row>
    <row r="3" customFormat="false" ht="15" hidden="false" customHeight="false" outlineLevel="0" collapsed="false">
      <c r="A3" s="5" t="s">
        <v>179</v>
      </c>
      <c r="B3" s="5" t="s">
        <v>180</v>
      </c>
      <c r="C3" s="5" t="s">
        <v>181</v>
      </c>
      <c r="D3" s="5" t="s">
        <v>182</v>
      </c>
      <c r="E3" s="5" t="s">
        <v>183</v>
      </c>
    </row>
    <row r="4" customFormat="false" ht="15" hidden="false" customHeight="false" outlineLevel="0" collapsed="false">
      <c r="A4" s="6" t="s">
        <v>184</v>
      </c>
      <c r="B4" s="6" t="s">
        <v>185</v>
      </c>
      <c r="C4" s="6" t="s">
        <v>186</v>
      </c>
      <c r="D4" s="6" t="s">
        <v>159</v>
      </c>
      <c r="E4" s="6" t="s">
        <v>187</v>
      </c>
    </row>
    <row r="5" customFormat="false" ht="22.35" hidden="false" customHeight="false" outlineLevel="0" collapsed="false">
      <c r="A5" s="6" t="s">
        <v>184</v>
      </c>
      <c r="B5" s="6" t="s">
        <v>188</v>
      </c>
      <c r="C5" s="6" t="s">
        <v>189</v>
      </c>
      <c r="D5" s="6" t="s">
        <v>159</v>
      </c>
      <c r="E5" s="6" t="s">
        <v>190</v>
      </c>
    </row>
    <row r="6" customFormat="false" ht="22.35" hidden="false" customHeight="false" outlineLevel="0" collapsed="false">
      <c r="A6" s="6" t="s">
        <v>191</v>
      </c>
      <c r="B6" s="6" t="s">
        <v>192</v>
      </c>
      <c r="C6" s="6" t="s">
        <v>193</v>
      </c>
      <c r="D6" s="6" t="s">
        <v>151</v>
      </c>
      <c r="E6" s="6" t="s">
        <v>194</v>
      </c>
    </row>
    <row r="7" customFormat="false" ht="15" hidden="false" customHeight="false" outlineLevel="0" collapsed="false">
      <c r="A7" s="6" t="s">
        <v>195</v>
      </c>
      <c r="B7" s="6" t="s">
        <v>196</v>
      </c>
      <c r="C7" s="6" t="s">
        <v>197</v>
      </c>
      <c r="D7" s="6" t="s">
        <v>159</v>
      </c>
      <c r="E7" s="6" t="s">
        <v>198</v>
      </c>
    </row>
    <row r="8" customFormat="false" ht="15" hidden="false" customHeight="false" outlineLevel="0" collapsed="false">
      <c r="A8" s="6" t="s">
        <v>199</v>
      </c>
      <c r="B8" s="6" t="s">
        <v>200</v>
      </c>
      <c r="C8" s="6" t="s">
        <v>201</v>
      </c>
      <c r="D8" s="6" t="s">
        <v>202</v>
      </c>
      <c r="E8" s="6" t="s">
        <v>203</v>
      </c>
    </row>
    <row r="9" customFormat="false" ht="22.35" hidden="false" customHeight="false" outlineLevel="0" collapsed="false">
      <c r="A9" s="6" t="s">
        <v>204</v>
      </c>
      <c r="B9" s="6" t="s">
        <v>205</v>
      </c>
      <c r="C9" s="6" t="s">
        <v>206</v>
      </c>
      <c r="D9" s="6" t="s">
        <v>207</v>
      </c>
      <c r="E9" s="6" t="s">
        <v>208</v>
      </c>
    </row>
    <row r="10" customFormat="false" ht="22.35" hidden="false" customHeight="false" outlineLevel="0" collapsed="false">
      <c r="A10" s="6" t="s">
        <v>204</v>
      </c>
      <c r="B10" s="6" t="s">
        <v>209</v>
      </c>
      <c r="C10" s="6" t="s">
        <v>210</v>
      </c>
      <c r="D10" s="6" t="s">
        <v>151</v>
      </c>
      <c r="E10" s="6" t="s">
        <v>211</v>
      </c>
    </row>
    <row r="11" customFormat="false" ht="15" hidden="false" customHeight="false" outlineLevel="0" collapsed="false">
      <c r="A11" s="6" t="s">
        <v>212</v>
      </c>
      <c r="B11" s="6" t="s">
        <v>213</v>
      </c>
      <c r="C11" s="6" t="s">
        <v>214</v>
      </c>
      <c r="D11" s="6" t="s">
        <v>215</v>
      </c>
      <c r="E11" s="6" t="s">
        <v>216</v>
      </c>
    </row>
    <row r="12" customFormat="false" ht="15" hidden="false" customHeight="false" outlineLevel="0" collapsed="false">
      <c r="A12" s="6" t="s">
        <v>217</v>
      </c>
      <c r="B12" s="6" t="s">
        <v>218</v>
      </c>
      <c r="C12" s="6" t="s">
        <v>214</v>
      </c>
      <c r="D12" s="6" t="s">
        <v>151</v>
      </c>
      <c r="E12" s="6"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4" min="3" style="0" width="8"/>
    <col collapsed="false" customWidth="true" hidden="false" outlineLevel="0" max="5" min="5" style="0" width="40"/>
    <col collapsed="false" customWidth="true" hidden="false" outlineLevel="0" max="6" min="6" style="0" width="36"/>
    <col collapsed="false" customWidth="true" hidden="false" outlineLevel="0" max="8" min="7" style="0" width="30"/>
    <col collapsed="false" customWidth="true" hidden="false" outlineLevel="0" max="9" min="9" style="0" width="20"/>
    <col collapsed="false" customWidth="true" hidden="false" outlineLevel="0" max="10" min="10" style="0" width="16"/>
    <col collapsed="false" customWidth="true" hidden="false" outlineLevel="0" max="11" min="11" style="0" width="12"/>
  </cols>
  <sheetData>
    <row r="1" customFormat="false" ht="15" hidden="false" customHeight="false" outlineLevel="0" collapsed="false">
      <c r="A1" s="4" t="s">
        <v>220</v>
      </c>
    </row>
    <row r="3" customFormat="false" ht="32.8" hidden="false" customHeight="false" outlineLevel="0" collapsed="false">
      <c r="A3" s="5" t="s">
        <v>221</v>
      </c>
      <c r="B3" s="5" t="s">
        <v>222</v>
      </c>
      <c r="C3" s="5" t="s">
        <v>223</v>
      </c>
      <c r="D3" s="5" t="s">
        <v>224</v>
      </c>
      <c r="E3" s="5" t="s">
        <v>225</v>
      </c>
      <c r="F3" s="5" t="s">
        <v>226</v>
      </c>
      <c r="G3" s="5" t="s">
        <v>227</v>
      </c>
      <c r="H3" s="5" t="s">
        <v>228</v>
      </c>
      <c r="I3" s="5" t="s">
        <v>229</v>
      </c>
      <c r="J3" s="5" t="s">
        <v>230</v>
      </c>
      <c r="K3" s="5" t="s">
        <v>231</v>
      </c>
    </row>
    <row r="4" customFormat="false" ht="32.8" hidden="false" customHeight="false" outlineLevel="0" collapsed="false">
      <c r="A4" s="6" t="s">
        <v>232</v>
      </c>
      <c r="B4" s="6" t="s">
        <v>233</v>
      </c>
      <c r="C4" s="6" t="s">
        <v>234</v>
      </c>
      <c r="D4" s="7" t="n">
        <v>1</v>
      </c>
      <c r="E4" s="6" t="s">
        <v>235</v>
      </c>
      <c r="F4" s="6" t="s">
        <v>236</v>
      </c>
      <c r="G4" s="6" t="s">
        <v>237</v>
      </c>
      <c r="H4" s="6" t="s">
        <v>238</v>
      </c>
      <c r="I4" s="6" t="s">
        <v>239</v>
      </c>
      <c r="J4" s="6" t="s">
        <v>240</v>
      </c>
      <c r="K4" s="6" t="s">
        <v>241</v>
      </c>
    </row>
    <row r="5" customFormat="false" ht="32.8" hidden="false" customHeight="false" outlineLevel="0" collapsed="false">
      <c r="A5" s="6" t="s">
        <v>242</v>
      </c>
      <c r="B5" s="6" t="s">
        <v>243</v>
      </c>
      <c r="C5" s="6" t="s">
        <v>234</v>
      </c>
      <c r="D5" s="7" t="n">
        <v>1</v>
      </c>
      <c r="E5" s="6" t="s">
        <v>244</v>
      </c>
      <c r="F5" s="6" t="s">
        <v>245</v>
      </c>
      <c r="G5" s="6" t="s">
        <v>246</v>
      </c>
      <c r="H5" s="6" t="s">
        <v>247</v>
      </c>
      <c r="I5" s="6" t="s">
        <v>239</v>
      </c>
      <c r="J5" s="6" t="s">
        <v>248</v>
      </c>
      <c r="K5" s="6" t="s">
        <v>249</v>
      </c>
    </row>
    <row r="6" customFormat="false" ht="22.35" hidden="false" customHeight="false" outlineLevel="0" collapsed="false">
      <c r="A6" s="6" t="s">
        <v>250</v>
      </c>
      <c r="B6" s="6" t="s">
        <v>251</v>
      </c>
      <c r="C6" s="6" t="s">
        <v>252</v>
      </c>
      <c r="D6" s="7" t="n">
        <v>1</v>
      </c>
      <c r="E6" s="6" t="s">
        <v>253</v>
      </c>
      <c r="F6" s="6" t="s">
        <v>254</v>
      </c>
      <c r="G6" s="6" t="s">
        <v>255</v>
      </c>
      <c r="H6" s="6" t="s">
        <v>256</v>
      </c>
      <c r="I6" s="6" t="s">
        <v>239</v>
      </c>
      <c r="J6" s="6" t="s">
        <v>257</v>
      </c>
      <c r="K6" s="6" t="s">
        <v>241</v>
      </c>
    </row>
    <row r="7" customFormat="false" ht="22.35" hidden="false" customHeight="false" outlineLevel="0" collapsed="false">
      <c r="A7" s="6" t="s">
        <v>258</v>
      </c>
      <c r="B7" s="6" t="s">
        <v>259</v>
      </c>
      <c r="C7" s="6" t="s">
        <v>234</v>
      </c>
      <c r="D7" s="7" t="n">
        <v>1</v>
      </c>
      <c r="E7" s="6" t="s">
        <v>260</v>
      </c>
      <c r="F7" s="6" t="s">
        <v>261</v>
      </c>
      <c r="G7" s="6" t="s">
        <v>262</v>
      </c>
      <c r="H7" s="6" t="s">
        <v>263</v>
      </c>
      <c r="I7" s="6" t="s">
        <v>117</v>
      </c>
      <c r="J7" s="6" t="s">
        <v>264</v>
      </c>
      <c r="K7" s="6" t="s">
        <v>249</v>
      </c>
    </row>
    <row r="8" customFormat="false" ht="22.35" hidden="false" customHeight="false" outlineLevel="0" collapsed="false">
      <c r="A8" s="6" t="s">
        <v>265</v>
      </c>
      <c r="B8" s="6" t="s">
        <v>266</v>
      </c>
      <c r="C8" s="6" t="s">
        <v>234</v>
      </c>
      <c r="D8" s="7" t="n">
        <v>1</v>
      </c>
      <c r="E8" s="6" t="s">
        <v>267</v>
      </c>
      <c r="F8" s="6" t="s">
        <v>268</v>
      </c>
      <c r="G8" s="6" t="s">
        <v>269</v>
      </c>
      <c r="H8" s="6" t="s">
        <v>270</v>
      </c>
      <c r="I8" s="6" t="s">
        <v>239</v>
      </c>
      <c r="J8" s="6" t="s">
        <v>257</v>
      </c>
      <c r="K8" s="6" t="s">
        <v>241</v>
      </c>
    </row>
    <row r="9" customFormat="false" ht="32.8" hidden="false" customHeight="false" outlineLevel="0" collapsed="false">
      <c r="A9" s="6" t="s">
        <v>271</v>
      </c>
      <c r="B9" s="6" t="s">
        <v>272</v>
      </c>
      <c r="C9" s="6" t="s">
        <v>234</v>
      </c>
      <c r="D9" s="7" t="n">
        <v>1</v>
      </c>
      <c r="E9" s="6" t="s">
        <v>273</v>
      </c>
      <c r="F9" s="6" t="s">
        <v>274</v>
      </c>
      <c r="G9" s="6" t="s">
        <v>275</v>
      </c>
      <c r="H9" s="6" t="s">
        <v>276</v>
      </c>
      <c r="I9" s="6" t="s">
        <v>239</v>
      </c>
      <c r="J9" s="6" t="s">
        <v>257</v>
      </c>
      <c r="K9" s="6" t="s">
        <v>241</v>
      </c>
    </row>
    <row r="10" customFormat="false" ht="22.35" hidden="false" customHeight="false" outlineLevel="0" collapsed="false">
      <c r="A10" s="6" t="s">
        <v>277</v>
      </c>
      <c r="B10" s="6" t="s">
        <v>278</v>
      </c>
      <c r="C10" s="6" t="s">
        <v>234</v>
      </c>
      <c r="D10" s="7" t="n">
        <v>1</v>
      </c>
      <c r="E10" s="6" t="s">
        <v>279</v>
      </c>
      <c r="F10" s="6" t="s">
        <v>280</v>
      </c>
      <c r="G10" s="6" t="s">
        <v>281</v>
      </c>
      <c r="H10" s="6" t="s">
        <v>282</v>
      </c>
      <c r="I10" s="6" t="s">
        <v>239</v>
      </c>
      <c r="J10" s="6" t="s">
        <v>283</v>
      </c>
      <c r="K10" s="6" t="s">
        <v>241</v>
      </c>
    </row>
    <row r="11" customFormat="false" ht="22.35" hidden="false" customHeight="false" outlineLevel="0" collapsed="false">
      <c r="A11" s="6" t="s">
        <v>284</v>
      </c>
      <c r="B11" s="6" t="s">
        <v>285</v>
      </c>
      <c r="C11" s="6" t="s">
        <v>234</v>
      </c>
      <c r="D11" s="7" t="n">
        <v>0</v>
      </c>
      <c r="E11" s="6" t="s">
        <v>286</v>
      </c>
      <c r="F11" s="6" t="s">
        <v>287</v>
      </c>
      <c r="G11" s="6" t="s">
        <v>288</v>
      </c>
      <c r="H11" s="6" t="s">
        <v>289</v>
      </c>
      <c r="I11" s="6" t="s">
        <v>117</v>
      </c>
      <c r="J11" s="6" t="s">
        <v>264</v>
      </c>
      <c r="K11" s="6" t="s">
        <v>249</v>
      </c>
    </row>
    <row r="12" customFormat="false" ht="32.8" hidden="false" customHeight="false" outlineLevel="0" collapsed="false">
      <c r="A12" s="6" t="s">
        <v>290</v>
      </c>
      <c r="B12" s="6" t="s">
        <v>291</v>
      </c>
      <c r="C12" s="6" t="s">
        <v>252</v>
      </c>
      <c r="D12" s="7" t="n">
        <v>1</v>
      </c>
      <c r="E12" s="6" t="s">
        <v>292</v>
      </c>
      <c r="F12" s="6" t="s">
        <v>293</v>
      </c>
      <c r="G12" s="6" t="s">
        <v>294</v>
      </c>
      <c r="H12" s="6" t="s">
        <v>295</v>
      </c>
      <c r="I12" s="6" t="s">
        <v>239</v>
      </c>
      <c r="J12" s="6" t="s">
        <v>296</v>
      </c>
      <c r="K12" s="6" t="s">
        <v>249</v>
      </c>
    </row>
    <row r="13" customFormat="false" ht="22.35" hidden="false" customHeight="false" outlineLevel="0" collapsed="false">
      <c r="A13" s="6" t="s">
        <v>297</v>
      </c>
      <c r="B13" s="6" t="s">
        <v>298</v>
      </c>
      <c r="C13" s="6" t="s">
        <v>252</v>
      </c>
      <c r="D13" s="7" t="n">
        <v>1</v>
      </c>
      <c r="E13" s="6" t="s">
        <v>299</v>
      </c>
      <c r="F13" s="6" t="s">
        <v>300</v>
      </c>
      <c r="G13" s="6" t="s">
        <v>301</v>
      </c>
      <c r="H13" s="6" t="s">
        <v>302</v>
      </c>
      <c r="I13" s="6" t="s">
        <v>239</v>
      </c>
      <c r="J13" s="6" t="s">
        <v>303</v>
      </c>
      <c r="K13" s="6" t="s">
        <v>249</v>
      </c>
    </row>
    <row r="14" customFormat="false" ht="22.35" hidden="false" customHeight="false" outlineLevel="0" collapsed="false">
      <c r="A14" s="6" t="s">
        <v>304</v>
      </c>
      <c r="B14" s="6" t="s">
        <v>305</v>
      </c>
      <c r="C14" s="6" t="s">
        <v>252</v>
      </c>
      <c r="D14" s="7" t="n">
        <v>1</v>
      </c>
      <c r="E14" s="6" t="s">
        <v>306</v>
      </c>
      <c r="F14" s="6" t="s">
        <v>307</v>
      </c>
      <c r="G14" s="6" t="s">
        <v>308</v>
      </c>
      <c r="H14" s="6" t="s">
        <v>309</v>
      </c>
      <c r="I14" s="6" t="s">
        <v>117</v>
      </c>
      <c r="J14" s="6" t="s">
        <v>310</v>
      </c>
      <c r="K14" s="6" t="s">
        <v>241</v>
      </c>
    </row>
    <row r="15" customFormat="false" ht="22.35" hidden="false" customHeight="false" outlineLevel="0" collapsed="false">
      <c r="A15" s="6" t="s">
        <v>311</v>
      </c>
      <c r="B15" s="6" t="s">
        <v>312</v>
      </c>
      <c r="C15" s="6" t="s">
        <v>234</v>
      </c>
      <c r="D15" s="7" t="n">
        <v>0</v>
      </c>
      <c r="E15" s="6" t="s">
        <v>286</v>
      </c>
      <c r="F15" s="6" t="s">
        <v>313</v>
      </c>
      <c r="G15" s="6" t="s">
        <v>314</v>
      </c>
      <c r="H15" s="6" t="s">
        <v>315</v>
      </c>
      <c r="I15" s="6" t="s">
        <v>117</v>
      </c>
      <c r="J15" s="6" t="s">
        <v>316</v>
      </c>
      <c r="K15" s="6" t="s">
        <v>249</v>
      </c>
    </row>
    <row r="16" customFormat="false" ht="15" hidden="false" customHeight="false" outlineLevel="0" collapsed="false">
      <c r="A16" s="6" t="s">
        <v>317</v>
      </c>
      <c r="B16" s="6" t="s">
        <v>318</v>
      </c>
      <c r="C16" s="6" t="s">
        <v>234</v>
      </c>
      <c r="D16" s="7" t="n">
        <v>0</v>
      </c>
      <c r="E16" s="6" t="s">
        <v>286</v>
      </c>
      <c r="F16" s="6" t="s">
        <v>319</v>
      </c>
      <c r="G16" s="6" t="s">
        <v>320</v>
      </c>
      <c r="H16" s="6" t="s">
        <v>321</v>
      </c>
      <c r="I16" s="6" t="s">
        <v>117</v>
      </c>
      <c r="J16" s="6" t="s">
        <v>264</v>
      </c>
      <c r="K16" s="6" t="s">
        <v>249</v>
      </c>
    </row>
    <row r="17" customFormat="false" ht="22.35" hidden="false" customHeight="false" outlineLevel="0" collapsed="false">
      <c r="A17" s="6" t="s">
        <v>322</v>
      </c>
      <c r="B17" s="6" t="s">
        <v>323</v>
      </c>
      <c r="C17" s="6" t="s">
        <v>234</v>
      </c>
      <c r="D17" s="7" t="n">
        <v>0</v>
      </c>
      <c r="E17" s="6" t="s">
        <v>324</v>
      </c>
      <c r="F17" s="6" t="s">
        <v>325</v>
      </c>
      <c r="G17" s="6" t="s">
        <v>326</v>
      </c>
      <c r="H17" s="6" t="s">
        <v>327</v>
      </c>
      <c r="I17" s="6" t="s">
        <v>239</v>
      </c>
      <c r="J17" s="6" t="s">
        <v>257</v>
      </c>
      <c r="K17" s="6" t="s">
        <v>241</v>
      </c>
    </row>
    <row r="18" customFormat="false" ht="22.35" hidden="false" customHeight="false" outlineLevel="0" collapsed="false">
      <c r="A18" s="6" t="s">
        <v>328</v>
      </c>
      <c r="B18" s="6" t="s">
        <v>329</v>
      </c>
      <c r="C18" s="6" t="s">
        <v>234</v>
      </c>
      <c r="D18" s="7" t="n">
        <v>0</v>
      </c>
      <c r="E18" s="6" t="s">
        <v>330</v>
      </c>
      <c r="F18" s="6" t="s">
        <v>331</v>
      </c>
      <c r="G18" s="6" t="s">
        <v>332</v>
      </c>
      <c r="H18" s="6" t="s">
        <v>333</v>
      </c>
      <c r="I18" s="6" t="s">
        <v>97</v>
      </c>
      <c r="J18" s="6" t="s">
        <v>334</v>
      </c>
      <c r="K18" s="6" t="s">
        <v>335</v>
      </c>
    </row>
    <row r="19" customFormat="false" ht="22.35" hidden="false" customHeight="false" outlineLevel="0" collapsed="false">
      <c r="A19" s="6" t="s">
        <v>336</v>
      </c>
      <c r="B19" s="6" t="s">
        <v>337</v>
      </c>
      <c r="C19" s="6" t="s">
        <v>234</v>
      </c>
      <c r="D19" s="7" t="n">
        <v>1</v>
      </c>
      <c r="E19" s="6" t="s">
        <v>338</v>
      </c>
      <c r="F19" s="6" t="s">
        <v>339</v>
      </c>
      <c r="G19" s="6" t="s">
        <v>340</v>
      </c>
      <c r="H19" s="6" t="s">
        <v>341</v>
      </c>
      <c r="I19" s="6" t="s">
        <v>97</v>
      </c>
      <c r="J19" s="6" t="s">
        <v>342</v>
      </c>
      <c r="K19" s="6" t="s">
        <v>241</v>
      </c>
    </row>
    <row r="20" customFormat="false" ht="22.35" hidden="false" customHeight="false" outlineLevel="0" collapsed="false">
      <c r="A20" s="6" t="s">
        <v>343</v>
      </c>
      <c r="B20" s="6" t="s">
        <v>344</v>
      </c>
      <c r="C20" s="6" t="s">
        <v>234</v>
      </c>
      <c r="D20" s="7" t="n">
        <v>0</v>
      </c>
      <c r="E20" s="6" t="s">
        <v>345</v>
      </c>
      <c r="F20" s="6" t="s">
        <v>346</v>
      </c>
      <c r="G20" s="6" t="s">
        <v>347</v>
      </c>
      <c r="H20" s="6" t="s">
        <v>348</v>
      </c>
      <c r="I20" s="6" t="s">
        <v>53</v>
      </c>
      <c r="J20" s="6" t="s">
        <v>349</v>
      </c>
      <c r="K20" s="6" t="s">
        <v>350</v>
      </c>
    </row>
    <row r="21" customFormat="false" ht="22.35" hidden="false" customHeight="false" outlineLevel="0" collapsed="false">
      <c r="A21" s="6" t="s">
        <v>351</v>
      </c>
      <c r="B21" s="6" t="s">
        <v>352</v>
      </c>
      <c r="C21" s="6" t="s">
        <v>234</v>
      </c>
      <c r="D21" s="7" t="n">
        <v>1</v>
      </c>
      <c r="E21" s="6" t="s">
        <v>353</v>
      </c>
      <c r="F21" s="6" t="s">
        <v>354</v>
      </c>
      <c r="G21" s="6" t="s">
        <v>355</v>
      </c>
      <c r="H21" s="6" t="s">
        <v>356</v>
      </c>
      <c r="I21" s="6" t="s">
        <v>117</v>
      </c>
      <c r="J21" s="6" t="s">
        <v>264</v>
      </c>
      <c r="K21" s="6" t="s">
        <v>249</v>
      </c>
    </row>
    <row r="22" customFormat="false" ht="22.35" hidden="false" customHeight="false" outlineLevel="0" collapsed="false">
      <c r="A22" s="6" t="s">
        <v>357</v>
      </c>
      <c r="B22" s="6" t="s">
        <v>358</v>
      </c>
      <c r="C22" s="6" t="s">
        <v>234</v>
      </c>
      <c r="D22" s="7" t="n">
        <v>1</v>
      </c>
      <c r="E22" s="6" t="s">
        <v>359</v>
      </c>
      <c r="F22" s="6" t="s">
        <v>360</v>
      </c>
      <c r="G22" s="6" t="s">
        <v>361</v>
      </c>
      <c r="H22" s="6" t="s">
        <v>362</v>
      </c>
      <c r="I22" s="6" t="s">
        <v>117</v>
      </c>
      <c r="J22" s="6" t="s">
        <v>363</v>
      </c>
      <c r="K22" s="6" t="s">
        <v>364</v>
      </c>
    </row>
    <row r="23" customFormat="false" ht="22.35" hidden="false" customHeight="false" outlineLevel="0" collapsed="false">
      <c r="A23" s="6" t="s">
        <v>365</v>
      </c>
      <c r="B23" s="6" t="s">
        <v>366</v>
      </c>
      <c r="C23" s="6" t="s">
        <v>234</v>
      </c>
      <c r="D23" s="7" t="n">
        <v>1</v>
      </c>
      <c r="E23" s="6" t="s">
        <v>367</v>
      </c>
      <c r="F23" s="6" t="s">
        <v>368</v>
      </c>
      <c r="G23" s="6" t="s">
        <v>369</v>
      </c>
      <c r="H23" s="6" t="s">
        <v>370</v>
      </c>
      <c r="I23" s="6" t="s">
        <v>117</v>
      </c>
      <c r="J23" s="6" t="s">
        <v>264</v>
      </c>
      <c r="K23" s="6" t="s">
        <v>249</v>
      </c>
    </row>
    <row r="24" customFormat="false" ht="22.35" hidden="false" customHeight="false" outlineLevel="0" collapsed="false">
      <c r="A24" s="6" t="s">
        <v>371</v>
      </c>
      <c r="B24" s="6" t="s">
        <v>372</v>
      </c>
      <c r="C24" s="6" t="s">
        <v>234</v>
      </c>
      <c r="D24" s="7" t="n">
        <v>1</v>
      </c>
      <c r="E24" s="6" t="s">
        <v>373</v>
      </c>
      <c r="F24" s="6" t="s">
        <v>374</v>
      </c>
      <c r="G24" s="6" t="s">
        <v>375</v>
      </c>
      <c r="H24" s="6" t="s">
        <v>376</v>
      </c>
      <c r="I24" s="6" t="s">
        <v>117</v>
      </c>
      <c r="J24" s="6" t="s">
        <v>377</v>
      </c>
      <c r="K24" s="6" t="s">
        <v>378</v>
      </c>
    </row>
    <row r="25" customFormat="false" ht="22.35" hidden="false" customHeight="false" outlineLevel="0" collapsed="false">
      <c r="A25" s="6" t="s">
        <v>379</v>
      </c>
      <c r="B25" s="6" t="s">
        <v>380</v>
      </c>
      <c r="C25" s="6" t="s">
        <v>234</v>
      </c>
      <c r="D25" s="7" t="n">
        <v>1</v>
      </c>
      <c r="E25" s="6" t="s">
        <v>381</v>
      </c>
      <c r="F25" s="6" t="s">
        <v>382</v>
      </c>
      <c r="G25" s="6" t="s">
        <v>383</v>
      </c>
      <c r="H25" s="6" t="s">
        <v>309</v>
      </c>
      <c r="I25" s="6" t="s">
        <v>117</v>
      </c>
      <c r="J25" s="6" t="s">
        <v>384</v>
      </c>
      <c r="K25" s="6" t="s">
        <v>350</v>
      </c>
    </row>
    <row r="26" customFormat="false" ht="22.35" hidden="false" customHeight="false" outlineLevel="0" collapsed="false">
      <c r="A26" s="6" t="s">
        <v>385</v>
      </c>
      <c r="B26" s="6" t="s">
        <v>386</v>
      </c>
      <c r="C26" s="6" t="s">
        <v>234</v>
      </c>
      <c r="D26" s="7" t="n">
        <v>1</v>
      </c>
      <c r="E26" s="6" t="s">
        <v>387</v>
      </c>
      <c r="F26" s="6" t="s">
        <v>388</v>
      </c>
      <c r="G26" s="6" t="s">
        <v>389</v>
      </c>
      <c r="H26" s="6" t="s">
        <v>390</v>
      </c>
      <c r="I26" s="6" t="s">
        <v>117</v>
      </c>
      <c r="J26" s="6" t="s">
        <v>391</v>
      </c>
      <c r="K26" s="6" t="s">
        <v>335</v>
      </c>
    </row>
    <row r="27" customFormat="false" ht="22.35" hidden="false" customHeight="false" outlineLevel="0" collapsed="false">
      <c r="A27" s="6" t="s">
        <v>392</v>
      </c>
      <c r="B27" s="6" t="s">
        <v>393</v>
      </c>
      <c r="C27" s="6" t="s">
        <v>252</v>
      </c>
      <c r="D27" s="7" t="n">
        <v>0</v>
      </c>
      <c r="E27" s="6" t="s">
        <v>394</v>
      </c>
      <c r="F27" s="6" t="s">
        <v>395</v>
      </c>
      <c r="G27" s="6" t="s">
        <v>396</v>
      </c>
      <c r="H27" s="6" t="s">
        <v>397</v>
      </c>
      <c r="I27" s="6" t="s">
        <v>239</v>
      </c>
      <c r="J27" s="6" t="s">
        <v>398</v>
      </c>
      <c r="K27" s="6" t="s">
        <v>399</v>
      </c>
    </row>
    <row r="28" customFormat="false" ht="22.35" hidden="false" customHeight="false" outlineLevel="0" collapsed="false">
      <c r="A28" s="6" t="s">
        <v>400</v>
      </c>
      <c r="B28" s="6" t="s">
        <v>401</v>
      </c>
      <c r="C28" s="6" t="s">
        <v>252</v>
      </c>
      <c r="D28" s="7" t="n">
        <v>0</v>
      </c>
      <c r="E28" s="6" t="s">
        <v>286</v>
      </c>
      <c r="F28" s="6" t="s">
        <v>402</v>
      </c>
      <c r="G28" s="6" t="s">
        <v>403</v>
      </c>
      <c r="H28" s="6" t="s">
        <v>397</v>
      </c>
      <c r="I28" s="6" t="s">
        <v>239</v>
      </c>
      <c r="J28" s="6" t="s">
        <v>398</v>
      </c>
      <c r="K28" s="6" t="s">
        <v>335</v>
      </c>
    </row>
    <row r="29" customFormat="false" ht="15" hidden="false" customHeight="false" outlineLevel="0" collapsed="false">
      <c r="A29" s="6" t="s">
        <v>404</v>
      </c>
      <c r="B29" s="6" t="s">
        <v>405</v>
      </c>
      <c r="C29" s="6" t="s">
        <v>252</v>
      </c>
      <c r="D29" s="7" t="n">
        <v>0</v>
      </c>
      <c r="E29" s="6" t="s">
        <v>286</v>
      </c>
      <c r="F29" s="6" t="s">
        <v>406</v>
      </c>
      <c r="G29" s="6" t="s">
        <v>407</v>
      </c>
      <c r="H29" s="6" t="s">
        <v>408</v>
      </c>
      <c r="I29" s="6" t="s">
        <v>239</v>
      </c>
      <c r="J29" s="6" t="s">
        <v>409</v>
      </c>
      <c r="K29" s="6" t="s">
        <v>249</v>
      </c>
    </row>
    <row r="30" customFormat="false" ht="15" hidden="false" customHeight="false" outlineLevel="0" collapsed="false">
      <c r="A30" s="6" t="s">
        <v>410</v>
      </c>
      <c r="B30" s="6" t="s">
        <v>411</v>
      </c>
      <c r="C30" s="6" t="s">
        <v>252</v>
      </c>
      <c r="D30" s="7" t="n">
        <v>0</v>
      </c>
      <c r="E30" s="6" t="s">
        <v>286</v>
      </c>
      <c r="F30" s="6" t="s">
        <v>412</v>
      </c>
      <c r="G30" s="6" t="s">
        <v>413</v>
      </c>
      <c r="H30" s="6" t="s">
        <v>414</v>
      </c>
      <c r="I30" s="6" t="s">
        <v>239</v>
      </c>
      <c r="J30" s="6" t="s">
        <v>409</v>
      </c>
      <c r="K30" s="6" t="s">
        <v>249</v>
      </c>
    </row>
    <row r="31" customFormat="false" ht="15" hidden="false" customHeight="false" outlineLevel="0" collapsed="false">
      <c r="A31" s="6" t="s">
        <v>415</v>
      </c>
      <c r="B31" s="6" t="s">
        <v>416</v>
      </c>
      <c r="C31" s="6" t="s">
        <v>252</v>
      </c>
      <c r="D31" s="7" t="n">
        <v>0</v>
      </c>
      <c r="E31" s="6" t="s">
        <v>286</v>
      </c>
      <c r="F31" s="6" t="s">
        <v>417</v>
      </c>
      <c r="G31" s="6" t="s">
        <v>418</v>
      </c>
      <c r="H31" s="6" t="s">
        <v>414</v>
      </c>
      <c r="I31" s="6" t="s">
        <v>239</v>
      </c>
      <c r="J31" s="6" t="s">
        <v>409</v>
      </c>
      <c r="K31" s="6" t="s">
        <v>249</v>
      </c>
    </row>
    <row r="32" customFormat="false" ht="22.35" hidden="false" customHeight="false" outlineLevel="0" collapsed="false">
      <c r="A32" s="6" t="s">
        <v>419</v>
      </c>
      <c r="B32" s="6" t="s">
        <v>420</v>
      </c>
      <c r="C32" s="6" t="s">
        <v>234</v>
      </c>
      <c r="D32" s="7" t="n">
        <v>1</v>
      </c>
      <c r="E32" s="6" t="s">
        <v>421</v>
      </c>
      <c r="F32" s="6" t="s">
        <v>422</v>
      </c>
      <c r="G32" s="6" t="s">
        <v>423</v>
      </c>
      <c r="H32" s="6" t="s">
        <v>424</v>
      </c>
      <c r="I32" s="6" t="s">
        <v>117</v>
      </c>
      <c r="J32" s="6" t="s">
        <v>264</v>
      </c>
      <c r="K32" s="6" t="s">
        <v>249</v>
      </c>
    </row>
    <row r="33" customFormat="false" ht="22.35" hidden="false" customHeight="false" outlineLevel="0" collapsed="false">
      <c r="A33" s="6" t="s">
        <v>425</v>
      </c>
      <c r="B33" s="6" t="s">
        <v>426</v>
      </c>
      <c r="C33" s="6" t="s">
        <v>234</v>
      </c>
      <c r="D33" s="7" t="n">
        <v>0</v>
      </c>
      <c r="E33" s="6" t="s">
        <v>427</v>
      </c>
      <c r="F33" s="6" t="s">
        <v>428</v>
      </c>
      <c r="G33" s="6" t="s">
        <v>429</v>
      </c>
      <c r="H33" s="6" t="s">
        <v>430</v>
      </c>
      <c r="I33" s="6" t="s">
        <v>117</v>
      </c>
      <c r="J33" s="6" t="s">
        <v>431</v>
      </c>
      <c r="K33" s="6" t="s">
        <v>378</v>
      </c>
    </row>
    <row r="35" customFormat="false" ht="15" hidden="false" customHeight="false" outlineLevel="0" collapsed="false">
      <c r="A35" s="1" t="s">
        <v>432</v>
      </c>
      <c r="D35" s="8" t="n">
        <f aca="false">SUM(D4:D33)</f>
        <v>18</v>
      </c>
    </row>
    <row r="36" customFormat="false" ht="15" hidden="false" customHeight="false" outlineLevel="0" collapsed="false">
      <c r="A36" s="1" t="s">
        <v>433</v>
      </c>
      <c r="D36" s="8" t="n">
        <f aca="false">2*COUNTA(A4:A33)</f>
        <v>60</v>
      </c>
    </row>
    <row r="37" customFormat="false" ht="15" hidden="false" customHeight="false" outlineLevel="0" collapsed="false">
      <c r="A37" s="1" t="s">
        <v>434</v>
      </c>
      <c r="D37" s="9" t="n">
        <f aca="false">D35/D36</f>
        <v>0.3</v>
      </c>
    </row>
    <row r="38" customFormat="false" ht="15" hidden="false" customHeight="false" outlineLevel="0" collapsed="false">
      <c r="A38" s="1" t="s">
        <v>435</v>
      </c>
      <c r="D38" s="8" t="n">
        <f aca="false">COUNTIFS(C4:C33,"Y",D4:D33,"&lt;2")</f>
        <v>9</v>
      </c>
    </row>
  </sheetData>
  <dataValidations count="1">
    <dataValidation allowBlank="false" errorStyle="stop" operator="between" showDropDown="false" showErrorMessage="false" showInputMessage="false" sqref="D4:D33" type="whole">
      <formula1>0</formula1>
      <formula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2"/>
    <col collapsed="false" customWidth="true" hidden="false" outlineLevel="0" max="4" min="4" style="0" width="30"/>
    <col collapsed="false" customWidth="true" hidden="false" outlineLevel="0" max="5" min="5" style="0" width="10"/>
    <col collapsed="false" customWidth="true" hidden="false" outlineLevel="0" max="6" min="6" style="0" width="40"/>
    <col collapsed="false" customWidth="true" hidden="false" outlineLevel="0" max="7" min="7" style="0" width="10"/>
    <col collapsed="false" customWidth="true" hidden="false" outlineLevel="0" max="8" min="8" style="0" width="13"/>
    <col collapsed="false" customWidth="true" hidden="false" outlineLevel="0" max="9" min="9" style="0" width="44"/>
    <col collapsed="false" customWidth="true" hidden="false" outlineLevel="0" max="10" min="10" style="0" width="20"/>
    <col collapsed="false" customWidth="true" hidden="false" outlineLevel="0" max="12" min="11" style="0" width="18"/>
    <col collapsed="false" customWidth="true" hidden="false" outlineLevel="0" max="13" min="13" style="0" width="16"/>
    <col collapsed="false" customWidth="true" hidden="false" outlineLevel="0" max="14" min="14" style="0" width="12"/>
    <col collapsed="false" customWidth="true" hidden="false" outlineLevel="0" max="15" min="15" style="0" width="14"/>
    <col collapsed="false" customWidth="true" hidden="false" outlineLevel="0" max="16" min="16" style="0" width="12"/>
  </cols>
  <sheetData>
    <row r="1" customFormat="false" ht="15" hidden="false" customHeight="false" outlineLevel="0" collapsed="false">
      <c r="A1" s="4" t="s">
        <v>436</v>
      </c>
    </row>
    <row r="3" customFormat="false" ht="22.35" hidden="false" customHeight="false" outlineLevel="0" collapsed="false">
      <c r="A3" s="5" t="s">
        <v>437</v>
      </c>
      <c r="B3" s="5" t="s">
        <v>438</v>
      </c>
      <c r="C3" s="5" t="s">
        <v>439</v>
      </c>
      <c r="D3" s="5" t="s">
        <v>440</v>
      </c>
      <c r="E3" s="5" t="s">
        <v>441</v>
      </c>
      <c r="F3" s="5" t="s">
        <v>442</v>
      </c>
      <c r="G3" s="5" t="s">
        <v>443</v>
      </c>
      <c r="H3" s="5" t="s">
        <v>444</v>
      </c>
      <c r="I3" s="5" t="s">
        <v>445</v>
      </c>
      <c r="J3" s="5" t="s">
        <v>229</v>
      </c>
      <c r="K3" s="5" t="s">
        <v>446</v>
      </c>
      <c r="L3" s="5" t="s">
        <v>447</v>
      </c>
      <c r="M3" s="5" t="s">
        <v>448</v>
      </c>
      <c r="N3" s="5" t="s">
        <v>449</v>
      </c>
      <c r="O3" s="5" t="s">
        <v>450</v>
      </c>
      <c r="P3" s="5" t="s">
        <v>451</v>
      </c>
    </row>
    <row r="4" customFormat="false" ht="22.35" hidden="false" customHeight="false" outlineLevel="0" collapsed="false">
      <c r="A4" s="6" t="s">
        <v>452</v>
      </c>
      <c r="B4" s="6" t="s">
        <v>453</v>
      </c>
      <c r="C4" s="6" t="s">
        <v>454</v>
      </c>
      <c r="D4" s="6" t="s">
        <v>455</v>
      </c>
      <c r="E4" s="7" t="s">
        <v>252</v>
      </c>
      <c r="F4" s="6" t="s">
        <v>456</v>
      </c>
      <c r="G4" s="7" t="n">
        <v>1</v>
      </c>
      <c r="H4" s="10" t="str">
        <f aca="false">IF(E4="N","-",IF(G4=0,"Not started",IF(G4&lt;=2,"Partial","Implemented")))</f>
        <v>Partial</v>
      </c>
      <c r="I4" s="6" t="s">
        <v>457</v>
      </c>
      <c r="J4" s="6" t="s">
        <v>239</v>
      </c>
      <c r="K4" s="6" t="s">
        <v>458</v>
      </c>
      <c r="L4" s="6" t="s">
        <v>459</v>
      </c>
      <c r="M4" s="6" t="s">
        <v>460</v>
      </c>
      <c r="N4" s="6" t="s">
        <v>461</v>
      </c>
      <c r="O4" s="6" t="s">
        <v>257</v>
      </c>
      <c r="P4" s="6" t="s">
        <v>241</v>
      </c>
    </row>
    <row r="5" customFormat="false" ht="22.35" hidden="false" customHeight="false" outlineLevel="0" collapsed="false">
      <c r="A5" s="6" t="s">
        <v>462</v>
      </c>
      <c r="B5" s="6" t="s">
        <v>463</v>
      </c>
      <c r="C5" s="6" t="s">
        <v>454</v>
      </c>
      <c r="D5" s="6" t="s">
        <v>464</v>
      </c>
      <c r="E5" s="7" t="s">
        <v>252</v>
      </c>
      <c r="F5" s="6" t="s">
        <v>465</v>
      </c>
      <c r="G5" s="7" t="n">
        <v>2</v>
      </c>
      <c r="H5" s="10" t="str">
        <f aca="false">IF(E5="N","-",IF(G5=0,"Not started",IF(G5&lt;=2,"Partial","Implemented")))</f>
        <v>Partial</v>
      </c>
      <c r="I5" s="6" t="s">
        <v>466</v>
      </c>
      <c r="J5" s="6" t="s">
        <v>117</v>
      </c>
      <c r="K5" s="6" t="s">
        <v>467</v>
      </c>
      <c r="L5" s="6" t="s">
        <v>468</v>
      </c>
      <c r="M5" s="6" t="s">
        <v>460</v>
      </c>
      <c r="N5" s="6" t="s">
        <v>461</v>
      </c>
      <c r="O5" s="6" t="s">
        <v>257</v>
      </c>
      <c r="P5" s="6" t="s">
        <v>241</v>
      </c>
    </row>
    <row r="6" customFormat="false" ht="32.8" hidden="false" customHeight="false" outlineLevel="0" collapsed="false">
      <c r="A6" s="6" t="s">
        <v>469</v>
      </c>
      <c r="B6" s="6" t="s">
        <v>470</v>
      </c>
      <c r="C6" s="6" t="s">
        <v>454</v>
      </c>
      <c r="D6" s="6" t="s">
        <v>471</v>
      </c>
      <c r="E6" s="7" t="s">
        <v>252</v>
      </c>
      <c r="F6" s="6" t="s">
        <v>472</v>
      </c>
      <c r="G6" s="7" t="n">
        <v>1</v>
      </c>
      <c r="H6" s="10" t="str">
        <f aca="false">IF(E6="N","-",IF(G6=0,"Not started",IF(G6&lt;=2,"Partial","Implemented")))</f>
        <v>Partial</v>
      </c>
      <c r="I6" s="6" t="s">
        <v>473</v>
      </c>
      <c r="J6" s="6" t="s">
        <v>117</v>
      </c>
      <c r="K6" s="6" t="s">
        <v>474</v>
      </c>
      <c r="L6" s="6" t="s">
        <v>189</v>
      </c>
      <c r="M6" s="6" t="s">
        <v>460</v>
      </c>
      <c r="N6" s="6" t="s">
        <v>461</v>
      </c>
      <c r="O6" s="6" t="s">
        <v>257</v>
      </c>
      <c r="P6" s="6" t="s">
        <v>241</v>
      </c>
    </row>
    <row r="7" customFormat="false" ht="22.35" hidden="false" customHeight="false" outlineLevel="0" collapsed="false">
      <c r="A7" s="6" t="s">
        <v>475</v>
      </c>
      <c r="B7" s="6" t="s">
        <v>476</v>
      </c>
      <c r="C7" s="6" t="s">
        <v>477</v>
      </c>
      <c r="D7" s="6" t="s">
        <v>478</v>
      </c>
      <c r="E7" s="7" t="s">
        <v>252</v>
      </c>
      <c r="F7" s="6" t="s">
        <v>479</v>
      </c>
      <c r="G7" s="7" t="n">
        <v>1</v>
      </c>
      <c r="H7" s="10" t="str">
        <f aca="false">IF(E7="N","-",IF(G7=0,"Not started",IF(G7&lt;=2,"Partial","Implemented")))</f>
        <v>Partial</v>
      </c>
      <c r="I7" s="6" t="s">
        <v>480</v>
      </c>
      <c r="J7" s="6" t="s">
        <v>239</v>
      </c>
      <c r="K7" s="6" t="s">
        <v>481</v>
      </c>
      <c r="L7" s="6" t="s">
        <v>189</v>
      </c>
      <c r="M7" s="6" t="s">
        <v>482</v>
      </c>
      <c r="N7" s="6" t="s">
        <v>461</v>
      </c>
      <c r="O7" s="6" t="s">
        <v>257</v>
      </c>
      <c r="P7" s="6" t="s">
        <v>241</v>
      </c>
    </row>
    <row r="8" customFormat="false" ht="22.35" hidden="false" customHeight="false" outlineLevel="0" collapsed="false">
      <c r="A8" s="6" t="s">
        <v>483</v>
      </c>
      <c r="B8" s="6" t="s">
        <v>484</v>
      </c>
      <c r="C8" s="6" t="s">
        <v>477</v>
      </c>
      <c r="D8" s="6" t="s">
        <v>485</v>
      </c>
      <c r="E8" s="7" t="s">
        <v>252</v>
      </c>
      <c r="F8" s="6" t="s">
        <v>486</v>
      </c>
      <c r="G8" s="7" t="n">
        <v>1</v>
      </c>
      <c r="H8" s="10" t="str">
        <f aca="false">IF(E8="N","-",IF(G8=0,"Not started",IF(G8&lt;=2,"Partial","Implemented")))</f>
        <v>Partial</v>
      </c>
      <c r="I8" s="6" t="s">
        <v>487</v>
      </c>
      <c r="J8" s="6" t="s">
        <v>117</v>
      </c>
      <c r="K8" s="6" t="s">
        <v>488</v>
      </c>
      <c r="L8" s="6" t="s">
        <v>468</v>
      </c>
      <c r="M8" s="6" t="s">
        <v>489</v>
      </c>
      <c r="N8" s="6" t="s">
        <v>490</v>
      </c>
      <c r="O8" s="6" t="s">
        <v>491</v>
      </c>
      <c r="P8" s="6" t="s">
        <v>492</v>
      </c>
    </row>
    <row r="9" customFormat="false" ht="22.35" hidden="false" customHeight="false" outlineLevel="0" collapsed="false">
      <c r="A9" s="6" t="s">
        <v>493</v>
      </c>
      <c r="B9" s="6" t="s">
        <v>494</v>
      </c>
      <c r="C9" s="6" t="s">
        <v>495</v>
      </c>
      <c r="D9" s="6" t="s">
        <v>496</v>
      </c>
      <c r="E9" s="7" t="s">
        <v>252</v>
      </c>
      <c r="F9" s="6" t="s">
        <v>497</v>
      </c>
      <c r="G9" s="7" t="n">
        <v>1</v>
      </c>
      <c r="H9" s="10" t="str">
        <f aca="false">IF(E9="N","-",IF(G9=0,"Not started",IF(G9&lt;=2,"Partial","Implemented")))</f>
        <v>Partial</v>
      </c>
      <c r="I9" s="6" t="s">
        <v>498</v>
      </c>
      <c r="J9" s="6" t="s">
        <v>117</v>
      </c>
      <c r="K9" s="6" t="s">
        <v>474</v>
      </c>
      <c r="L9" s="6" t="s">
        <v>189</v>
      </c>
      <c r="M9" s="6" t="s">
        <v>499</v>
      </c>
      <c r="N9" s="6" t="s">
        <v>500</v>
      </c>
      <c r="O9" s="6" t="s">
        <v>363</v>
      </c>
      <c r="P9" s="6" t="s">
        <v>364</v>
      </c>
    </row>
    <row r="10" customFormat="false" ht="22.35" hidden="false" customHeight="false" outlineLevel="0" collapsed="false">
      <c r="A10" s="6" t="s">
        <v>501</v>
      </c>
      <c r="B10" s="6" t="s">
        <v>502</v>
      </c>
      <c r="C10" s="6" t="s">
        <v>495</v>
      </c>
      <c r="D10" s="6" t="s">
        <v>503</v>
      </c>
      <c r="E10" s="7" t="s">
        <v>252</v>
      </c>
      <c r="F10" s="6" t="s">
        <v>504</v>
      </c>
      <c r="G10" s="7" t="n">
        <v>1</v>
      </c>
      <c r="H10" s="10" t="str">
        <f aca="false">IF(E10="N","-",IF(G10=0,"Not started",IF(G10&lt;=2,"Partial","Implemented")))</f>
        <v>Partial</v>
      </c>
      <c r="I10" s="6" t="s">
        <v>505</v>
      </c>
      <c r="J10" s="6" t="s">
        <v>117</v>
      </c>
      <c r="K10" s="6" t="s">
        <v>467</v>
      </c>
      <c r="L10" s="6" t="s">
        <v>468</v>
      </c>
      <c r="M10" s="6" t="s">
        <v>506</v>
      </c>
      <c r="N10" s="6" t="s">
        <v>500</v>
      </c>
      <c r="O10" s="6" t="s">
        <v>363</v>
      </c>
      <c r="P10" s="6" t="s">
        <v>364</v>
      </c>
    </row>
    <row r="11" customFormat="false" ht="32.8" hidden="false" customHeight="false" outlineLevel="0" collapsed="false">
      <c r="A11" s="6" t="s">
        <v>507</v>
      </c>
      <c r="B11" s="6" t="s">
        <v>508</v>
      </c>
      <c r="C11" s="6" t="s">
        <v>495</v>
      </c>
      <c r="D11" s="6" t="s">
        <v>509</v>
      </c>
      <c r="E11" s="7" t="s">
        <v>234</v>
      </c>
      <c r="F11" s="6" t="s">
        <v>510</v>
      </c>
      <c r="G11" s="7"/>
      <c r="H11" s="10" t="str">
        <f aca="false">IF(E11="N","-",IF(G11=0,"Not started",IF(G11&lt;=2,"Partial","Implemented")))</f>
        <v>-</v>
      </c>
      <c r="I11" s="6" t="s">
        <v>468</v>
      </c>
      <c r="J11" s="6" t="s">
        <v>117</v>
      </c>
      <c r="K11" s="6" t="s">
        <v>468</v>
      </c>
      <c r="L11" s="6" t="s">
        <v>468</v>
      </c>
      <c r="M11" s="6" t="s">
        <v>468</v>
      </c>
      <c r="N11" s="6" t="s">
        <v>133</v>
      </c>
      <c r="O11" s="6" t="s">
        <v>511</v>
      </c>
      <c r="P11" s="6" t="s">
        <v>335</v>
      </c>
    </row>
    <row r="12" customFormat="false" ht="43.25" hidden="false" customHeight="false" outlineLevel="0" collapsed="false">
      <c r="A12" s="6" t="s">
        <v>512</v>
      </c>
      <c r="B12" s="6" t="s">
        <v>513</v>
      </c>
      <c r="C12" s="6" t="s">
        <v>495</v>
      </c>
      <c r="D12" s="6" t="s">
        <v>514</v>
      </c>
      <c r="E12" s="7" t="s">
        <v>234</v>
      </c>
      <c r="F12" s="6" t="s">
        <v>515</v>
      </c>
      <c r="G12" s="7"/>
      <c r="H12" s="10" t="str">
        <f aca="false">IF(E12="N","-",IF(G12=0,"Not started",IF(G12&lt;=2,"Partial","Implemented")))</f>
        <v>-</v>
      </c>
      <c r="I12" s="6" t="s">
        <v>468</v>
      </c>
      <c r="J12" s="6" t="s">
        <v>117</v>
      </c>
      <c r="K12" s="6" t="s">
        <v>468</v>
      </c>
      <c r="L12" s="6" t="s">
        <v>468</v>
      </c>
      <c r="M12" s="6" t="s">
        <v>468</v>
      </c>
      <c r="N12" s="6" t="s">
        <v>133</v>
      </c>
      <c r="O12" s="6" t="s">
        <v>511</v>
      </c>
      <c r="P12" s="6" t="s">
        <v>335</v>
      </c>
    </row>
    <row r="13" customFormat="false" ht="22.35" hidden="false" customHeight="false" outlineLevel="0" collapsed="false">
      <c r="A13" s="6" t="s">
        <v>516</v>
      </c>
      <c r="B13" s="6" t="s">
        <v>517</v>
      </c>
      <c r="C13" s="6" t="s">
        <v>495</v>
      </c>
      <c r="D13" s="6" t="s">
        <v>518</v>
      </c>
      <c r="E13" s="7" t="s">
        <v>252</v>
      </c>
      <c r="F13" s="6" t="s">
        <v>519</v>
      </c>
      <c r="G13" s="7" t="n">
        <v>0</v>
      </c>
      <c r="H13" s="10" t="str">
        <f aca="false">IF(E13="N","-",IF(G13=0,"Not started",IF(G13&lt;=2,"Partial","Implemented")))</f>
        <v>Not started</v>
      </c>
      <c r="I13" s="6" t="s">
        <v>520</v>
      </c>
      <c r="J13" s="6" t="s">
        <v>97</v>
      </c>
      <c r="K13" s="6" t="s">
        <v>488</v>
      </c>
      <c r="L13" s="6" t="s">
        <v>189</v>
      </c>
      <c r="M13" s="6" t="s">
        <v>521</v>
      </c>
      <c r="N13" s="6" t="s">
        <v>522</v>
      </c>
      <c r="O13" s="6" t="s">
        <v>342</v>
      </c>
      <c r="P13" s="6" t="s">
        <v>335</v>
      </c>
    </row>
    <row r="14" customFormat="false" ht="22.35" hidden="false" customHeight="false" outlineLevel="0" collapsed="false">
      <c r="A14" s="6" t="s">
        <v>482</v>
      </c>
      <c r="B14" s="6" t="s">
        <v>523</v>
      </c>
      <c r="C14" s="6" t="s">
        <v>524</v>
      </c>
      <c r="D14" s="6" t="s">
        <v>525</v>
      </c>
      <c r="E14" s="7" t="s">
        <v>252</v>
      </c>
      <c r="F14" s="6" t="s">
        <v>526</v>
      </c>
      <c r="G14" s="7" t="n">
        <v>1</v>
      </c>
      <c r="H14" s="10" t="str">
        <f aca="false">IF(E14="N","-",IF(G14=0,"Not started",IF(G14&lt;=2,"Partial","Implemented")))</f>
        <v>Partial</v>
      </c>
      <c r="I14" s="6" t="s">
        <v>527</v>
      </c>
      <c r="J14" s="6" t="s">
        <v>117</v>
      </c>
      <c r="K14" s="6" t="s">
        <v>528</v>
      </c>
      <c r="L14" s="6" t="s">
        <v>468</v>
      </c>
      <c r="M14" s="6" t="s">
        <v>529</v>
      </c>
      <c r="N14" s="6" t="s">
        <v>530</v>
      </c>
      <c r="O14" s="6" t="s">
        <v>384</v>
      </c>
      <c r="P14" s="6" t="s">
        <v>350</v>
      </c>
    </row>
    <row r="15" customFormat="false" ht="22.35" hidden="false" customHeight="false" outlineLevel="0" collapsed="false">
      <c r="A15" s="6" t="s">
        <v>531</v>
      </c>
      <c r="B15" s="6" t="s">
        <v>532</v>
      </c>
      <c r="C15" s="6" t="s">
        <v>524</v>
      </c>
      <c r="D15" s="6" t="s">
        <v>533</v>
      </c>
      <c r="E15" s="7" t="s">
        <v>252</v>
      </c>
      <c r="F15" s="6" t="s">
        <v>534</v>
      </c>
      <c r="G15" s="7" t="n">
        <v>1</v>
      </c>
      <c r="H15" s="10" t="str">
        <f aca="false">IF(E15="N","-",IF(G15=0,"Not started",IF(G15&lt;=2,"Partial","Implemented")))</f>
        <v>Partial</v>
      </c>
      <c r="I15" s="6" t="s">
        <v>535</v>
      </c>
      <c r="J15" s="6" t="s">
        <v>117</v>
      </c>
      <c r="K15" s="6" t="s">
        <v>467</v>
      </c>
      <c r="L15" s="6" t="s">
        <v>468</v>
      </c>
      <c r="M15" s="6" t="s">
        <v>529</v>
      </c>
      <c r="N15" s="6" t="s">
        <v>530</v>
      </c>
      <c r="O15" s="6" t="s">
        <v>384</v>
      </c>
      <c r="P15" s="6" t="s">
        <v>350</v>
      </c>
    </row>
    <row r="16" customFormat="false" ht="22.35" hidden="false" customHeight="false" outlineLevel="0" collapsed="false">
      <c r="A16" s="6" t="s">
        <v>536</v>
      </c>
      <c r="B16" s="6" t="s">
        <v>537</v>
      </c>
      <c r="C16" s="6" t="s">
        <v>524</v>
      </c>
      <c r="D16" s="6" t="s">
        <v>538</v>
      </c>
      <c r="E16" s="7" t="s">
        <v>252</v>
      </c>
      <c r="F16" s="6" t="s">
        <v>539</v>
      </c>
      <c r="G16" s="7" t="n">
        <v>1</v>
      </c>
      <c r="H16" s="10" t="str">
        <f aca="false">IF(E16="N","-",IF(G16=0,"Not started",IF(G16&lt;=2,"Partial","Implemented")))</f>
        <v>Partial</v>
      </c>
      <c r="I16" s="6" t="s">
        <v>540</v>
      </c>
      <c r="J16" s="6" t="s">
        <v>117</v>
      </c>
      <c r="K16" s="6" t="s">
        <v>541</v>
      </c>
      <c r="L16" s="6" t="s">
        <v>542</v>
      </c>
      <c r="M16" s="6" t="s">
        <v>529</v>
      </c>
      <c r="N16" s="6" t="s">
        <v>530</v>
      </c>
      <c r="O16" s="6" t="s">
        <v>384</v>
      </c>
      <c r="P16" s="6" t="s">
        <v>350</v>
      </c>
    </row>
    <row r="17" customFormat="false" ht="22.35" hidden="false" customHeight="false" outlineLevel="0" collapsed="false">
      <c r="A17" s="6" t="s">
        <v>543</v>
      </c>
      <c r="B17" s="6" t="s">
        <v>544</v>
      </c>
      <c r="C17" s="6" t="s">
        <v>524</v>
      </c>
      <c r="D17" s="6" t="s">
        <v>545</v>
      </c>
      <c r="E17" s="7" t="s">
        <v>252</v>
      </c>
      <c r="F17" s="6" t="s">
        <v>546</v>
      </c>
      <c r="G17" s="7" t="n">
        <v>1</v>
      </c>
      <c r="H17" s="10" t="str">
        <f aca="false">IF(E17="N","-",IF(G17=0,"Not started",IF(G17&lt;=2,"Partial","Implemented")))</f>
        <v>Partial</v>
      </c>
      <c r="I17" s="6" t="s">
        <v>547</v>
      </c>
      <c r="J17" s="6" t="s">
        <v>117</v>
      </c>
      <c r="K17" s="6" t="s">
        <v>468</v>
      </c>
      <c r="L17" s="6" t="s">
        <v>468</v>
      </c>
      <c r="M17" s="6" t="s">
        <v>468</v>
      </c>
      <c r="N17" s="6" t="s">
        <v>530</v>
      </c>
      <c r="O17" s="6" t="s">
        <v>384</v>
      </c>
      <c r="P17" s="6" t="s">
        <v>350</v>
      </c>
    </row>
    <row r="18" customFormat="false" ht="32.8" hidden="false" customHeight="false" outlineLevel="0" collapsed="false">
      <c r="A18" s="6" t="s">
        <v>548</v>
      </c>
      <c r="B18" s="6" t="s">
        <v>549</v>
      </c>
      <c r="C18" s="6" t="s">
        <v>550</v>
      </c>
      <c r="D18" s="6" t="s">
        <v>551</v>
      </c>
      <c r="E18" s="7" t="s">
        <v>234</v>
      </c>
      <c r="F18" s="6" t="s">
        <v>510</v>
      </c>
      <c r="G18" s="7"/>
      <c r="H18" s="10" t="str">
        <f aca="false">IF(E18="N","-",IF(G18=0,"Not started",IF(G18&lt;=2,"Partial","Implemented")))</f>
        <v>-</v>
      </c>
      <c r="I18" s="6" t="s">
        <v>468</v>
      </c>
      <c r="J18" s="6" t="s">
        <v>117</v>
      </c>
      <c r="K18" s="6" t="s">
        <v>468</v>
      </c>
      <c r="L18" s="6" t="s">
        <v>468</v>
      </c>
      <c r="M18" s="6" t="s">
        <v>468</v>
      </c>
      <c r="N18" s="6" t="s">
        <v>133</v>
      </c>
      <c r="O18" s="6" t="s">
        <v>511</v>
      </c>
      <c r="P18" s="6" t="s">
        <v>335</v>
      </c>
    </row>
    <row r="19" customFormat="false" ht="32.8" hidden="false" customHeight="false" outlineLevel="0" collapsed="false">
      <c r="A19" s="6" t="s">
        <v>552</v>
      </c>
      <c r="B19" s="6" t="s">
        <v>553</v>
      </c>
      <c r="C19" s="6" t="s">
        <v>550</v>
      </c>
      <c r="D19" s="6" t="s">
        <v>553</v>
      </c>
      <c r="E19" s="7" t="s">
        <v>234</v>
      </c>
      <c r="F19" s="6" t="s">
        <v>510</v>
      </c>
      <c r="G19" s="7"/>
      <c r="H19" s="10" t="str">
        <f aca="false">IF(E19="N","-",IF(G19=0,"Not started",IF(G19&lt;=2,"Partial","Implemented")))</f>
        <v>-</v>
      </c>
      <c r="I19" s="6" t="s">
        <v>468</v>
      </c>
      <c r="J19" s="6" t="s">
        <v>117</v>
      </c>
      <c r="K19" s="6" t="s">
        <v>468</v>
      </c>
      <c r="L19" s="6" t="s">
        <v>468</v>
      </c>
      <c r="M19" s="6" t="s">
        <v>468</v>
      </c>
      <c r="N19" s="6" t="s">
        <v>133</v>
      </c>
      <c r="O19" s="6" t="s">
        <v>511</v>
      </c>
      <c r="P19" s="6" t="s">
        <v>335</v>
      </c>
    </row>
    <row r="20" customFormat="false" ht="43.25" hidden="false" customHeight="false" outlineLevel="0" collapsed="false">
      <c r="A20" s="6" t="s">
        <v>554</v>
      </c>
      <c r="B20" s="6" t="s">
        <v>555</v>
      </c>
      <c r="C20" s="6" t="s">
        <v>550</v>
      </c>
      <c r="D20" s="6" t="s">
        <v>556</v>
      </c>
      <c r="E20" s="7" t="s">
        <v>234</v>
      </c>
      <c r="F20" s="6" t="s">
        <v>557</v>
      </c>
      <c r="G20" s="7"/>
      <c r="H20" s="10" t="str">
        <f aca="false">IF(E20="N","-",IF(G20=0,"Not started",IF(G20&lt;=2,"Partial","Implemented")))</f>
        <v>-</v>
      </c>
      <c r="I20" s="6" t="s">
        <v>468</v>
      </c>
      <c r="J20" s="6" t="s">
        <v>117</v>
      </c>
      <c r="K20" s="6" t="s">
        <v>468</v>
      </c>
      <c r="L20" s="6" t="s">
        <v>468</v>
      </c>
      <c r="M20" s="6" t="s">
        <v>468</v>
      </c>
      <c r="N20" s="6" t="s">
        <v>133</v>
      </c>
      <c r="O20" s="6" t="s">
        <v>511</v>
      </c>
      <c r="P20" s="6" t="s">
        <v>335</v>
      </c>
    </row>
    <row r="21" customFormat="false" ht="32.8" hidden="false" customHeight="false" outlineLevel="0" collapsed="false">
      <c r="A21" s="6" t="s">
        <v>558</v>
      </c>
      <c r="B21" s="6" t="s">
        <v>559</v>
      </c>
      <c r="C21" s="6" t="s">
        <v>550</v>
      </c>
      <c r="D21" s="6" t="s">
        <v>560</v>
      </c>
      <c r="E21" s="7" t="s">
        <v>234</v>
      </c>
      <c r="F21" s="6" t="s">
        <v>510</v>
      </c>
      <c r="G21" s="7"/>
      <c r="H21" s="10" t="str">
        <f aca="false">IF(E21="N","-",IF(G21=0,"Not started",IF(G21&lt;=2,"Partial","Implemented")))</f>
        <v>-</v>
      </c>
      <c r="I21" s="6" t="s">
        <v>468</v>
      </c>
      <c r="J21" s="6" t="s">
        <v>117</v>
      </c>
      <c r="K21" s="6" t="s">
        <v>468</v>
      </c>
      <c r="L21" s="6" t="s">
        <v>468</v>
      </c>
      <c r="M21" s="6" t="s">
        <v>468</v>
      </c>
      <c r="N21" s="6" t="s">
        <v>133</v>
      </c>
      <c r="O21" s="6" t="s">
        <v>511</v>
      </c>
      <c r="P21" s="6" t="s">
        <v>335</v>
      </c>
    </row>
    <row r="22" customFormat="false" ht="22.35" hidden="false" customHeight="false" outlineLevel="0" collapsed="false">
      <c r="A22" s="6" t="s">
        <v>561</v>
      </c>
      <c r="B22" s="6" t="s">
        <v>562</v>
      </c>
      <c r="C22" s="6" t="s">
        <v>550</v>
      </c>
      <c r="D22" s="6" t="s">
        <v>563</v>
      </c>
      <c r="E22" s="7" t="s">
        <v>252</v>
      </c>
      <c r="F22" s="6" t="s">
        <v>564</v>
      </c>
      <c r="G22" s="7" t="n">
        <v>0</v>
      </c>
      <c r="H22" s="10" t="str">
        <f aca="false">IF(E22="N","-",IF(G22=0,"Not started",IF(G22&lt;=2,"Partial","Implemented")))</f>
        <v>Not started</v>
      </c>
      <c r="I22" s="6" t="s">
        <v>565</v>
      </c>
      <c r="J22" s="6" t="s">
        <v>53</v>
      </c>
      <c r="K22" s="6" t="s">
        <v>488</v>
      </c>
      <c r="L22" s="6" t="s">
        <v>468</v>
      </c>
      <c r="M22" s="6" t="s">
        <v>566</v>
      </c>
      <c r="N22" s="6" t="s">
        <v>567</v>
      </c>
      <c r="O22" s="6" t="s">
        <v>568</v>
      </c>
      <c r="P22" s="6" t="s">
        <v>492</v>
      </c>
    </row>
    <row r="23" customFormat="false" ht="22.35" hidden="false" customHeight="false" outlineLevel="0" collapsed="false">
      <c r="A23" s="6" t="s">
        <v>569</v>
      </c>
      <c r="B23" s="6" t="s">
        <v>570</v>
      </c>
      <c r="C23" s="6" t="s">
        <v>550</v>
      </c>
      <c r="D23" s="6" t="s">
        <v>571</v>
      </c>
      <c r="E23" s="7" t="s">
        <v>252</v>
      </c>
      <c r="F23" s="6" t="s">
        <v>572</v>
      </c>
      <c r="G23" s="7" t="n">
        <v>0</v>
      </c>
      <c r="H23" s="10" t="str">
        <f aca="false">IF(E23="N","-",IF(G23=0,"Not started",IF(G23&lt;=2,"Partial","Implemented")))</f>
        <v>Not started</v>
      </c>
      <c r="I23" s="6" t="s">
        <v>573</v>
      </c>
      <c r="J23" s="6" t="s">
        <v>117</v>
      </c>
      <c r="K23" s="6" t="s">
        <v>474</v>
      </c>
      <c r="L23" s="6" t="s">
        <v>468</v>
      </c>
      <c r="M23" s="6" t="s">
        <v>574</v>
      </c>
      <c r="N23" s="6" t="s">
        <v>500</v>
      </c>
      <c r="O23" s="6" t="s">
        <v>363</v>
      </c>
      <c r="P23" s="6" t="s">
        <v>364</v>
      </c>
    </row>
    <row r="24" customFormat="false" ht="22.35" hidden="false" customHeight="false" outlineLevel="0" collapsed="false">
      <c r="A24" s="6" t="s">
        <v>575</v>
      </c>
      <c r="B24" s="6" t="s">
        <v>576</v>
      </c>
      <c r="C24" s="6" t="s">
        <v>550</v>
      </c>
      <c r="D24" s="6" t="s">
        <v>577</v>
      </c>
      <c r="E24" s="7" t="s">
        <v>252</v>
      </c>
      <c r="F24" s="6" t="s">
        <v>578</v>
      </c>
      <c r="G24" s="7" t="n">
        <v>0</v>
      </c>
      <c r="H24" s="10" t="str">
        <f aca="false">IF(E24="N","-",IF(G24=0,"Not started",IF(G24&lt;=2,"Partial","Implemented")))</f>
        <v>Not started</v>
      </c>
      <c r="I24" s="6" t="s">
        <v>579</v>
      </c>
      <c r="J24" s="6" t="s">
        <v>53</v>
      </c>
      <c r="K24" s="6" t="s">
        <v>488</v>
      </c>
      <c r="L24" s="6" t="s">
        <v>468</v>
      </c>
      <c r="M24" s="6" t="s">
        <v>580</v>
      </c>
      <c r="N24" s="6" t="s">
        <v>567</v>
      </c>
      <c r="O24" s="6" t="s">
        <v>568</v>
      </c>
      <c r="P24" s="6" t="s">
        <v>492</v>
      </c>
    </row>
    <row r="25" customFormat="false" ht="43.25" hidden="false" customHeight="false" outlineLevel="0" collapsed="false">
      <c r="A25" s="6" t="s">
        <v>581</v>
      </c>
      <c r="B25" s="6" t="s">
        <v>582</v>
      </c>
      <c r="C25" s="6" t="s">
        <v>550</v>
      </c>
      <c r="D25" s="6" t="s">
        <v>583</v>
      </c>
      <c r="E25" s="7" t="s">
        <v>234</v>
      </c>
      <c r="F25" s="6" t="s">
        <v>584</v>
      </c>
      <c r="G25" s="7"/>
      <c r="H25" s="10" t="str">
        <f aca="false">IF(E25="N","-",IF(G25=0,"Not started",IF(G25&lt;=2,"Partial","Implemented")))</f>
        <v>-</v>
      </c>
      <c r="I25" s="6" t="s">
        <v>468</v>
      </c>
      <c r="J25" s="6" t="s">
        <v>117</v>
      </c>
      <c r="K25" s="6" t="s">
        <v>468</v>
      </c>
      <c r="L25" s="6" t="s">
        <v>585</v>
      </c>
      <c r="M25" s="6" t="s">
        <v>468</v>
      </c>
      <c r="N25" s="6" t="s">
        <v>133</v>
      </c>
      <c r="O25" s="6" t="s">
        <v>511</v>
      </c>
      <c r="P25" s="6" t="s">
        <v>335</v>
      </c>
    </row>
    <row r="26" customFormat="false" ht="22.35" hidden="false" customHeight="false" outlineLevel="0" collapsed="false">
      <c r="A26" s="6" t="s">
        <v>586</v>
      </c>
      <c r="B26" s="6" t="s">
        <v>587</v>
      </c>
      <c r="C26" s="6" t="s">
        <v>550</v>
      </c>
      <c r="D26" s="6" t="s">
        <v>588</v>
      </c>
      <c r="E26" s="7" t="s">
        <v>252</v>
      </c>
      <c r="F26" s="6" t="s">
        <v>589</v>
      </c>
      <c r="G26" s="7" t="n">
        <v>0</v>
      </c>
      <c r="H26" s="10" t="str">
        <f aca="false">IF(E26="N","-",IF(G26=0,"Not started",IF(G26&lt;=2,"Partial","Implemented")))</f>
        <v>Not started</v>
      </c>
      <c r="I26" s="6" t="s">
        <v>590</v>
      </c>
      <c r="J26" s="6" t="s">
        <v>77</v>
      </c>
      <c r="K26" s="6" t="s">
        <v>474</v>
      </c>
      <c r="L26" s="6" t="s">
        <v>468</v>
      </c>
      <c r="M26" s="6" t="s">
        <v>591</v>
      </c>
      <c r="N26" s="6" t="s">
        <v>500</v>
      </c>
      <c r="O26" s="6" t="s">
        <v>363</v>
      </c>
      <c r="P26" s="6" t="s">
        <v>364</v>
      </c>
    </row>
    <row r="27" customFormat="false" ht="43.25" hidden="false" customHeight="false" outlineLevel="0" collapsed="false">
      <c r="A27" s="6" t="s">
        <v>592</v>
      </c>
      <c r="B27" s="6" t="s">
        <v>593</v>
      </c>
      <c r="C27" s="6" t="s">
        <v>594</v>
      </c>
      <c r="D27" s="6" t="s">
        <v>595</v>
      </c>
      <c r="E27" s="7" t="s">
        <v>234</v>
      </c>
      <c r="F27" s="6" t="s">
        <v>596</v>
      </c>
      <c r="G27" s="7"/>
      <c r="H27" s="10" t="str">
        <f aca="false">IF(E27="N","-",IF(G27=0,"Not started",IF(G27&lt;=2,"Partial","Implemented")))</f>
        <v>-</v>
      </c>
      <c r="I27" s="6" t="s">
        <v>468</v>
      </c>
      <c r="J27" s="6" t="s">
        <v>117</v>
      </c>
      <c r="K27" s="6" t="s">
        <v>468</v>
      </c>
      <c r="L27" s="6" t="s">
        <v>468</v>
      </c>
      <c r="M27" s="6" t="s">
        <v>468</v>
      </c>
      <c r="N27" s="6" t="s">
        <v>133</v>
      </c>
      <c r="O27" s="6" t="s">
        <v>511</v>
      </c>
      <c r="P27" s="6" t="s">
        <v>335</v>
      </c>
    </row>
    <row r="28" customFormat="false" ht="32.8" hidden="false" customHeight="false" outlineLevel="0" collapsed="false">
      <c r="A28" s="6" t="s">
        <v>597</v>
      </c>
      <c r="B28" s="6" t="s">
        <v>598</v>
      </c>
      <c r="C28" s="6" t="s">
        <v>594</v>
      </c>
      <c r="D28" s="6" t="s">
        <v>599</v>
      </c>
      <c r="E28" s="7" t="s">
        <v>234</v>
      </c>
      <c r="F28" s="6" t="s">
        <v>510</v>
      </c>
      <c r="G28" s="7"/>
      <c r="H28" s="10" t="str">
        <f aca="false">IF(E28="N","-",IF(G28=0,"Not started",IF(G28&lt;=2,"Partial","Implemented")))</f>
        <v>-</v>
      </c>
      <c r="I28" s="6" t="s">
        <v>468</v>
      </c>
      <c r="J28" s="6" t="s">
        <v>117</v>
      </c>
      <c r="K28" s="6" t="s">
        <v>468</v>
      </c>
      <c r="L28" s="6" t="s">
        <v>468</v>
      </c>
      <c r="M28" s="6" t="s">
        <v>468</v>
      </c>
      <c r="N28" s="6" t="s">
        <v>133</v>
      </c>
      <c r="O28" s="6" t="s">
        <v>511</v>
      </c>
      <c r="P28" s="6" t="s">
        <v>335</v>
      </c>
    </row>
    <row r="29" customFormat="false" ht="32.8" hidden="false" customHeight="false" outlineLevel="0" collapsed="false">
      <c r="A29" s="6" t="s">
        <v>600</v>
      </c>
      <c r="B29" s="6" t="s">
        <v>601</v>
      </c>
      <c r="C29" s="6" t="s">
        <v>594</v>
      </c>
      <c r="D29" s="6" t="s">
        <v>602</v>
      </c>
      <c r="E29" s="7" t="s">
        <v>234</v>
      </c>
      <c r="F29" s="6" t="s">
        <v>510</v>
      </c>
      <c r="G29" s="7"/>
      <c r="H29" s="10" t="str">
        <f aca="false">IF(E29="N","-",IF(G29=0,"Not started",IF(G29&lt;=2,"Partial","Implemented")))</f>
        <v>-</v>
      </c>
      <c r="I29" s="6" t="s">
        <v>468</v>
      </c>
      <c r="J29" s="6" t="s">
        <v>117</v>
      </c>
      <c r="K29" s="6" t="s">
        <v>468</v>
      </c>
      <c r="L29" s="6" t="s">
        <v>468</v>
      </c>
      <c r="M29" s="6" t="s">
        <v>468</v>
      </c>
      <c r="N29" s="6" t="s">
        <v>133</v>
      </c>
      <c r="O29" s="6" t="s">
        <v>511</v>
      </c>
      <c r="P29" s="6" t="s">
        <v>335</v>
      </c>
    </row>
    <row r="30" customFormat="false" ht="32.8" hidden="false" customHeight="false" outlineLevel="0" collapsed="false">
      <c r="A30" s="6" t="s">
        <v>603</v>
      </c>
      <c r="B30" s="6" t="s">
        <v>604</v>
      </c>
      <c r="C30" s="6" t="s">
        <v>594</v>
      </c>
      <c r="D30" s="6" t="s">
        <v>605</v>
      </c>
      <c r="E30" s="7" t="s">
        <v>234</v>
      </c>
      <c r="F30" s="6" t="s">
        <v>510</v>
      </c>
      <c r="G30" s="7"/>
      <c r="H30" s="10" t="str">
        <f aca="false">IF(E30="N","-",IF(G30=0,"Not started",IF(G30&lt;=2,"Partial","Implemented")))</f>
        <v>-</v>
      </c>
      <c r="I30" s="6" t="s">
        <v>468</v>
      </c>
      <c r="J30" s="6" t="s">
        <v>117</v>
      </c>
      <c r="K30" s="6" t="s">
        <v>468</v>
      </c>
      <c r="L30" s="6" t="s">
        <v>468</v>
      </c>
      <c r="M30" s="6" t="s">
        <v>468</v>
      </c>
      <c r="N30" s="6" t="s">
        <v>133</v>
      </c>
      <c r="O30" s="6" t="s">
        <v>511</v>
      </c>
      <c r="P30" s="6" t="s">
        <v>335</v>
      </c>
    </row>
    <row r="31" customFormat="false" ht="32.8" hidden="false" customHeight="false" outlineLevel="0" collapsed="false">
      <c r="A31" s="6" t="s">
        <v>606</v>
      </c>
      <c r="B31" s="6" t="s">
        <v>607</v>
      </c>
      <c r="C31" s="6" t="s">
        <v>594</v>
      </c>
      <c r="D31" s="6" t="s">
        <v>608</v>
      </c>
      <c r="E31" s="7" t="s">
        <v>234</v>
      </c>
      <c r="F31" s="6" t="s">
        <v>510</v>
      </c>
      <c r="G31" s="7"/>
      <c r="H31" s="10" t="str">
        <f aca="false">IF(E31="N","-",IF(G31=0,"Not started",IF(G31&lt;=2,"Partial","Implemented")))</f>
        <v>-</v>
      </c>
      <c r="I31" s="6" t="s">
        <v>468</v>
      </c>
      <c r="J31" s="6" t="s">
        <v>117</v>
      </c>
      <c r="K31" s="6" t="s">
        <v>468</v>
      </c>
      <c r="L31" s="6" t="s">
        <v>468</v>
      </c>
      <c r="M31" s="6" t="s">
        <v>468</v>
      </c>
      <c r="N31" s="6" t="s">
        <v>133</v>
      </c>
      <c r="O31" s="6" t="s">
        <v>511</v>
      </c>
      <c r="P31" s="6" t="s">
        <v>335</v>
      </c>
    </row>
    <row r="32" customFormat="false" ht="22.35" hidden="false" customHeight="false" outlineLevel="0" collapsed="false">
      <c r="A32" s="6" t="s">
        <v>609</v>
      </c>
      <c r="B32" s="6" t="s">
        <v>610</v>
      </c>
      <c r="C32" s="6" t="s">
        <v>611</v>
      </c>
      <c r="D32" s="6" t="s">
        <v>612</v>
      </c>
      <c r="E32" s="7" t="s">
        <v>252</v>
      </c>
      <c r="F32" s="6" t="s">
        <v>613</v>
      </c>
      <c r="G32" s="7" t="n">
        <v>0</v>
      </c>
      <c r="H32" s="10" t="str">
        <f aca="false">IF(E32="N","-",IF(G32=0,"Not started",IF(G32&lt;=2,"Partial","Implemented")))</f>
        <v>Not started</v>
      </c>
      <c r="I32" s="6" t="s">
        <v>614</v>
      </c>
      <c r="J32" s="6" t="s">
        <v>117</v>
      </c>
      <c r="K32" s="6" t="s">
        <v>615</v>
      </c>
      <c r="L32" s="6" t="s">
        <v>189</v>
      </c>
      <c r="M32" s="6" t="s">
        <v>616</v>
      </c>
      <c r="N32" s="6" t="s">
        <v>522</v>
      </c>
      <c r="O32" s="6" t="s">
        <v>342</v>
      </c>
      <c r="P32" s="6" t="s">
        <v>241</v>
      </c>
    </row>
    <row r="33" customFormat="false" ht="22.35" hidden="false" customHeight="false" outlineLevel="0" collapsed="false">
      <c r="A33" s="6" t="s">
        <v>617</v>
      </c>
      <c r="B33" s="6" t="s">
        <v>618</v>
      </c>
      <c r="C33" s="6" t="s">
        <v>611</v>
      </c>
      <c r="D33" s="6" t="s">
        <v>619</v>
      </c>
      <c r="E33" s="7" t="s">
        <v>252</v>
      </c>
      <c r="F33" s="6" t="s">
        <v>620</v>
      </c>
      <c r="G33" s="7" t="n">
        <v>0</v>
      </c>
      <c r="H33" s="10" t="str">
        <f aca="false">IF(E33="N","-",IF(G33=0,"Not started",IF(G33&lt;=2,"Partial","Implemented")))</f>
        <v>Not started</v>
      </c>
      <c r="I33" s="6" t="s">
        <v>621</v>
      </c>
      <c r="J33" s="6" t="s">
        <v>53</v>
      </c>
      <c r="K33" s="6" t="s">
        <v>488</v>
      </c>
      <c r="L33" s="6" t="s">
        <v>468</v>
      </c>
      <c r="M33" s="6" t="s">
        <v>489</v>
      </c>
      <c r="N33" s="6" t="s">
        <v>490</v>
      </c>
      <c r="O33" s="6" t="s">
        <v>491</v>
      </c>
      <c r="P33" s="6" t="s">
        <v>492</v>
      </c>
    </row>
    <row r="34" customFormat="false" ht="22.35" hidden="false" customHeight="false" outlineLevel="0" collapsed="false">
      <c r="A34" s="6" t="s">
        <v>622</v>
      </c>
      <c r="B34" s="6" t="s">
        <v>623</v>
      </c>
      <c r="C34" s="6" t="s">
        <v>611</v>
      </c>
      <c r="D34" s="6" t="s">
        <v>624</v>
      </c>
      <c r="E34" s="7" t="s">
        <v>252</v>
      </c>
      <c r="F34" s="6" t="s">
        <v>625</v>
      </c>
      <c r="G34" s="7" t="n">
        <v>1</v>
      </c>
      <c r="H34" s="10" t="str">
        <f aca="false">IF(E34="N","-",IF(G34=0,"Not started",IF(G34&lt;=2,"Partial","Implemented")))</f>
        <v>Partial</v>
      </c>
      <c r="I34" s="6" t="s">
        <v>626</v>
      </c>
      <c r="J34" s="6" t="s">
        <v>117</v>
      </c>
      <c r="K34" s="6" t="s">
        <v>467</v>
      </c>
      <c r="L34" s="6" t="s">
        <v>468</v>
      </c>
      <c r="M34" s="6" t="s">
        <v>627</v>
      </c>
      <c r="N34" s="6" t="s">
        <v>490</v>
      </c>
      <c r="O34" s="6" t="s">
        <v>491</v>
      </c>
      <c r="P34" s="6" t="s">
        <v>492</v>
      </c>
    </row>
    <row r="35" customFormat="false" ht="22.35" hidden="false" customHeight="false" outlineLevel="0" collapsed="false">
      <c r="A35" s="6" t="s">
        <v>628</v>
      </c>
      <c r="B35" s="6" t="s">
        <v>629</v>
      </c>
      <c r="C35" s="6" t="s">
        <v>611</v>
      </c>
      <c r="D35" s="6" t="s">
        <v>630</v>
      </c>
      <c r="E35" s="7" t="s">
        <v>252</v>
      </c>
      <c r="F35" s="6" t="s">
        <v>631</v>
      </c>
      <c r="G35" s="7" t="n">
        <v>0</v>
      </c>
      <c r="H35" s="10" t="str">
        <f aca="false">IF(E35="N","-",IF(G35=0,"Not started",IF(G35&lt;=2,"Partial","Implemented")))</f>
        <v>Not started</v>
      </c>
      <c r="I35" s="6" t="s">
        <v>632</v>
      </c>
      <c r="J35" s="6" t="s">
        <v>53</v>
      </c>
      <c r="K35" s="6" t="s">
        <v>467</v>
      </c>
      <c r="L35" s="6" t="s">
        <v>468</v>
      </c>
      <c r="M35" s="6" t="s">
        <v>529</v>
      </c>
      <c r="N35" s="6" t="s">
        <v>633</v>
      </c>
      <c r="O35" s="6" t="s">
        <v>349</v>
      </c>
      <c r="P35" s="6" t="s">
        <v>350</v>
      </c>
    </row>
    <row r="36" customFormat="false" ht="32.8" hidden="false" customHeight="false" outlineLevel="0" collapsed="false">
      <c r="A36" s="6" t="s">
        <v>634</v>
      </c>
      <c r="B36" s="6" t="s">
        <v>635</v>
      </c>
      <c r="C36" s="6" t="s">
        <v>636</v>
      </c>
      <c r="D36" s="6" t="s">
        <v>637</v>
      </c>
      <c r="E36" s="7" t="s">
        <v>252</v>
      </c>
      <c r="F36" s="6" t="s">
        <v>638</v>
      </c>
      <c r="G36" s="7" t="n">
        <v>2</v>
      </c>
      <c r="H36" s="10" t="str">
        <f aca="false">IF(E36="N","-",IF(G36=0,"Not started",IF(G36&lt;=2,"Partial","Implemented")))</f>
        <v>Partial</v>
      </c>
      <c r="I36" s="6" t="s">
        <v>639</v>
      </c>
      <c r="J36" s="6" t="s">
        <v>117</v>
      </c>
      <c r="K36" s="6" t="s">
        <v>640</v>
      </c>
      <c r="L36" s="6" t="s">
        <v>189</v>
      </c>
      <c r="M36" s="6" t="s">
        <v>616</v>
      </c>
      <c r="N36" s="6" t="s">
        <v>500</v>
      </c>
      <c r="O36" s="6" t="s">
        <v>363</v>
      </c>
      <c r="P36" s="6" t="s">
        <v>364</v>
      </c>
    </row>
    <row r="37" customFormat="false" ht="22.35" hidden="false" customHeight="false" outlineLevel="0" collapsed="false">
      <c r="A37" s="6" t="s">
        <v>641</v>
      </c>
      <c r="B37" s="6" t="s">
        <v>642</v>
      </c>
      <c r="C37" s="6" t="s">
        <v>636</v>
      </c>
      <c r="D37" s="6" t="s">
        <v>643</v>
      </c>
      <c r="E37" s="7" t="s">
        <v>252</v>
      </c>
      <c r="F37" s="6" t="s">
        <v>644</v>
      </c>
      <c r="G37" s="7" t="n">
        <v>0</v>
      </c>
      <c r="H37" s="10" t="str">
        <f aca="false">IF(E37="N","-",IF(G37=0,"Not started",IF(G37&lt;=2,"Partial","Implemented")))</f>
        <v>Not started</v>
      </c>
      <c r="I37" s="6" t="s">
        <v>645</v>
      </c>
      <c r="J37" s="6" t="s">
        <v>117</v>
      </c>
      <c r="K37" s="6" t="s">
        <v>468</v>
      </c>
      <c r="L37" s="6" t="s">
        <v>468</v>
      </c>
      <c r="M37" s="6" t="s">
        <v>468</v>
      </c>
      <c r="N37" s="6" t="s">
        <v>461</v>
      </c>
      <c r="O37" s="6" t="s">
        <v>264</v>
      </c>
      <c r="P37" s="6" t="s">
        <v>249</v>
      </c>
    </row>
    <row r="38" customFormat="false" ht="32.8" hidden="false" customHeight="false" outlineLevel="0" collapsed="false">
      <c r="A38" s="6" t="s">
        <v>646</v>
      </c>
      <c r="B38" s="6" t="s">
        <v>647</v>
      </c>
      <c r="C38" s="6" t="s">
        <v>636</v>
      </c>
      <c r="D38" s="6" t="s">
        <v>648</v>
      </c>
      <c r="E38" s="7" t="s">
        <v>252</v>
      </c>
      <c r="F38" s="6" t="s">
        <v>649</v>
      </c>
      <c r="G38" s="7" t="n">
        <v>1</v>
      </c>
      <c r="H38" s="10" t="str">
        <f aca="false">IF(E38="N","-",IF(G38=0,"Not started",IF(G38&lt;=2,"Partial","Implemented")))</f>
        <v>Partial</v>
      </c>
      <c r="I38" s="6" t="s">
        <v>650</v>
      </c>
      <c r="J38" s="6" t="s">
        <v>117</v>
      </c>
      <c r="K38" s="6" t="s">
        <v>651</v>
      </c>
      <c r="L38" s="6" t="s">
        <v>652</v>
      </c>
      <c r="M38" s="6" t="s">
        <v>616</v>
      </c>
      <c r="N38" s="6" t="s">
        <v>653</v>
      </c>
      <c r="O38" s="6" t="s">
        <v>257</v>
      </c>
      <c r="P38" s="6" t="s">
        <v>241</v>
      </c>
    </row>
    <row r="39" customFormat="false" ht="32.8" hidden="false" customHeight="false" outlineLevel="0" collapsed="false">
      <c r="A39" s="6" t="s">
        <v>654</v>
      </c>
      <c r="B39" s="6" t="s">
        <v>655</v>
      </c>
      <c r="C39" s="6" t="s">
        <v>656</v>
      </c>
      <c r="D39" s="6" t="s">
        <v>657</v>
      </c>
      <c r="E39" s="7" t="s">
        <v>252</v>
      </c>
      <c r="F39" s="6" t="s">
        <v>658</v>
      </c>
      <c r="G39" s="7" t="n">
        <v>2</v>
      </c>
      <c r="H39" s="10" t="str">
        <f aca="false">IF(E39="N","-",IF(G39=0,"Not started",IF(G39&lt;=2,"Partial","Implemented")))</f>
        <v>Partial</v>
      </c>
      <c r="I39" s="6" t="s">
        <v>659</v>
      </c>
      <c r="J39" s="6" t="s">
        <v>117</v>
      </c>
      <c r="K39" s="6" t="s">
        <v>660</v>
      </c>
      <c r="L39" s="6" t="s">
        <v>468</v>
      </c>
      <c r="M39" s="6" t="s">
        <v>661</v>
      </c>
      <c r="N39" s="6" t="s">
        <v>662</v>
      </c>
      <c r="O39" s="6" t="s">
        <v>377</v>
      </c>
      <c r="P39" s="6" t="s">
        <v>378</v>
      </c>
    </row>
    <row r="40" customFormat="false" ht="32.8" hidden="false" customHeight="false" outlineLevel="0" collapsed="false">
      <c r="A40" s="6" t="s">
        <v>663</v>
      </c>
      <c r="B40" s="6" t="s">
        <v>664</v>
      </c>
      <c r="C40" s="6" t="s">
        <v>656</v>
      </c>
      <c r="D40" s="6" t="s">
        <v>665</v>
      </c>
      <c r="E40" s="7" t="s">
        <v>252</v>
      </c>
      <c r="F40" s="6" t="s">
        <v>658</v>
      </c>
      <c r="G40" s="7" t="n">
        <v>2</v>
      </c>
      <c r="H40" s="10" t="str">
        <f aca="false">IF(E40="N","-",IF(G40=0,"Not started",IF(G40&lt;=2,"Partial","Implemented")))</f>
        <v>Partial</v>
      </c>
      <c r="I40" s="6" t="s">
        <v>666</v>
      </c>
      <c r="J40" s="6" t="s">
        <v>117</v>
      </c>
      <c r="K40" s="6" t="s">
        <v>667</v>
      </c>
      <c r="L40" s="6" t="s">
        <v>468</v>
      </c>
      <c r="M40" s="6" t="s">
        <v>668</v>
      </c>
      <c r="N40" s="6" t="s">
        <v>669</v>
      </c>
      <c r="O40" s="6" t="s">
        <v>670</v>
      </c>
      <c r="P40" s="6" t="s">
        <v>350</v>
      </c>
    </row>
    <row r="41" customFormat="false" ht="32.8" hidden="false" customHeight="false" outlineLevel="0" collapsed="false">
      <c r="A41" s="6" t="s">
        <v>671</v>
      </c>
      <c r="B41" s="6" t="s">
        <v>672</v>
      </c>
      <c r="C41" s="6" t="s">
        <v>656</v>
      </c>
      <c r="D41" s="6" t="s">
        <v>673</v>
      </c>
      <c r="E41" s="7" t="s">
        <v>252</v>
      </c>
      <c r="F41" s="6" t="s">
        <v>674</v>
      </c>
      <c r="G41" s="7" t="n">
        <v>0</v>
      </c>
      <c r="H41" s="10" t="str">
        <f aca="false">IF(E41="N","-",IF(G41=0,"Not started",IF(G41&lt;=2,"Partial","Implemented")))</f>
        <v>Not started</v>
      </c>
      <c r="I41" s="6" t="s">
        <v>675</v>
      </c>
      <c r="J41" s="6" t="s">
        <v>117</v>
      </c>
      <c r="K41" s="6" t="s">
        <v>676</v>
      </c>
      <c r="L41" s="6" t="s">
        <v>468</v>
      </c>
      <c r="M41" s="6" t="s">
        <v>529</v>
      </c>
      <c r="N41" s="6" t="s">
        <v>677</v>
      </c>
      <c r="O41" s="6" t="s">
        <v>678</v>
      </c>
      <c r="P41" s="6" t="s">
        <v>249</v>
      </c>
    </row>
    <row r="43" customFormat="false" ht="15" hidden="false" customHeight="false" outlineLevel="0" collapsed="false">
      <c r="A43" s="1" t="s">
        <v>679</v>
      </c>
      <c r="H43" s="8" t="n">
        <f aca="false">COUNTA(A4:A41)</f>
        <v>38</v>
      </c>
    </row>
    <row r="44" customFormat="false" ht="15" hidden="false" customHeight="false" outlineLevel="0" collapsed="false">
      <c r="A44" s="1" t="s">
        <v>680</v>
      </c>
      <c r="H44" s="8" t="n">
        <f aca="false">COUNTIF(E4:E41,"Y")</f>
        <v>26</v>
      </c>
    </row>
    <row r="45" customFormat="false" ht="15" hidden="false" customHeight="false" outlineLevel="0" collapsed="false">
      <c r="A45" s="1" t="s">
        <v>681</v>
      </c>
      <c r="H45" s="8" t="n">
        <f aca="false">COUNTIF(E4:E41,"N")</f>
        <v>12</v>
      </c>
    </row>
    <row r="46" customFormat="false" ht="15" hidden="false" customHeight="false" outlineLevel="0" collapsed="false">
      <c r="A46" s="1" t="s">
        <v>682</v>
      </c>
      <c r="H46" s="8" t="n">
        <f aca="false">COUNTIF(H4:H41,"Not started")</f>
        <v>10</v>
      </c>
    </row>
    <row r="47" customFormat="false" ht="15" hidden="false" customHeight="false" outlineLevel="0" collapsed="false">
      <c r="A47" s="1" t="s">
        <v>376</v>
      </c>
      <c r="H47" s="8" t="n">
        <f aca="false">COUNTIF(H4:H41,"Partial")</f>
        <v>16</v>
      </c>
    </row>
    <row r="48" customFormat="false" ht="15" hidden="false" customHeight="false" outlineLevel="0" collapsed="false">
      <c r="A48" s="1" t="s">
        <v>683</v>
      </c>
      <c r="H48" s="8" t="n">
        <f aca="false">COUNTIF(H4:H41,"Implemented")</f>
        <v>0</v>
      </c>
    </row>
    <row r="49" customFormat="false" ht="15" hidden="false" customHeight="false" outlineLevel="0" collapsed="false">
      <c r="A49" s="1" t="s">
        <v>684</v>
      </c>
      <c r="H49" s="11" t="n">
        <f aca="false">AVERAGEIF(E4:E41,"Y",G4:G41)</f>
        <v>0.769230769230769</v>
      </c>
    </row>
    <row r="50" customFormat="false" ht="15" hidden="false" customHeight="false" outlineLevel="0" collapsed="false">
      <c r="A50" s="1" t="s">
        <v>685</v>
      </c>
      <c r="H50" s="9" t="n">
        <f aca="false">(H48+0.5*H47)/H44</f>
        <v>0.307692307692308</v>
      </c>
    </row>
  </sheetData>
  <dataValidations count="2">
    <dataValidation allowBlank="false" errorStyle="stop" operator="between" showDropDown="false" showErrorMessage="false" showInputMessage="false" sqref="E4:E41" type="list">
      <formula1>"Y,N"</formula1>
      <formula2>0</formula2>
    </dataValidation>
    <dataValidation allowBlank="true" errorStyle="stop" operator="between" showDropDown="false" showErrorMessage="false" showInputMessage="false" sqref="G4:G41" type="whole">
      <formula1>0</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22"/>
    <col collapsed="false" customWidth="true" hidden="false" outlineLevel="0" max="4" min="4" style="0" width="10"/>
  </cols>
  <sheetData>
    <row r="1" customFormat="false" ht="15" hidden="false" customHeight="false" outlineLevel="0" collapsed="false">
      <c r="A1" s="4" t="s">
        <v>686</v>
      </c>
    </row>
    <row r="3" customFormat="false" ht="15" hidden="false" customHeight="false" outlineLevel="0" collapsed="false">
      <c r="A3" s="12" t="s">
        <v>687</v>
      </c>
      <c r="B3" s="12" t="s">
        <v>688</v>
      </c>
      <c r="C3" s="12" t="s">
        <v>689</v>
      </c>
      <c r="D3" s="12" t="s">
        <v>690</v>
      </c>
    </row>
    <row r="4" customFormat="false" ht="15" hidden="false" customHeight="false" outlineLevel="0" collapsed="false">
      <c r="A4" s="2" t="s">
        <v>691</v>
      </c>
      <c r="B4" s="2" t="s">
        <v>692</v>
      </c>
      <c r="C4" s="13" t="n">
        <f aca="false">04_Clauses!$D$37</f>
        <v>0.3</v>
      </c>
      <c r="D4" s="14" t="n">
        <v>0.6</v>
      </c>
    </row>
    <row r="5" customFormat="false" ht="15" hidden="false" customHeight="false" outlineLevel="0" collapsed="false">
      <c r="A5" s="2" t="s">
        <v>693</v>
      </c>
      <c r="B5" s="2" t="s">
        <v>694</v>
      </c>
      <c r="C5" s="13" t="n">
        <f aca="false">05_Annex_A!$H$50</f>
        <v>0.307692307692308</v>
      </c>
      <c r="D5" s="14" t="n">
        <v>0.4</v>
      </c>
    </row>
    <row r="6" customFormat="false" ht="15" hidden="false" customHeight="false" outlineLevel="0" collapsed="false">
      <c r="A6" s="2" t="s">
        <v>695</v>
      </c>
      <c r="B6" s="2" t="s">
        <v>696</v>
      </c>
      <c r="C6" s="13" t="n">
        <f aca="false">C4*D4+C5*D5</f>
        <v>0.303076923076923</v>
      </c>
      <c r="D6" s="2"/>
    </row>
    <row r="7" customFormat="false" ht="15" hidden="false" customHeight="false" outlineLevel="0" collapsed="false">
      <c r="A7" s="2" t="s">
        <v>697</v>
      </c>
      <c r="B7" s="2" t="s">
        <v>698</v>
      </c>
      <c r="C7" s="15" t="n">
        <f aca="false">04_Clauses!$D$38</f>
        <v>9</v>
      </c>
      <c r="D7" s="2"/>
    </row>
    <row r="8" customFormat="false" ht="15" hidden="false" customHeight="false" outlineLevel="0" collapsed="false">
      <c r="A8" s="2" t="s">
        <v>699</v>
      </c>
      <c r="B8" s="2" t="s">
        <v>700</v>
      </c>
      <c r="C8" s="15" t="str">
        <f aca="false">IF(AND(C6&gt;=0.85,C7=0),"Ready for Stage 1",IF(C6&gt;=0.6,"Ready within 90 days","Not ready"))</f>
        <v>Not ready</v>
      </c>
      <c r="D8" s="2"/>
    </row>
    <row r="9" customFormat="false" ht="15" hidden="false" customHeight="false" outlineLevel="0" collapsed="false">
      <c r="A9" s="2" t="s">
        <v>701</v>
      </c>
      <c r="B9" s="2" t="s">
        <v>702</v>
      </c>
      <c r="C9" s="15" t="str">
        <f aca="false">IF(C7&gt;0,"NO-GO","GO")</f>
        <v>NO-GO</v>
      </c>
      <c r="D9" s="2"/>
    </row>
    <row r="10" customFormat="false" ht="15" hidden="false" customHeight="false" outlineLevel="0" collapsed="false">
      <c r="A10" s="2" t="s">
        <v>703</v>
      </c>
      <c r="B10" s="2" t="s">
        <v>704</v>
      </c>
      <c r="C10" s="13" t="n">
        <f aca="false">0.6*C4+0.4*((05_Annex_A!$H$48+0.5*05_Annex_A!$H$47)/05_Annex_A!$H$43)</f>
        <v>0.264210526315789</v>
      </c>
      <c r="D1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26"/>
    <col collapsed="false" customWidth="true" hidden="false" outlineLevel="0" max="4" min="4" style="0" width="110"/>
  </cols>
  <sheetData>
    <row r="1" customFormat="false" ht="15" hidden="false" customHeight="false" outlineLevel="0" collapsed="false">
      <c r="A1" s="4" t="s">
        <v>705</v>
      </c>
    </row>
    <row r="3" customFormat="false" ht="15" hidden="false" customHeight="false" outlineLevel="0" collapsed="false">
      <c r="A3" s="5" t="s">
        <v>706</v>
      </c>
      <c r="B3" s="5" t="s">
        <v>707</v>
      </c>
      <c r="C3" s="5" t="s">
        <v>708</v>
      </c>
      <c r="D3" s="5" t="s">
        <v>709</v>
      </c>
    </row>
    <row r="4" customFormat="false" ht="15" hidden="false" customHeight="false" outlineLevel="0" collapsed="false">
      <c r="A4" s="6" t="s">
        <v>710</v>
      </c>
      <c r="B4" s="6" t="s">
        <v>711</v>
      </c>
      <c r="C4" s="6" t="s">
        <v>712</v>
      </c>
      <c r="D4" s="6" t="s">
        <v>713</v>
      </c>
    </row>
    <row r="5" customFormat="false" ht="15" hidden="false" customHeight="false" outlineLevel="0" collapsed="false">
      <c r="A5" s="6" t="s">
        <v>710</v>
      </c>
      <c r="B5" s="6" t="s">
        <v>711</v>
      </c>
      <c r="C5" s="6" t="s">
        <v>714</v>
      </c>
      <c r="D5" s="6" t="s">
        <v>715</v>
      </c>
    </row>
    <row r="6" customFormat="false" ht="15" hidden="false" customHeight="false" outlineLevel="0" collapsed="false">
      <c r="A6" s="6" t="s">
        <v>710</v>
      </c>
      <c r="B6" s="6" t="s">
        <v>711</v>
      </c>
      <c r="C6" s="6" t="s">
        <v>716</v>
      </c>
      <c r="D6" s="6" t="s">
        <v>717</v>
      </c>
    </row>
    <row r="7" customFormat="false" ht="15" hidden="false" customHeight="false" outlineLevel="0" collapsed="false">
      <c r="A7" s="6" t="s">
        <v>710</v>
      </c>
      <c r="B7" s="6" t="s">
        <v>718</v>
      </c>
      <c r="C7" s="6" t="s">
        <v>719</v>
      </c>
      <c r="D7" s="6" t="s">
        <v>720</v>
      </c>
    </row>
    <row r="8" customFormat="false" ht="15" hidden="false" customHeight="false" outlineLevel="0" collapsed="false">
      <c r="A8" s="6" t="s">
        <v>710</v>
      </c>
      <c r="B8" s="6" t="s">
        <v>718</v>
      </c>
      <c r="C8" s="6" t="s">
        <v>721</v>
      </c>
      <c r="D8" s="6" t="s">
        <v>722</v>
      </c>
    </row>
    <row r="9" customFormat="false" ht="15" hidden="false" customHeight="false" outlineLevel="0" collapsed="false">
      <c r="A9" s="6" t="s">
        <v>710</v>
      </c>
      <c r="B9" s="6" t="s">
        <v>723</v>
      </c>
      <c r="C9" s="6" t="s">
        <v>31</v>
      </c>
      <c r="D9" s="6" t="s">
        <v>724</v>
      </c>
    </row>
    <row r="10" customFormat="false" ht="15" hidden="false" customHeight="false" outlineLevel="0" collapsed="false">
      <c r="A10" s="6" t="s">
        <v>710</v>
      </c>
      <c r="B10" s="6" t="s">
        <v>723</v>
      </c>
      <c r="C10" s="6" t="s">
        <v>32</v>
      </c>
      <c r="D10" s="6" t="s">
        <v>725</v>
      </c>
    </row>
    <row r="11" customFormat="false" ht="15" hidden="false" customHeight="false" outlineLevel="0" collapsed="false">
      <c r="A11" s="6" t="s">
        <v>710</v>
      </c>
      <c r="B11" s="6" t="s">
        <v>723</v>
      </c>
      <c r="C11" s="6" t="s">
        <v>726</v>
      </c>
      <c r="D11" s="6" t="s">
        <v>727</v>
      </c>
    </row>
    <row r="12" customFormat="false" ht="15" hidden="false" customHeight="false" outlineLevel="0" collapsed="false">
      <c r="A12" s="6" t="s">
        <v>710</v>
      </c>
      <c r="B12" s="6" t="s">
        <v>728</v>
      </c>
      <c r="C12" s="6" t="s">
        <v>729</v>
      </c>
      <c r="D12" s="6" t="s">
        <v>730</v>
      </c>
    </row>
    <row r="13" customFormat="false" ht="15" hidden="false" customHeight="false" outlineLevel="0" collapsed="false">
      <c r="A13" s="6" t="s">
        <v>710</v>
      </c>
      <c r="B13" s="6" t="s">
        <v>731</v>
      </c>
      <c r="C13" s="6" t="s">
        <v>42</v>
      </c>
      <c r="D13" s="6" t="s">
        <v>732</v>
      </c>
    </row>
    <row r="14" customFormat="false" ht="15" hidden="false" customHeight="false" outlineLevel="0" collapsed="false">
      <c r="A14" s="6" t="s">
        <v>710</v>
      </c>
      <c r="B14" s="6" t="s">
        <v>731</v>
      </c>
      <c r="C14" s="6" t="s">
        <v>733</v>
      </c>
      <c r="D14" s="6" t="s">
        <v>734</v>
      </c>
    </row>
    <row r="15" customFormat="false" ht="15" hidden="false" customHeight="false" outlineLevel="0" collapsed="false">
      <c r="A15" s="6" t="s">
        <v>710</v>
      </c>
      <c r="B15" s="6" t="s">
        <v>735</v>
      </c>
      <c r="C15" s="6" t="s">
        <v>736</v>
      </c>
      <c r="D15" s="6" t="s">
        <v>737</v>
      </c>
    </row>
    <row r="16" customFormat="false" ht="15" hidden="false" customHeight="false" outlineLevel="0" collapsed="false">
      <c r="A16" s="6" t="s">
        <v>710</v>
      </c>
      <c r="B16" s="6" t="s">
        <v>735</v>
      </c>
      <c r="C16" s="6" t="s">
        <v>738</v>
      </c>
      <c r="D16" s="6" t="s">
        <v>739</v>
      </c>
    </row>
    <row r="17" customFormat="false" ht="15" hidden="false" customHeight="false" outlineLevel="0" collapsed="false">
      <c r="A17" s="6" t="s">
        <v>710</v>
      </c>
      <c r="B17" s="6" t="s">
        <v>735</v>
      </c>
      <c r="C17" s="6" t="s">
        <v>740</v>
      </c>
      <c r="D17" s="6" t="s">
        <v>741</v>
      </c>
    </row>
    <row r="18" customFormat="false" ht="15" hidden="false" customHeight="false" outlineLevel="0" collapsed="false">
      <c r="A18" s="6" t="s">
        <v>710</v>
      </c>
      <c r="B18" s="6" t="s">
        <v>735</v>
      </c>
      <c r="C18" s="6" t="s">
        <v>742</v>
      </c>
      <c r="D18" s="6" t="s">
        <v>743</v>
      </c>
    </row>
    <row r="19" customFormat="false" ht="15" hidden="false" customHeight="false" outlineLevel="0" collapsed="false">
      <c r="A19" s="6" t="s">
        <v>710</v>
      </c>
      <c r="B19" s="6" t="s">
        <v>744</v>
      </c>
      <c r="C19" s="6" t="s">
        <v>745</v>
      </c>
      <c r="D19" s="6" t="s">
        <v>746</v>
      </c>
    </row>
    <row r="20" customFormat="false" ht="22.35" hidden="false" customHeight="false" outlineLevel="0" collapsed="false">
      <c r="A20" s="6" t="s">
        <v>710</v>
      </c>
      <c r="B20" s="6" t="s">
        <v>747</v>
      </c>
      <c r="C20" s="6" t="s">
        <v>748</v>
      </c>
      <c r="D20" s="6" t="s">
        <v>749</v>
      </c>
    </row>
    <row r="21" customFormat="false" ht="15" hidden="false" customHeight="false" outlineLevel="0" collapsed="false">
      <c r="A21" s="6" t="s">
        <v>750</v>
      </c>
      <c r="B21" s="6" t="s">
        <v>711</v>
      </c>
      <c r="C21" s="6" t="s">
        <v>712</v>
      </c>
      <c r="D21" s="6" t="s">
        <v>751</v>
      </c>
    </row>
    <row r="22" customFormat="false" ht="15" hidden="false" customHeight="false" outlineLevel="0" collapsed="false">
      <c r="A22" s="6" t="s">
        <v>750</v>
      </c>
      <c r="B22" s="6" t="s">
        <v>711</v>
      </c>
      <c r="C22" s="6" t="s">
        <v>714</v>
      </c>
      <c r="D22" s="6" t="s">
        <v>752</v>
      </c>
    </row>
    <row r="23" customFormat="false" ht="15" hidden="false" customHeight="false" outlineLevel="0" collapsed="false">
      <c r="A23" s="6" t="s">
        <v>750</v>
      </c>
      <c r="B23" s="6" t="s">
        <v>711</v>
      </c>
      <c r="C23" s="6" t="s">
        <v>716</v>
      </c>
      <c r="D23" s="6" t="s">
        <v>753</v>
      </c>
    </row>
    <row r="24" customFormat="false" ht="15" hidden="false" customHeight="false" outlineLevel="0" collapsed="false">
      <c r="A24" s="6" t="s">
        <v>750</v>
      </c>
      <c r="B24" s="6" t="s">
        <v>718</v>
      </c>
      <c r="C24" s="6" t="s">
        <v>719</v>
      </c>
      <c r="D24" s="6" t="s">
        <v>754</v>
      </c>
    </row>
    <row r="25" customFormat="false" ht="15" hidden="false" customHeight="false" outlineLevel="0" collapsed="false">
      <c r="A25" s="6" t="s">
        <v>750</v>
      </c>
      <c r="B25" s="6" t="s">
        <v>718</v>
      </c>
      <c r="C25" s="6" t="s">
        <v>721</v>
      </c>
      <c r="D25" s="6" t="s">
        <v>755</v>
      </c>
    </row>
    <row r="26" customFormat="false" ht="22.35" hidden="false" customHeight="false" outlineLevel="0" collapsed="false">
      <c r="A26" s="6" t="s">
        <v>750</v>
      </c>
      <c r="B26" s="6" t="s">
        <v>723</v>
      </c>
      <c r="C26" s="6" t="s">
        <v>31</v>
      </c>
      <c r="D26" s="6" t="s">
        <v>756</v>
      </c>
    </row>
    <row r="27" customFormat="false" ht="15" hidden="false" customHeight="false" outlineLevel="0" collapsed="false">
      <c r="A27" s="6" t="s">
        <v>750</v>
      </c>
      <c r="B27" s="6" t="s">
        <v>723</v>
      </c>
      <c r="C27" s="6" t="s">
        <v>32</v>
      </c>
      <c r="D27" s="6" t="s">
        <v>757</v>
      </c>
    </row>
    <row r="28" customFormat="false" ht="15" hidden="false" customHeight="false" outlineLevel="0" collapsed="false">
      <c r="A28" s="6" t="s">
        <v>750</v>
      </c>
      <c r="B28" s="6" t="s">
        <v>723</v>
      </c>
      <c r="C28" s="6" t="s">
        <v>726</v>
      </c>
      <c r="D28" s="6" t="s">
        <v>758</v>
      </c>
    </row>
    <row r="29" customFormat="false" ht="15" hidden="false" customHeight="false" outlineLevel="0" collapsed="false">
      <c r="A29" s="6" t="s">
        <v>750</v>
      </c>
      <c r="B29" s="6" t="s">
        <v>728</v>
      </c>
      <c r="C29" s="6" t="s">
        <v>729</v>
      </c>
      <c r="D29" s="6" t="s">
        <v>759</v>
      </c>
    </row>
    <row r="30" customFormat="false" ht="15" hidden="false" customHeight="false" outlineLevel="0" collapsed="false">
      <c r="A30" s="6" t="s">
        <v>750</v>
      </c>
      <c r="B30" s="6" t="s">
        <v>731</v>
      </c>
      <c r="C30" s="6" t="s">
        <v>42</v>
      </c>
      <c r="D30" s="6" t="s">
        <v>760</v>
      </c>
    </row>
    <row r="31" customFormat="false" ht="15" hidden="false" customHeight="false" outlineLevel="0" collapsed="false">
      <c r="A31" s="6" t="s">
        <v>750</v>
      </c>
      <c r="B31" s="6" t="s">
        <v>731</v>
      </c>
      <c r="C31" s="6" t="s">
        <v>733</v>
      </c>
      <c r="D31" s="6" t="s">
        <v>761</v>
      </c>
    </row>
    <row r="32" customFormat="false" ht="15" hidden="false" customHeight="false" outlineLevel="0" collapsed="false">
      <c r="A32" s="6" t="s">
        <v>750</v>
      </c>
      <c r="B32" s="6" t="s">
        <v>735</v>
      </c>
      <c r="C32" s="6" t="s">
        <v>736</v>
      </c>
      <c r="D32" s="6" t="s">
        <v>762</v>
      </c>
    </row>
    <row r="33" customFormat="false" ht="15" hidden="false" customHeight="false" outlineLevel="0" collapsed="false">
      <c r="A33" s="6" t="s">
        <v>750</v>
      </c>
      <c r="B33" s="6" t="s">
        <v>735</v>
      </c>
      <c r="C33" s="6" t="s">
        <v>738</v>
      </c>
      <c r="D33" s="6" t="s">
        <v>763</v>
      </c>
    </row>
    <row r="34" customFormat="false" ht="15" hidden="false" customHeight="false" outlineLevel="0" collapsed="false">
      <c r="A34" s="6" t="s">
        <v>750</v>
      </c>
      <c r="B34" s="6" t="s">
        <v>735</v>
      </c>
      <c r="C34" s="6" t="s">
        <v>740</v>
      </c>
      <c r="D34" s="6" t="s">
        <v>764</v>
      </c>
    </row>
    <row r="35" customFormat="false" ht="15" hidden="false" customHeight="false" outlineLevel="0" collapsed="false">
      <c r="A35" s="6" t="s">
        <v>750</v>
      </c>
      <c r="B35" s="6" t="s">
        <v>735</v>
      </c>
      <c r="C35" s="6" t="s">
        <v>742</v>
      </c>
      <c r="D35" s="6" t="s">
        <v>765</v>
      </c>
    </row>
    <row r="36" customFormat="false" ht="15" hidden="false" customHeight="false" outlineLevel="0" collapsed="false">
      <c r="A36" s="6" t="s">
        <v>750</v>
      </c>
      <c r="B36" s="6" t="s">
        <v>744</v>
      </c>
      <c r="C36" s="6" t="s">
        <v>745</v>
      </c>
      <c r="D36" s="6" t="s">
        <v>766</v>
      </c>
    </row>
    <row r="37" customFormat="false" ht="22.35" hidden="false" customHeight="false" outlineLevel="0" collapsed="false">
      <c r="A37" s="6" t="s">
        <v>750</v>
      </c>
      <c r="B37" s="6" t="s">
        <v>747</v>
      </c>
      <c r="C37" s="6" t="s">
        <v>748</v>
      </c>
      <c r="D37" s="6" t="s">
        <v>767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4"/>
    <col collapsed="false" customWidth="true" hidden="false" outlineLevel="0" max="4" min="4" style="0" width="26"/>
    <col collapsed="false" customWidth="true" hidden="false" outlineLevel="0" max="6" min="5" style="0" width="9"/>
    <col collapsed="false" customWidth="true" hidden="false" outlineLevel="0" max="7" min="7" style="0" width="11"/>
    <col collapsed="false" customWidth="true" hidden="false" outlineLevel="0" max="8" min="8" style="0" width="46"/>
    <col collapsed="false" customWidth="true" hidden="false" outlineLevel="0" max="9" min="9" style="0" width="10"/>
    <col collapsed="false" customWidth="true" hidden="false" outlineLevel="0" max="11" min="10" style="0" width="9"/>
    <col collapsed="false" customWidth="true" hidden="false" outlineLevel="0" max="12" min="12" style="0" width="11"/>
  </cols>
  <sheetData>
    <row r="1" customFormat="false" ht="15" hidden="false" customHeight="false" outlineLevel="0" collapsed="false">
      <c r="A1" s="4" t="s">
        <v>768</v>
      </c>
    </row>
    <row r="3" customFormat="false" ht="22.35" hidden="false" customHeight="false" outlineLevel="0" collapsed="false">
      <c r="A3" s="5" t="s">
        <v>706</v>
      </c>
      <c r="B3" s="5" t="s">
        <v>769</v>
      </c>
      <c r="C3" s="5" t="s">
        <v>770</v>
      </c>
      <c r="D3" s="5" t="s">
        <v>771</v>
      </c>
      <c r="E3" s="5" t="s">
        <v>772</v>
      </c>
      <c r="F3" s="5" t="s">
        <v>773</v>
      </c>
      <c r="G3" s="5" t="s">
        <v>774</v>
      </c>
      <c r="H3" s="5" t="s">
        <v>775</v>
      </c>
      <c r="I3" s="5" t="s">
        <v>776</v>
      </c>
      <c r="J3" s="5" t="s">
        <v>777</v>
      </c>
      <c r="K3" s="5" t="s">
        <v>778</v>
      </c>
      <c r="L3" s="5" t="s">
        <v>779</v>
      </c>
    </row>
    <row r="4" customFormat="false" ht="43.25" hidden="false" customHeight="false" outlineLevel="0" collapsed="false">
      <c r="A4" s="6" t="s">
        <v>710</v>
      </c>
      <c r="B4" s="6" t="s">
        <v>780</v>
      </c>
      <c r="C4" s="6" t="s">
        <v>781</v>
      </c>
      <c r="D4" s="6" t="s">
        <v>782</v>
      </c>
      <c r="E4" s="7" t="n">
        <v>4</v>
      </c>
      <c r="F4" s="7" t="n">
        <v>4</v>
      </c>
      <c r="G4" s="10" t="n">
        <f aca="false">E4*F4</f>
        <v>16</v>
      </c>
      <c r="H4" s="6" t="s">
        <v>783</v>
      </c>
      <c r="I4" s="6" t="s">
        <v>784</v>
      </c>
      <c r="J4" s="7" t="n">
        <v>2</v>
      </c>
      <c r="K4" s="7" t="n">
        <v>3</v>
      </c>
      <c r="L4" s="10" t="n">
        <f aca="false">J4*K4</f>
        <v>6</v>
      </c>
    </row>
    <row r="5" customFormat="false" ht="32.8" hidden="false" customHeight="false" outlineLevel="0" collapsed="false">
      <c r="A5" s="6" t="s">
        <v>710</v>
      </c>
      <c r="B5" s="6" t="s">
        <v>785</v>
      </c>
      <c r="C5" s="6" t="s">
        <v>786</v>
      </c>
      <c r="D5" s="6" t="s">
        <v>672</v>
      </c>
      <c r="E5" s="7" t="n">
        <v>3</v>
      </c>
      <c r="F5" s="7" t="n">
        <v>3</v>
      </c>
      <c r="G5" s="10" t="n">
        <f aca="false">E5*F5</f>
        <v>9</v>
      </c>
      <c r="H5" s="6" t="s">
        <v>787</v>
      </c>
      <c r="I5" s="6" t="s">
        <v>788</v>
      </c>
      <c r="J5" s="7" t="n">
        <v>2</v>
      </c>
      <c r="K5" s="7" t="n">
        <v>3</v>
      </c>
      <c r="L5" s="10" t="n">
        <f aca="false">J5*K5</f>
        <v>6</v>
      </c>
    </row>
    <row r="6" customFormat="false" ht="22.35" hidden="false" customHeight="false" outlineLevel="0" collapsed="false">
      <c r="A6" s="6" t="s">
        <v>710</v>
      </c>
      <c r="B6" s="6" t="s">
        <v>789</v>
      </c>
      <c r="C6" s="6" t="s">
        <v>790</v>
      </c>
      <c r="D6" s="6" t="s">
        <v>791</v>
      </c>
      <c r="E6" s="7" t="n">
        <v>4</v>
      </c>
      <c r="F6" s="7" t="n">
        <v>2</v>
      </c>
      <c r="G6" s="10" t="n">
        <f aca="false">E6*F6</f>
        <v>8</v>
      </c>
      <c r="H6" s="6" t="s">
        <v>792</v>
      </c>
      <c r="I6" s="6" t="s">
        <v>793</v>
      </c>
      <c r="J6" s="7" t="n">
        <v>1</v>
      </c>
      <c r="K6" s="7" t="n">
        <v>2</v>
      </c>
      <c r="L6" s="10" t="n">
        <f aca="false">J6*K6</f>
        <v>2</v>
      </c>
    </row>
    <row r="7" customFormat="false" ht="22.35" hidden="false" customHeight="false" outlineLevel="0" collapsed="false">
      <c r="A7" s="6" t="s">
        <v>710</v>
      </c>
      <c r="B7" s="6" t="s">
        <v>794</v>
      </c>
      <c r="C7" s="6" t="s">
        <v>795</v>
      </c>
      <c r="D7" s="6" t="s">
        <v>796</v>
      </c>
      <c r="E7" s="7" t="n">
        <v>2</v>
      </c>
      <c r="F7" s="7" t="n">
        <v>4</v>
      </c>
      <c r="G7" s="10" t="n">
        <f aca="false">E7*F7</f>
        <v>8</v>
      </c>
      <c r="H7" s="6" t="s">
        <v>797</v>
      </c>
      <c r="I7" s="6" t="s">
        <v>793</v>
      </c>
      <c r="J7" s="7" t="n">
        <v>1</v>
      </c>
      <c r="K7" s="7" t="n">
        <v>4</v>
      </c>
      <c r="L7" s="10" t="n">
        <f aca="false">J7*K7</f>
        <v>4</v>
      </c>
    </row>
    <row r="8" customFormat="false" ht="22.35" hidden="false" customHeight="false" outlineLevel="0" collapsed="false">
      <c r="A8" s="6" t="s">
        <v>750</v>
      </c>
      <c r="B8" s="6" t="s">
        <v>780</v>
      </c>
      <c r="C8" s="6" t="s">
        <v>798</v>
      </c>
      <c r="D8" s="6" t="s">
        <v>799</v>
      </c>
      <c r="E8" s="7" t="n">
        <v>4</v>
      </c>
      <c r="F8" s="7" t="n">
        <v>4</v>
      </c>
      <c r="G8" s="10" t="n">
        <f aca="false">E8*F8</f>
        <v>16</v>
      </c>
      <c r="H8" s="6" t="s">
        <v>800</v>
      </c>
      <c r="I8" s="6" t="s">
        <v>793</v>
      </c>
      <c r="J8" s="7" t="n">
        <v>1</v>
      </c>
      <c r="K8" s="7" t="n">
        <v>4</v>
      </c>
      <c r="L8" s="10" t="n">
        <f aca="false">J8*K8</f>
        <v>4</v>
      </c>
    </row>
    <row r="9" customFormat="false" ht="22.35" hidden="false" customHeight="false" outlineLevel="0" collapsed="false">
      <c r="A9" s="6" t="s">
        <v>750</v>
      </c>
      <c r="B9" s="6" t="s">
        <v>785</v>
      </c>
      <c r="C9" s="6" t="s">
        <v>801</v>
      </c>
      <c r="D9" s="6" t="s">
        <v>802</v>
      </c>
      <c r="E9" s="7" t="n">
        <v>3</v>
      </c>
      <c r="F9" s="7" t="n">
        <v>2</v>
      </c>
      <c r="G9" s="10" t="n">
        <f aca="false">E9*F9</f>
        <v>6</v>
      </c>
      <c r="H9" s="6" t="s">
        <v>803</v>
      </c>
      <c r="I9" s="6" t="s">
        <v>793</v>
      </c>
      <c r="J9" s="7" t="n">
        <v>1</v>
      </c>
      <c r="K9" s="7" t="n">
        <v>2</v>
      </c>
      <c r="L9" s="10" t="n">
        <f aca="false">J9*K9</f>
        <v>2</v>
      </c>
    </row>
    <row r="10" customFormat="false" ht="15" hidden="false" customHeight="false" outlineLevel="0" collapsed="false">
      <c r="A10" s="6" t="s">
        <v>750</v>
      </c>
      <c r="B10" s="6" t="s">
        <v>789</v>
      </c>
      <c r="C10" s="6" t="s">
        <v>804</v>
      </c>
      <c r="D10" s="6" t="s">
        <v>805</v>
      </c>
      <c r="E10" s="7" t="n">
        <v>2</v>
      </c>
      <c r="F10" s="7" t="n">
        <v>3</v>
      </c>
      <c r="G10" s="10" t="n">
        <f aca="false">E10*F10</f>
        <v>6</v>
      </c>
      <c r="H10" s="6" t="s">
        <v>806</v>
      </c>
      <c r="I10" s="6" t="s">
        <v>793</v>
      </c>
      <c r="J10" s="7" t="n">
        <v>1</v>
      </c>
      <c r="K10" s="7" t="n">
        <v>3</v>
      </c>
      <c r="L10" s="10" t="n">
        <f aca="false">J10*K10</f>
        <v>3</v>
      </c>
    </row>
    <row r="11" customFormat="false" ht="22.35" hidden="false" customHeight="false" outlineLevel="0" collapsed="false">
      <c r="A11" s="6" t="s">
        <v>750</v>
      </c>
      <c r="B11" s="6" t="s">
        <v>794</v>
      </c>
      <c r="C11" s="6" t="s">
        <v>807</v>
      </c>
      <c r="D11" s="6" t="s">
        <v>808</v>
      </c>
      <c r="E11" s="7" t="n">
        <v>3</v>
      </c>
      <c r="F11" s="7" t="n">
        <v>3</v>
      </c>
      <c r="G11" s="10" t="n">
        <f aca="false">E11*F11</f>
        <v>9</v>
      </c>
      <c r="H11" s="6" t="s">
        <v>809</v>
      </c>
      <c r="I11" s="6" t="s">
        <v>793</v>
      </c>
      <c r="J11" s="7" t="n">
        <v>2</v>
      </c>
      <c r="K11" s="7" t="n">
        <v>3</v>
      </c>
      <c r="L11" s="10" t="n">
        <f aca="false">J11*K11</f>
        <v>6</v>
      </c>
    </row>
    <row r="13" customFormat="false" ht="15" hidden="false" customHeight="false" outlineLevel="0" collapsed="false">
      <c r="A13" s="1" t="s">
        <v>810</v>
      </c>
      <c r="L13" s="8" t="n">
        <f aca="false">SUMPRODUCT(--(L4:L11&gt;G4:G11))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30"/>
  </cols>
  <sheetData>
    <row r="1" customFormat="false" ht="15" hidden="false" customHeight="false" outlineLevel="0" collapsed="false">
      <c r="A1" s="4" t="s">
        <v>811</v>
      </c>
    </row>
    <row r="3" customFormat="false" ht="15" hidden="false" customHeight="false" outlineLevel="0" collapsed="false">
      <c r="A3" s="5" t="s">
        <v>812</v>
      </c>
      <c r="B3" s="5" t="s">
        <v>813</v>
      </c>
      <c r="C3" s="5" t="s">
        <v>814</v>
      </c>
      <c r="D3" s="5" t="s">
        <v>815</v>
      </c>
    </row>
    <row r="4" customFormat="false" ht="15" hidden="false" customHeight="false" outlineLevel="0" collapsed="false">
      <c r="A4" s="6" t="s">
        <v>816</v>
      </c>
      <c r="B4" s="6" t="s">
        <v>151</v>
      </c>
      <c r="C4" s="6" t="s">
        <v>151</v>
      </c>
      <c r="D4" s="6" t="s">
        <v>151</v>
      </c>
    </row>
    <row r="5" customFormat="false" ht="15" hidden="false" customHeight="false" outlineLevel="0" collapsed="false">
      <c r="A5" s="6" t="s">
        <v>817</v>
      </c>
      <c r="B5" s="6" t="s">
        <v>151</v>
      </c>
      <c r="C5" s="6" t="s">
        <v>151</v>
      </c>
      <c r="D5" s="6" t="s">
        <v>151</v>
      </c>
    </row>
    <row r="6" customFormat="false" ht="15" hidden="false" customHeight="false" outlineLevel="0" collapsed="false">
      <c r="A6" s="6" t="s">
        <v>818</v>
      </c>
      <c r="B6" s="6" t="s">
        <v>819</v>
      </c>
      <c r="C6" s="6" t="s">
        <v>151</v>
      </c>
      <c r="D6" s="6" t="s">
        <v>151</v>
      </c>
    </row>
    <row r="7" customFormat="false" ht="15" hidden="false" customHeight="false" outlineLevel="0" collapsed="false">
      <c r="A7" s="6" t="s">
        <v>820</v>
      </c>
      <c r="B7" s="6" t="s">
        <v>821</v>
      </c>
      <c r="C7" s="6" t="s">
        <v>821</v>
      </c>
      <c r="D7" s="6" t="s">
        <v>822</v>
      </c>
    </row>
    <row r="8" customFormat="false" ht="15" hidden="false" customHeight="false" outlineLevel="0" collapsed="false">
      <c r="A8" s="6" t="s">
        <v>823</v>
      </c>
      <c r="B8" s="6" t="s">
        <v>151</v>
      </c>
      <c r="C8" s="6" t="s">
        <v>151</v>
      </c>
      <c r="D8" s="6" t="s">
        <v>151</v>
      </c>
    </row>
    <row r="9" customFormat="false" ht="15" hidden="false" customHeight="false" outlineLevel="0" collapsed="false">
      <c r="A9" s="6" t="s">
        <v>824</v>
      </c>
      <c r="B9" s="6" t="s">
        <v>151</v>
      </c>
      <c r="C9" s="6" t="s">
        <v>151</v>
      </c>
      <c r="D9" s="6" t="s">
        <v>151</v>
      </c>
    </row>
    <row r="10" customFormat="false" ht="15" hidden="false" customHeight="false" outlineLevel="0" collapsed="false">
      <c r="A10" s="6" t="s">
        <v>825</v>
      </c>
      <c r="B10" s="6" t="s">
        <v>159</v>
      </c>
      <c r="C10" s="6" t="s">
        <v>159</v>
      </c>
      <c r="D10" s="6" t="s">
        <v>159</v>
      </c>
    </row>
    <row r="11" customFormat="false" ht="15" hidden="false" customHeight="false" outlineLevel="0" collapsed="false">
      <c r="A11" s="6" t="s">
        <v>826</v>
      </c>
      <c r="B11" s="6" t="s">
        <v>159</v>
      </c>
      <c r="C11" s="6" t="s">
        <v>159</v>
      </c>
      <c r="D11" s="6" t="s">
        <v>159</v>
      </c>
    </row>
    <row r="12" customFormat="false" ht="15" hidden="false" customHeight="false" outlineLevel="0" collapsed="false">
      <c r="A12" s="6" t="s">
        <v>827</v>
      </c>
      <c r="B12" s="6" t="s">
        <v>151</v>
      </c>
      <c r="C12" s="6" t="s">
        <v>151</v>
      </c>
      <c r="D12" s="6" t="s">
        <v>151</v>
      </c>
    </row>
    <row r="13" customFormat="false" ht="15" hidden="false" customHeight="false" outlineLevel="0" collapsed="false">
      <c r="A13" s="6" t="s">
        <v>828</v>
      </c>
      <c r="B13" s="10" t="n">
        <f aca="false">COUNTIF(B4:B12,"Yes*")</f>
        <v>4</v>
      </c>
      <c r="C13" s="10" t="n">
        <f aca="false">COUNTIF(C4:C12,"Yes*")</f>
        <v>3</v>
      </c>
      <c r="D13" s="10" t="n">
        <f aca="false">COUNTIF(D4:D12,"Yes*")</f>
        <v>3</v>
      </c>
    </row>
    <row r="14" customFormat="false" ht="15" hidden="false" customHeight="false" outlineLevel="0" collapsed="false">
      <c r="A14" s="6" t="s">
        <v>689</v>
      </c>
      <c r="B14" s="10" t="str">
        <f aca="false">IF(B13&gt;=2,"DPIA required","No DPIA")</f>
        <v>DPIA required</v>
      </c>
      <c r="C14" s="10" t="str">
        <f aca="false">IF(C13&gt;=2,"DPIA required","No DPIA")</f>
        <v>DPIA required</v>
      </c>
      <c r="D14" s="10" t="str">
        <f aca="false">IF(D13&gt;=2,"DPIA required","No DPIA")</f>
        <v>DPIA required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4"/>
    <col collapsed="false" customWidth="true" hidden="false" outlineLevel="0" max="4" min="4" style="0" width="50"/>
    <col collapsed="false" customWidth="true" hidden="false" outlineLevel="0" max="6" min="5" style="0" width="34"/>
    <col collapsed="false" customWidth="true" hidden="false" outlineLevel="0" max="7" min="7" style="0" width="50"/>
    <col collapsed="false" customWidth="true" hidden="false" outlineLevel="0" max="8" min="8" style="0" width="7"/>
    <col collapsed="false" customWidth="true" hidden="false" outlineLevel="0" max="9" min="9" style="0" width="20"/>
    <col collapsed="false" customWidth="true" hidden="false" outlineLevel="0" max="10" min="10" style="0" width="13"/>
    <col collapsed="false" customWidth="true" hidden="false" outlineLevel="0" max="11" min="11" style="0" width="11"/>
    <col collapsed="false" customWidth="true" hidden="false" outlineLevel="0" max="12" min="12" style="0" width="22"/>
    <col collapsed="false" customWidth="true" hidden="false" outlineLevel="0" max="13" min="13" style="0" width="16"/>
    <col collapsed="false" customWidth="true" hidden="false" outlineLevel="0" max="14" min="14" style="0" width="10"/>
  </cols>
  <sheetData>
    <row r="1" customFormat="false" ht="15" hidden="false" customHeight="false" outlineLevel="0" collapsed="false">
      <c r="A1" s="4" t="s">
        <v>829</v>
      </c>
    </row>
    <row r="3" customFormat="false" ht="22.35" hidden="false" customHeight="false" outlineLevel="0" collapsed="false">
      <c r="A3" s="5" t="s">
        <v>830</v>
      </c>
      <c r="B3" s="5" t="s">
        <v>831</v>
      </c>
      <c r="C3" s="5" t="s">
        <v>438</v>
      </c>
      <c r="D3" s="5" t="s">
        <v>832</v>
      </c>
      <c r="E3" s="5" t="s">
        <v>833</v>
      </c>
      <c r="F3" s="5" t="s">
        <v>834</v>
      </c>
      <c r="G3" s="5" t="s">
        <v>835</v>
      </c>
      <c r="H3" s="5" t="s">
        <v>836</v>
      </c>
      <c r="I3" s="5" t="s">
        <v>229</v>
      </c>
      <c r="J3" s="5" t="s">
        <v>231</v>
      </c>
      <c r="K3" s="5" t="s">
        <v>837</v>
      </c>
      <c r="L3" s="5" t="s">
        <v>838</v>
      </c>
      <c r="M3" s="5" t="s">
        <v>839</v>
      </c>
      <c r="N3" s="5" t="s">
        <v>14</v>
      </c>
    </row>
    <row r="4" customFormat="false" ht="43.25" hidden="false" customHeight="false" outlineLevel="0" collapsed="false">
      <c r="A4" s="6" t="s">
        <v>840</v>
      </c>
      <c r="B4" s="6" t="s">
        <v>841</v>
      </c>
      <c r="C4" s="6" t="s">
        <v>842</v>
      </c>
      <c r="D4" s="6" t="s">
        <v>843</v>
      </c>
      <c r="E4" s="6" t="s">
        <v>844</v>
      </c>
      <c r="F4" s="6" t="s">
        <v>845</v>
      </c>
      <c r="G4" s="6" t="s">
        <v>846</v>
      </c>
      <c r="H4" s="6" t="s">
        <v>847</v>
      </c>
      <c r="I4" s="6" t="s">
        <v>53</v>
      </c>
      <c r="J4" s="6" t="s">
        <v>378</v>
      </c>
      <c r="K4" s="6" t="s">
        <v>431</v>
      </c>
      <c r="L4" s="6" t="s">
        <v>848</v>
      </c>
      <c r="M4" s="6" t="s">
        <v>47</v>
      </c>
      <c r="N4" s="6" t="s">
        <v>849</v>
      </c>
    </row>
    <row r="5" customFormat="false" ht="43.25" hidden="false" customHeight="false" outlineLevel="0" collapsed="false">
      <c r="A5" s="6" t="s">
        <v>850</v>
      </c>
      <c r="B5" s="6" t="s">
        <v>851</v>
      </c>
      <c r="C5" s="6" t="s">
        <v>852</v>
      </c>
      <c r="D5" s="6" t="s">
        <v>853</v>
      </c>
      <c r="E5" s="6" t="s">
        <v>854</v>
      </c>
      <c r="F5" s="6" t="s">
        <v>855</v>
      </c>
      <c r="G5" s="6" t="s">
        <v>856</v>
      </c>
      <c r="H5" s="6" t="s">
        <v>847</v>
      </c>
      <c r="I5" s="6" t="s">
        <v>117</v>
      </c>
      <c r="J5" s="6" t="s">
        <v>378</v>
      </c>
      <c r="K5" s="6" t="s">
        <v>857</v>
      </c>
      <c r="L5" s="6" t="s">
        <v>660</v>
      </c>
      <c r="M5" s="6" t="s">
        <v>71</v>
      </c>
      <c r="N5" s="6" t="s">
        <v>849</v>
      </c>
    </row>
    <row r="6" customFormat="false" ht="32.8" hidden="false" customHeight="false" outlineLevel="0" collapsed="false">
      <c r="A6" s="6" t="s">
        <v>500</v>
      </c>
      <c r="B6" s="6" t="s">
        <v>858</v>
      </c>
      <c r="C6" s="6" t="s">
        <v>859</v>
      </c>
      <c r="D6" s="6" t="s">
        <v>860</v>
      </c>
      <c r="E6" s="6" t="s">
        <v>861</v>
      </c>
      <c r="F6" s="6" t="s">
        <v>862</v>
      </c>
      <c r="G6" s="6" t="s">
        <v>863</v>
      </c>
      <c r="H6" s="6" t="s">
        <v>847</v>
      </c>
      <c r="I6" s="6" t="s">
        <v>117</v>
      </c>
      <c r="J6" s="6" t="s">
        <v>364</v>
      </c>
      <c r="K6" s="6" t="s">
        <v>363</v>
      </c>
      <c r="L6" s="6" t="s">
        <v>474</v>
      </c>
      <c r="M6" s="6" t="s">
        <v>864</v>
      </c>
      <c r="N6" s="6" t="s">
        <v>849</v>
      </c>
    </row>
    <row r="7" customFormat="false" ht="32.8" hidden="false" customHeight="false" outlineLevel="0" collapsed="false">
      <c r="A7" s="6" t="s">
        <v>865</v>
      </c>
      <c r="B7" s="6" t="s">
        <v>851</v>
      </c>
      <c r="C7" s="6" t="s">
        <v>866</v>
      </c>
      <c r="D7" s="6" t="s">
        <v>867</v>
      </c>
      <c r="E7" s="6" t="s">
        <v>868</v>
      </c>
      <c r="F7" s="6" t="s">
        <v>869</v>
      </c>
      <c r="G7" s="6" t="s">
        <v>870</v>
      </c>
      <c r="H7" s="6" t="s">
        <v>871</v>
      </c>
      <c r="I7" s="6" t="s">
        <v>117</v>
      </c>
      <c r="J7" s="6" t="s">
        <v>350</v>
      </c>
      <c r="K7" s="6" t="s">
        <v>872</v>
      </c>
      <c r="L7" s="6" t="s">
        <v>873</v>
      </c>
      <c r="M7" s="6" t="s">
        <v>874</v>
      </c>
      <c r="N7" s="6" t="s">
        <v>849</v>
      </c>
    </row>
    <row r="8" customFormat="false" ht="32.8" hidden="false" customHeight="false" outlineLevel="0" collapsed="false">
      <c r="A8" s="6" t="s">
        <v>522</v>
      </c>
      <c r="B8" s="6" t="s">
        <v>858</v>
      </c>
      <c r="C8" s="6" t="s">
        <v>875</v>
      </c>
      <c r="D8" s="6" t="s">
        <v>876</v>
      </c>
      <c r="E8" s="6" t="s">
        <v>877</v>
      </c>
      <c r="F8" s="6" t="s">
        <v>878</v>
      </c>
      <c r="G8" s="6" t="s">
        <v>879</v>
      </c>
      <c r="H8" s="6" t="s">
        <v>847</v>
      </c>
      <c r="I8" s="6" t="s">
        <v>97</v>
      </c>
      <c r="J8" s="6" t="s">
        <v>241</v>
      </c>
      <c r="K8" s="6" t="s">
        <v>342</v>
      </c>
      <c r="L8" s="6" t="s">
        <v>640</v>
      </c>
      <c r="M8" s="6" t="s">
        <v>864</v>
      </c>
      <c r="N8" s="6" t="s">
        <v>849</v>
      </c>
    </row>
    <row r="9" customFormat="false" ht="32.8" hidden="false" customHeight="false" outlineLevel="0" collapsed="false">
      <c r="A9" s="6" t="s">
        <v>567</v>
      </c>
      <c r="B9" s="6" t="s">
        <v>858</v>
      </c>
      <c r="C9" s="6" t="s">
        <v>880</v>
      </c>
      <c r="D9" s="6" t="s">
        <v>881</v>
      </c>
      <c r="E9" s="6" t="s">
        <v>882</v>
      </c>
      <c r="F9" s="6" t="s">
        <v>883</v>
      </c>
      <c r="G9" s="6" t="s">
        <v>884</v>
      </c>
      <c r="H9" s="6" t="s">
        <v>871</v>
      </c>
      <c r="I9" s="6" t="s">
        <v>53</v>
      </c>
      <c r="J9" s="6" t="s">
        <v>492</v>
      </c>
      <c r="K9" s="6" t="s">
        <v>568</v>
      </c>
      <c r="L9" s="6" t="s">
        <v>488</v>
      </c>
      <c r="M9" s="6" t="s">
        <v>885</v>
      </c>
      <c r="N9" s="6" t="s">
        <v>849</v>
      </c>
    </row>
    <row r="10" customFormat="false" ht="32.8" hidden="false" customHeight="false" outlineLevel="0" collapsed="false">
      <c r="A10" s="6" t="s">
        <v>530</v>
      </c>
      <c r="B10" s="6" t="s">
        <v>851</v>
      </c>
      <c r="C10" s="6" t="s">
        <v>886</v>
      </c>
      <c r="D10" s="6" t="s">
        <v>887</v>
      </c>
      <c r="E10" s="6" t="s">
        <v>888</v>
      </c>
      <c r="F10" s="6" t="s">
        <v>889</v>
      </c>
      <c r="G10" s="6" t="s">
        <v>890</v>
      </c>
      <c r="H10" s="6" t="s">
        <v>871</v>
      </c>
      <c r="I10" s="6" t="s">
        <v>117</v>
      </c>
      <c r="J10" s="6" t="s">
        <v>350</v>
      </c>
      <c r="K10" s="6" t="s">
        <v>384</v>
      </c>
      <c r="L10" s="6" t="s">
        <v>660</v>
      </c>
      <c r="M10" s="6" t="s">
        <v>864</v>
      </c>
      <c r="N10" s="6" t="s">
        <v>849</v>
      </c>
    </row>
    <row r="11" customFormat="false" ht="22.35" hidden="false" customHeight="false" outlineLevel="0" collapsed="false">
      <c r="A11" s="6" t="s">
        <v>461</v>
      </c>
      <c r="B11" s="6" t="s">
        <v>858</v>
      </c>
      <c r="C11" s="6" t="s">
        <v>891</v>
      </c>
      <c r="D11" s="6" t="s">
        <v>892</v>
      </c>
      <c r="E11" s="6" t="s">
        <v>893</v>
      </c>
      <c r="F11" s="6" t="s">
        <v>894</v>
      </c>
      <c r="G11" s="6" t="s">
        <v>895</v>
      </c>
      <c r="H11" s="6" t="s">
        <v>871</v>
      </c>
      <c r="I11" s="6" t="s">
        <v>239</v>
      </c>
      <c r="J11" s="6" t="s">
        <v>241</v>
      </c>
      <c r="K11" s="6" t="s">
        <v>257</v>
      </c>
      <c r="L11" s="6" t="s">
        <v>458</v>
      </c>
      <c r="M11" s="6" t="s">
        <v>874</v>
      </c>
      <c r="N11" s="6" t="s">
        <v>849</v>
      </c>
    </row>
    <row r="12" customFormat="false" ht="32.8" hidden="false" customHeight="false" outlineLevel="0" collapsed="false">
      <c r="A12" s="6" t="s">
        <v>633</v>
      </c>
      <c r="B12" s="6" t="s">
        <v>851</v>
      </c>
      <c r="C12" s="6" t="s">
        <v>896</v>
      </c>
      <c r="D12" s="6" t="s">
        <v>897</v>
      </c>
      <c r="E12" s="6" t="s">
        <v>898</v>
      </c>
      <c r="F12" s="6" t="s">
        <v>899</v>
      </c>
      <c r="G12" s="6" t="s">
        <v>900</v>
      </c>
      <c r="H12" s="6" t="s">
        <v>847</v>
      </c>
      <c r="I12" s="6" t="s">
        <v>53</v>
      </c>
      <c r="J12" s="6" t="s">
        <v>350</v>
      </c>
      <c r="K12" s="6" t="s">
        <v>349</v>
      </c>
      <c r="L12" s="6" t="s">
        <v>467</v>
      </c>
      <c r="M12" s="6" t="s">
        <v>901</v>
      </c>
      <c r="N12" s="6" t="s">
        <v>849</v>
      </c>
    </row>
    <row r="13" customFormat="false" ht="22.35" hidden="false" customHeight="false" outlineLevel="0" collapsed="false">
      <c r="A13" s="6" t="s">
        <v>490</v>
      </c>
      <c r="B13" s="6" t="s">
        <v>858</v>
      </c>
      <c r="C13" s="6" t="s">
        <v>902</v>
      </c>
      <c r="D13" s="6" t="s">
        <v>903</v>
      </c>
      <c r="E13" s="6" t="s">
        <v>904</v>
      </c>
      <c r="F13" s="6" t="s">
        <v>905</v>
      </c>
      <c r="G13" s="6" t="s">
        <v>906</v>
      </c>
      <c r="H13" s="6" t="s">
        <v>847</v>
      </c>
      <c r="I13" s="6" t="s">
        <v>117</v>
      </c>
      <c r="J13" s="6" t="s">
        <v>492</v>
      </c>
      <c r="K13" s="6" t="s">
        <v>491</v>
      </c>
      <c r="L13" s="6" t="s">
        <v>488</v>
      </c>
      <c r="M13" s="6" t="s">
        <v>874</v>
      </c>
      <c r="N13" s="6" t="s">
        <v>849</v>
      </c>
    </row>
    <row r="14" customFormat="false" ht="43.25" hidden="false" customHeight="false" outlineLevel="0" collapsed="false">
      <c r="A14" s="6" t="s">
        <v>653</v>
      </c>
      <c r="B14" s="6" t="s">
        <v>858</v>
      </c>
      <c r="C14" s="6" t="s">
        <v>907</v>
      </c>
      <c r="D14" s="6" t="s">
        <v>908</v>
      </c>
      <c r="E14" s="6" t="s">
        <v>909</v>
      </c>
      <c r="F14" s="6" t="s">
        <v>910</v>
      </c>
      <c r="G14" s="6" t="s">
        <v>911</v>
      </c>
      <c r="H14" s="6" t="s">
        <v>847</v>
      </c>
      <c r="I14" s="6" t="s">
        <v>239</v>
      </c>
      <c r="J14" s="6" t="s">
        <v>241</v>
      </c>
      <c r="K14" s="6" t="s">
        <v>257</v>
      </c>
      <c r="L14" s="6" t="s">
        <v>651</v>
      </c>
      <c r="M14" s="6" t="s">
        <v>874</v>
      </c>
      <c r="N14" s="6" t="s">
        <v>849</v>
      </c>
    </row>
    <row r="15" customFormat="false" ht="22.35" hidden="false" customHeight="false" outlineLevel="0" collapsed="false">
      <c r="A15" s="6" t="s">
        <v>677</v>
      </c>
      <c r="B15" s="6" t="s">
        <v>912</v>
      </c>
      <c r="C15" s="6" t="s">
        <v>913</v>
      </c>
      <c r="D15" s="6" t="s">
        <v>914</v>
      </c>
      <c r="E15" s="6" t="s">
        <v>915</v>
      </c>
      <c r="F15" s="6" t="s">
        <v>916</v>
      </c>
      <c r="G15" s="6" t="s">
        <v>917</v>
      </c>
      <c r="H15" s="6" t="s">
        <v>847</v>
      </c>
      <c r="I15" s="6" t="s">
        <v>117</v>
      </c>
      <c r="J15" s="6" t="s">
        <v>249</v>
      </c>
      <c r="K15" s="6" t="s">
        <v>678</v>
      </c>
      <c r="L15" s="6" t="s">
        <v>676</v>
      </c>
      <c r="M15" s="6" t="s">
        <v>874</v>
      </c>
      <c r="N15" s="6" t="s">
        <v>849</v>
      </c>
    </row>
    <row r="16" customFormat="false" ht="43.25" hidden="false" customHeight="false" outlineLevel="0" collapsed="false">
      <c r="A16" s="6" t="s">
        <v>133</v>
      </c>
      <c r="B16" s="6" t="s">
        <v>858</v>
      </c>
      <c r="C16" s="6" t="s">
        <v>918</v>
      </c>
      <c r="D16" s="6" t="s">
        <v>919</v>
      </c>
      <c r="E16" s="6" t="s">
        <v>920</v>
      </c>
      <c r="F16" s="6" t="s">
        <v>921</v>
      </c>
      <c r="G16" s="6" t="s">
        <v>922</v>
      </c>
      <c r="H16" s="6" t="s">
        <v>871</v>
      </c>
      <c r="I16" s="6" t="s">
        <v>117</v>
      </c>
      <c r="J16" s="6" t="s">
        <v>335</v>
      </c>
      <c r="K16" s="6" t="s">
        <v>511</v>
      </c>
      <c r="L16" s="6" t="s">
        <v>923</v>
      </c>
      <c r="M16" s="6" t="s">
        <v>111</v>
      </c>
      <c r="N16" s="6" t="s">
        <v>924</v>
      </c>
    </row>
    <row r="18" customFormat="false" ht="15" hidden="false" customHeight="false" outlineLevel="0" collapsed="false">
      <c r="A18" s="1" t="s">
        <v>841</v>
      </c>
      <c r="B18" s="8" t="n">
        <f aca="false">COUNTIF(B4:B16,"Critical")</f>
        <v>1</v>
      </c>
    </row>
    <row r="19" customFormat="false" ht="15" hidden="false" customHeight="false" outlineLevel="0" collapsed="false">
      <c r="A19" s="1" t="s">
        <v>851</v>
      </c>
      <c r="B19" s="8" t="n">
        <f aca="false">COUNTIF(B4:B16,"High")</f>
        <v>4</v>
      </c>
    </row>
    <row r="20" customFormat="false" ht="15" hidden="false" customHeight="false" outlineLevel="0" collapsed="false">
      <c r="A20" s="1" t="s">
        <v>858</v>
      </c>
      <c r="B20" s="8" t="n">
        <f aca="false">COUNTIF(B4:B16,"Medium")</f>
        <v>7</v>
      </c>
    </row>
    <row r="21" customFormat="false" ht="15" hidden="false" customHeight="false" outlineLevel="0" collapsed="false">
      <c r="A21" s="1" t="s">
        <v>912</v>
      </c>
      <c r="B21" s="8" t="n">
        <f aca="false">COUNTIF(B4:B16,"Low")</f>
        <v>1</v>
      </c>
    </row>
    <row r="22" customFormat="false" ht="15" hidden="false" customHeight="false" outlineLevel="0" collapsed="false">
      <c r="A22" s="1" t="s">
        <v>432</v>
      </c>
      <c r="B22" s="8" t="n">
        <f aca="false">SUM(B18:B21)</f>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20"/>
  </cols>
  <sheetData>
    <row r="1" customFormat="false" ht="15" hidden="false" customHeight="false" outlineLevel="0" collapsed="false">
      <c r="A1" s="4" t="s">
        <v>925</v>
      </c>
    </row>
    <row r="3" customFormat="false" ht="15" hidden="false" customHeight="false" outlineLevel="0" collapsed="false">
      <c r="A3" s="5" t="s">
        <v>831</v>
      </c>
      <c r="B3" s="5" t="s">
        <v>926</v>
      </c>
    </row>
    <row r="4" customFormat="false" ht="15" hidden="false" customHeight="false" outlineLevel="0" collapsed="false">
      <c r="A4" s="6" t="s">
        <v>841</v>
      </c>
      <c r="B4" s="6" t="s">
        <v>927</v>
      </c>
    </row>
    <row r="5" customFormat="false" ht="22.35" hidden="false" customHeight="false" outlineLevel="0" collapsed="false">
      <c r="A5" s="6" t="s">
        <v>851</v>
      </c>
      <c r="B5" s="6" t="s">
        <v>928</v>
      </c>
    </row>
    <row r="6" customFormat="false" ht="15" hidden="false" customHeight="false" outlineLevel="0" collapsed="false">
      <c r="A6" s="6" t="s">
        <v>858</v>
      </c>
      <c r="B6" s="6" t="s">
        <v>929</v>
      </c>
    </row>
    <row r="7" customFormat="false" ht="15" hidden="false" customHeight="false" outlineLevel="0" collapsed="false">
      <c r="A7" s="6" t="s">
        <v>912</v>
      </c>
      <c r="B7" s="6" t="s">
        <v>930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40"/>
    <col collapsed="false" customWidth="true" hidden="false" outlineLevel="0" max="4" min="4" style="0" width="28"/>
    <col collapsed="false" customWidth="true" hidden="false" outlineLevel="0" max="5" min="5" style="0" width="30"/>
    <col collapsed="false" customWidth="true" hidden="false" outlineLevel="0" max="6" min="6" style="0" width="34"/>
    <col collapsed="false" customWidth="true" hidden="false" outlineLevel="0" max="7" min="7" style="0" width="26"/>
    <col collapsed="false" customWidth="true" hidden="false" outlineLevel="0" max="8" min="8" style="0" width="16"/>
    <col collapsed="false" customWidth="true" hidden="false" outlineLevel="0" max="9" min="9" style="0" width="26"/>
  </cols>
  <sheetData>
    <row r="1" customFormat="false" ht="15" hidden="false" customHeight="false" outlineLevel="0" collapsed="false">
      <c r="A1" s="4" t="s">
        <v>931</v>
      </c>
    </row>
    <row r="3" customFormat="false" ht="22.35" hidden="false" customHeight="false" outlineLevel="0" collapsed="false">
      <c r="A3" s="5" t="s">
        <v>830</v>
      </c>
      <c r="B3" s="5" t="s">
        <v>831</v>
      </c>
      <c r="C3" s="5" t="s">
        <v>932</v>
      </c>
      <c r="D3" s="5" t="s">
        <v>933</v>
      </c>
      <c r="E3" s="5" t="s">
        <v>934</v>
      </c>
      <c r="F3" s="5" t="s">
        <v>935</v>
      </c>
      <c r="G3" s="5" t="s">
        <v>936</v>
      </c>
      <c r="H3" s="5" t="s">
        <v>937</v>
      </c>
      <c r="I3" s="5" t="s">
        <v>838</v>
      </c>
    </row>
    <row r="4" customFormat="false" ht="22.35" hidden="false" customHeight="false" outlineLevel="0" collapsed="false">
      <c r="A4" s="6" t="s">
        <v>840</v>
      </c>
      <c r="B4" s="6" t="s">
        <v>841</v>
      </c>
      <c r="C4" s="6" t="s">
        <v>938</v>
      </c>
      <c r="D4" s="6" t="s">
        <v>939</v>
      </c>
      <c r="E4" s="6" t="s">
        <v>940</v>
      </c>
      <c r="F4" s="6" t="s">
        <v>941</v>
      </c>
      <c r="G4" s="6" t="s">
        <v>942</v>
      </c>
      <c r="H4" s="6" t="s">
        <v>943</v>
      </c>
      <c r="I4" s="6" t="s">
        <v>848</v>
      </c>
    </row>
    <row r="5" customFormat="false" ht="22.35" hidden="false" customHeight="false" outlineLevel="0" collapsed="false">
      <c r="A5" s="6" t="s">
        <v>850</v>
      </c>
      <c r="B5" s="6" t="s">
        <v>851</v>
      </c>
      <c r="C5" s="6" t="s">
        <v>944</v>
      </c>
      <c r="D5" s="6" t="s">
        <v>945</v>
      </c>
      <c r="E5" s="6" t="s">
        <v>946</v>
      </c>
      <c r="F5" s="6" t="s">
        <v>941</v>
      </c>
      <c r="G5" s="6" t="s">
        <v>947</v>
      </c>
      <c r="H5" s="6" t="s">
        <v>948</v>
      </c>
      <c r="I5" s="6" t="s">
        <v>660</v>
      </c>
    </row>
    <row r="6" customFormat="false" ht="15" hidden="false" customHeight="false" outlineLevel="0" collapsed="false">
      <c r="A6" s="6" t="s">
        <v>500</v>
      </c>
      <c r="B6" s="6" t="s">
        <v>858</v>
      </c>
      <c r="C6" s="6" t="s">
        <v>949</v>
      </c>
      <c r="D6" s="6" t="s">
        <v>950</v>
      </c>
      <c r="E6" s="6" t="s">
        <v>951</v>
      </c>
      <c r="F6" s="6" t="s">
        <v>952</v>
      </c>
      <c r="G6" s="6" t="s">
        <v>953</v>
      </c>
      <c r="H6" s="6" t="s">
        <v>948</v>
      </c>
      <c r="I6" s="6" t="s">
        <v>474</v>
      </c>
    </row>
    <row r="7" customFormat="false" ht="22.35" hidden="false" customHeight="false" outlineLevel="0" collapsed="false">
      <c r="A7" s="6" t="s">
        <v>865</v>
      </c>
      <c r="B7" s="6" t="s">
        <v>851</v>
      </c>
      <c r="C7" s="6" t="s">
        <v>954</v>
      </c>
      <c r="D7" s="6" t="s">
        <v>955</v>
      </c>
      <c r="E7" s="6" t="s">
        <v>956</v>
      </c>
      <c r="F7" s="6" t="s">
        <v>957</v>
      </c>
      <c r="G7" s="6" t="s">
        <v>958</v>
      </c>
      <c r="H7" s="6" t="s">
        <v>959</v>
      </c>
      <c r="I7" s="6" t="s">
        <v>873</v>
      </c>
    </row>
    <row r="8" customFormat="false" ht="15" hidden="false" customHeight="false" outlineLevel="0" collapsed="false">
      <c r="A8" s="6" t="s">
        <v>522</v>
      </c>
      <c r="B8" s="6" t="s">
        <v>858</v>
      </c>
      <c r="C8" s="6" t="s">
        <v>189</v>
      </c>
      <c r="D8" s="6" t="s">
        <v>960</v>
      </c>
      <c r="E8" s="6" t="s">
        <v>521</v>
      </c>
      <c r="F8" s="6" t="s">
        <v>961</v>
      </c>
      <c r="G8" s="6" t="s">
        <v>962</v>
      </c>
      <c r="H8" s="6" t="s">
        <v>943</v>
      </c>
      <c r="I8" s="6" t="s">
        <v>640</v>
      </c>
    </row>
    <row r="9" customFormat="false" ht="32.8" hidden="false" customHeight="false" outlineLevel="0" collapsed="false">
      <c r="A9" s="6" t="s">
        <v>567</v>
      </c>
      <c r="B9" s="6" t="s">
        <v>858</v>
      </c>
      <c r="C9" s="6" t="s">
        <v>963</v>
      </c>
      <c r="D9" s="6" t="s">
        <v>964</v>
      </c>
      <c r="E9" s="6" t="s">
        <v>965</v>
      </c>
      <c r="F9" s="6" t="s">
        <v>966</v>
      </c>
      <c r="G9" s="6" t="s">
        <v>967</v>
      </c>
      <c r="H9" s="6" t="s">
        <v>968</v>
      </c>
      <c r="I9" s="6" t="s">
        <v>488</v>
      </c>
    </row>
    <row r="10" customFormat="false" ht="22.35" hidden="false" customHeight="false" outlineLevel="0" collapsed="false">
      <c r="A10" s="6" t="s">
        <v>530</v>
      </c>
      <c r="B10" s="6" t="s">
        <v>851</v>
      </c>
      <c r="C10" s="6" t="s">
        <v>969</v>
      </c>
      <c r="D10" s="6" t="s">
        <v>970</v>
      </c>
      <c r="E10" s="6" t="s">
        <v>529</v>
      </c>
      <c r="F10" s="6" t="s">
        <v>971</v>
      </c>
      <c r="G10" s="6" t="s">
        <v>972</v>
      </c>
      <c r="H10" s="6" t="s">
        <v>959</v>
      </c>
      <c r="I10" s="6" t="s">
        <v>660</v>
      </c>
    </row>
    <row r="11" customFormat="false" ht="15" hidden="false" customHeight="false" outlineLevel="0" collapsed="false">
      <c r="A11" s="6" t="s">
        <v>461</v>
      </c>
      <c r="B11" s="6" t="s">
        <v>858</v>
      </c>
      <c r="C11" s="6" t="s">
        <v>973</v>
      </c>
      <c r="D11" s="6" t="s">
        <v>974</v>
      </c>
      <c r="E11" s="6" t="s">
        <v>975</v>
      </c>
      <c r="F11" s="6" t="s">
        <v>976</v>
      </c>
      <c r="G11" s="6" t="s">
        <v>977</v>
      </c>
      <c r="H11" s="6" t="s">
        <v>943</v>
      </c>
      <c r="I11" s="6" t="s">
        <v>458</v>
      </c>
    </row>
    <row r="12" customFormat="false" ht="22.35" hidden="false" customHeight="false" outlineLevel="0" collapsed="false">
      <c r="A12" s="6" t="s">
        <v>633</v>
      </c>
      <c r="B12" s="6" t="s">
        <v>851</v>
      </c>
      <c r="C12" s="6" t="s">
        <v>978</v>
      </c>
      <c r="D12" s="6" t="s">
        <v>979</v>
      </c>
      <c r="E12" s="6" t="s">
        <v>529</v>
      </c>
      <c r="F12" s="6" t="s">
        <v>980</v>
      </c>
      <c r="G12" s="6" t="s">
        <v>981</v>
      </c>
      <c r="H12" s="6" t="s">
        <v>948</v>
      </c>
      <c r="I12" s="6" t="s">
        <v>467</v>
      </c>
    </row>
    <row r="13" customFormat="false" ht="15" hidden="false" customHeight="false" outlineLevel="0" collapsed="false">
      <c r="A13" s="6" t="s">
        <v>490</v>
      </c>
      <c r="B13" s="6" t="s">
        <v>858</v>
      </c>
      <c r="C13" s="6" t="s">
        <v>982</v>
      </c>
      <c r="D13" s="6" t="s">
        <v>983</v>
      </c>
      <c r="E13" s="6" t="s">
        <v>984</v>
      </c>
      <c r="F13" s="6" t="s">
        <v>985</v>
      </c>
      <c r="G13" s="6" t="s">
        <v>986</v>
      </c>
      <c r="H13" s="6" t="s">
        <v>987</v>
      </c>
      <c r="I13" s="6" t="s">
        <v>488</v>
      </c>
    </row>
    <row r="14" customFormat="false" ht="22.35" hidden="false" customHeight="false" outlineLevel="0" collapsed="false">
      <c r="A14" s="6" t="s">
        <v>653</v>
      </c>
      <c r="B14" s="6" t="s">
        <v>858</v>
      </c>
      <c r="C14" s="6" t="s">
        <v>988</v>
      </c>
      <c r="D14" s="6" t="s">
        <v>989</v>
      </c>
      <c r="E14" s="6" t="s">
        <v>990</v>
      </c>
      <c r="F14" s="6" t="s">
        <v>957</v>
      </c>
      <c r="G14" s="6" t="s">
        <v>981</v>
      </c>
      <c r="H14" s="6" t="s">
        <v>948</v>
      </c>
      <c r="I14" s="6" t="s">
        <v>651</v>
      </c>
    </row>
    <row r="15" customFormat="false" ht="15" hidden="false" customHeight="false" outlineLevel="0" collapsed="false">
      <c r="A15" s="6" t="s">
        <v>677</v>
      </c>
      <c r="B15" s="6" t="s">
        <v>912</v>
      </c>
      <c r="C15" s="6" t="s">
        <v>991</v>
      </c>
      <c r="D15" s="6" t="s">
        <v>671</v>
      </c>
      <c r="E15" s="6" t="s">
        <v>661</v>
      </c>
      <c r="F15" s="6" t="s">
        <v>980</v>
      </c>
      <c r="G15" s="6" t="s">
        <v>942</v>
      </c>
      <c r="H15" s="6" t="s">
        <v>943</v>
      </c>
      <c r="I15" s="6" t="s">
        <v>676</v>
      </c>
    </row>
    <row r="16" customFormat="false" ht="22.35" hidden="false" customHeight="false" outlineLevel="0" collapsed="false">
      <c r="A16" s="6" t="s">
        <v>133</v>
      </c>
      <c r="B16" s="6" t="s">
        <v>858</v>
      </c>
      <c r="C16" s="6" t="s">
        <v>992</v>
      </c>
      <c r="D16" s="6" t="s">
        <v>993</v>
      </c>
      <c r="E16" s="6" t="s">
        <v>994</v>
      </c>
      <c r="F16" s="6" t="s">
        <v>995</v>
      </c>
      <c r="G16" s="6" t="s">
        <v>996</v>
      </c>
      <c r="H16" s="6" t="s">
        <v>997</v>
      </c>
      <c r="I16" s="6" t="s">
        <v>923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50"/>
    <col collapsed="false" customWidth="true" hidden="false" outlineLevel="0" max="4" min="4" style="0" width="60"/>
  </cols>
  <sheetData>
    <row r="1" customFormat="false" ht="15" hidden="false" customHeight="false" outlineLevel="0" collapsed="false">
      <c r="A1" s="4" t="s">
        <v>998</v>
      </c>
    </row>
    <row r="3" customFormat="false" ht="22.35" hidden="false" customHeight="false" outlineLevel="0" collapsed="false">
      <c r="A3" s="5" t="s">
        <v>999</v>
      </c>
      <c r="B3" s="5" t="s">
        <v>1000</v>
      </c>
      <c r="C3" s="5" t="s">
        <v>1001</v>
      </c>
      <c r="D3" s="5" t="s">
        <v>747</v>
      </c>
    </row>
    <row r="4" customFormat="false" ht="15" hidden="false" customHeight="false" outlineLevel="0" collapsed="false">
      <c r="A4" s="6" t="s">
        <v>1002</v>
      </c>
      <c r="B4" s="6" t="s">
        <v>676</v>
      </c>
      <c r="C4" s="6" t="s">
        <v>1003</v>
      </c>
      <c r="D4" s="6" t="s">
        <v>1004</v>
      </c>
    </row>
    <row r="5" customFormat="false" ht="15" hidden="false" customHeight="false" outlineLevel="0" collapsed="false">
      <c r="A5" s="6" t="s">
        <v>1005</v>
      </c>
      <c r="B5" s="6" t="s">
        <v>467</v>
      </c>
      <c r="C5" s="6" t="s">
        <v>1006</v>
      </c>
      <c r="D5" s="6" t="s">
        <v>1007</v>
      </c>
    </row>
    <row r="6" customFormat="false" ht="15" hidden="false" customHeight="false" outlineLevel="0" collapsed="false">
      <c r="A6" s="6" t="s">
        <v>1008</v>
      </c>
      <c r="B6" s="6" t="s">
        <v>474</v>
      </c>
      <c r="C6" s="6" t="s">
        <v>1009</v>
      </c>
      <c r="D6" s="6" t="s">
        <v>1007</v>
      </c>
    </row>
    <row r="7" customFormat="false" ht="22.35" hidden="false" customHeight="false" outlineLevel="0" collapsed="false">
      <c r="A7" s="6" t="s">
        <v>1010</v>
      </c>
      <c r="B7" s="6" t="s">
        <v>474</v>
      </c>
      <c r="C7" s="6" t="s">
        <v>1011</v>
      </c>
      <c r="D7" s="6" t="s">
        <v>1012</v>
      </c>
    </row>
    <row r="8" customFormat="false" ht="15" hidden="false" customHeight="false" outlineLevel="0" collapsed="false">
      <c r="A8" s="6" t="s">
        <v>1013</v>
      </c>
      <c r="B8" s="6" t="s">
        <v>1014</v>
      </c>
      <c r="C8" s="6" t="s">
        <v>1015</v>
      </c>
      <c r="D8" s="6" t="s">
        <v>1016</v>
      </c>
    </row>
    <row r="9" customFormat="false" ht="22.35" hidden="false" customHeight="false" outlineLevel="0" collapsed="false">
      <c r="A9" s="6" t="s">
        <v>1017</v>
      </c>
      <c r="B9" s="6" t="s">
        <v>474</v>
      </c>
      <c r="C9" s="6" t="s">
        <v>1018</v>
      </c>
      <c r="D9" s="6" t="s">
        <v>1019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5" min="3" style="0" width="10"/>
    <col collapsed="false" customWidth="true" hidden="false" outlineLevel="0" max="6" min="6" style="0" width="13"/>
    <col collapsed="false" customWidth="true" hidden="false" outlineLevel="0" max="9" min="7" style="0" width="10"/>
    <col collapsed="false" customWidth="true" hidden="false" outlineLevel="0" max="10" min="10" style="0" width="13"/>
  </cols>
  <sheetData>
    <row r="1" customFormat="false" ht="15" hidden="false" customHeight="false" outlineLevel="0" collapsed="false">
      <c r="A1" s="4" t="s">
        <v>1020</v>
      </c>
    </row>
    <row r="3" customFormat="false" ht="15" hidden="false" customHeight="false" outlineLevel="0" collapsed="false">
      <c r="A3" s="5" t="s">
        <v>838</v>
      </c>
      <c r="B3" s="5" t="s">
        <v>1021</v>
      </c>
      <c r="C3" s="5" t="s">
        <v>1022</v>
      </c>
      <c r="D3" s="5" t="s">
        <v>1023</v>
      </c>
      <c r="E3" s="5" t="s">
        <v>1024</v>
      </c>
      <c r="F3" s="5" t="s">
        <v>1025</v>
      </c>
      <c r="G3" s="5" t="s">
        <v>1026</v>
      </c>
      <c r="H3" s="5" t="s">
        <v>1027</v>
      </c>
      <c r="I3" s="5" t="s">
        <v>1028</v>
      </c>
      <c r="J3" s="5" t="s">
        <v>1029</v>
      </c>
    </row>
    <row r="4" customFormat="false" ht="15" hidden="false" customHeight="false" outlineLevel="0" collapsed="false">
      <c r="A4" s="6" t="s">
        <v>1030</v>
      </c>
      <c r="B4" s="6" t="s">
        <v>1031</v>
      </c>
      <c r="C4" s="7" t="n">
        <v>5</v>
      </c>
      <c r="D4" s="7" t="n">
        <v>4</v>
      </c>
      <c r="E4" s="10" t="n">
        <f aca="false">C4*D4</f>
        <v>20</v>
      </c>
      <c r="F4" s="10" t="str">
        <f aca="false">IF(E4&lt;=4,"Low",IF(E4&lt;=9,"Medium",IF(E4&lt;=14,"High","Critical")))</f>
        <v>Critical</v>
      </c>
      <c r="G4" s="7" t="n">
        <v>2</v>
      </c>
      <c r="H4" s="7" t="n">
        <v>3</v>
      </c>
      <c r="I4" s="10" t="n">
        <f aca="false">G4*H4</f>
        <v>6</v>
      </c>
      <c r="J4" s="10" t="str">
        <f aca="false">IF(I4&lt;=4,"Low",IF(I4&lt;=9,"Medium",IF(I4&lt;=14,"High","Critical")))</f>
        <v>Medium</v>
      </c>
    </row>
    <row r="5" customFormat="false" ht="15" hidden="false" customHeight="false" outlineLevel="0" collapsed="false">
      <c r="A5" s="6" t="s">
        <v>1032</v>
      </c>
      <c r="B5" s="6" t="s">
        <v>1031</v>
      </c>
      <c r="C5" s="7" t="n">
        <v>4</v>
      </c>
      <c r="D5" s="7" t="n">
        <v>5</v>
      </c>
      <c r="E5" s="10" t="n">
        <f aca="false">C5*D5</f>
        <v>20</v>
      </c>
      <c r="F5" s="10" t="str">
        <f aca="false">IF(E5&lt;=4,"Low",IF(E5&lt;=9,"Medium",IF(E5&lt;=14,"High","Critical")))</f>
        <v>Critical</v>
      </c>
      <c r="G5" s="7" t="n">
        <v>2</v>
      </c>
      <c r="H5" s="7" t="n">
        <v>4</v>
      </c>
      <c r="I5" s="10" t="n">
        <f aca="false">G5*H5</f>
        <v>8</v>
      </c>
      <c r="J5" s="10" t="str">
        <f aca="false">IF(I5&lt;=4,"Low",IF(I5&lt;=9,"Medium",IF(I5&lt;=14,"High","Critical")))</f>
        <v>Medium</v>
      </c>
    </row>
    <row r="6" customFormat="false" ht="15" hidden="false" customHeight="false" outlineLevel="0" collapsed="false">
      <c r="A6" s="6" t="s">
        <v>1033</v>
      </c>
      <c r="B6" s="6" t="s">
        <v>1031</v>
      </c>
      <c r="C6" s="7" t="n">
        <v>3</v>
      </c>
      <c r="D6" s="7" t="n">
        <v>4</v>
      </c>
      <c r="E6" s="10" t="n">
        <f aca="false">C6*D6</f>
        <v>12</v>
      </c>
      <c r="F6" s="10" t="str">
        <f aca="false">IF(E6&lt;=4,"Low",IF(E6&lt;=9,"Medium",IF(E6&lt;=14,"High","Critical")))</f>
        <v>High</v>
      </c>
      <c r="G6" s="7" t="n">
        <v>2</v>
      </c>
      <c r="H6" s="7" t="n">
        <v>3</v>
      </c>
      <c r="I6" s="10" t="n">
        <f aca="false">G6*H6</f>
        <v>6</v>
      </c>
      <c r="J6" s="10" t="str">
        <f aca="false">IF(I6&lt;=4,"Low",IF(I6&lt;=9,"Medium",IF(I6&lt;=14,"High","Critical")))</f>
        <v>Medium</v>
      </c>
    </row>
    <row r="7" customFormat="false" ht="15" hidden="false" customHeight="false" outlineLevel="0" collapsed="false">
      <c r="A7" s="6" t="s">
        <v>1034</v>
      </c>
      <c r="B7" s="6" t="s">
        <v>1031</v>
      </c>
      <c r="C7" s="7" t="n">
        <v>4</v>
      </c>
      <c r="D7" s="7" t="n">
        <v>5</v>
      </c>
      <c r="E7" s="10" t="n">
        <f aca="false">C7*D7</f>
        <v>20</v>
      </c>
      <c r="F7" s="10" t="str">
        <f aca="false">IF(E7&lt;=4,"Low",IF(E7&lt;=9,"Medium",IF(E7&lt;=14,"High","Critical")))</f>
        <v>Critical</v>
      </c>
      <c r="G7" s="7" t="n">
        <v>3</v>
      </c>
      <c r="H7" s="7" t="n">
        <v>4</v>
      </c>
      <c r="I7" s="10" t="n">
        <f aca="false">G7*H7</f>
        <v>12</v>
      </c>
      <c r="J7" s="10" t="str">
        <f aca="false">IF(I7&lt;=4,"Low",IF(I7&lt;=9,"Medium",IF(I7&lt;=14,"High","Critical")))</f>
        <v>High</v>
      </c>
    </row>
    <row r="8" customFormat="false" ht="15" hidden="false" customHeight="false" outlineLevel="0" collapsed="false">
      <c r="A8" s="6" t="s">
        <v>1035</v>
      </c>
      <c r="B8" s="6" t="s">
        <v>1036</v>
      </c>
      <c r="C8" s="7" t="n">
        <v>4</v>
      </c>
      <c r="D8" s="7" t="n">
        <v>5</v>
      </c>
      <c r="E8" s="10" t="n">
        <f aca="false">C8*D8</f>
        <v>20</v>
      </c>
      <c r="F8" s="10" t="str">
        <f aca="false">IF(E8&lt;=4,"Low",IF(E8&lt;=9,"Medium",IF(E8&lt;=14,"High","Critical")))</f>
        <v>Critical</v>
      </c>
      <c r="G8" s="7" t="n">
        <v>4</v>
      </c>
      <c r="H8" s="7" t="n">
        <v>5</v>
      </c>
      <c r="I8" s="10" t="n">
        <f aca="false">G8*H8</f>
        <v>20</v>
      </c>
      <c r="J8" s="10" t="str">
        <f aca="false">IF(I8&lt;=4,"Low",IF(I8&lt;=9,"Medium",IF(I8&lt;=14,"High","Critical")))</f>
        <v>Critical</v>
      </c>
    </row>
    <row r="9" customFormat="false" ht="15" hidden="false" customHeight="false" outlineLevel="0" collapsed="false">
      <c r="A9" s="6" t="s">
        <v>676</v>
      </c>
      <c r="B9" s="6" t="s">
        <v>1031</v>
      </c>
      <c r="C9" s="7" t="n">
        <v>4</v>
      </c>
      <c r="D9" s="7" t="n">
        <v>4</v>
      </c>
      <c r="E9" s="10" t="n">
        <f aca="false">C9*D9</f>
        <v>16</v>
      </c>
      <c r="F9" s="10" t="str">
        <f aca="false">IF(E9&lt;=4,"Low",IF(E9&lt;=9,"Medium",IF(E9&lt;=14,"High","Critical")))</f>
        <v>Critical</v>
      </c>
      <c r="G9" s="7" t="n">
        <v>2</v>
      </c>
      <c r="H9" s="7" t="n">
        <v>4</v>
      </c>
      <c r="I9" s="10" t="n">
        <f aca="false">G9*H9</f>
        <v>8</v>
      </c>
      <c r="J9" s="10" t="str">
        <f aca="false">IF(I9&lt;=4,"Low",IF(I9&lt;=9,"Medium",IF(I9&lt;=14,"High","Critical")))</f>
        <v>Medium</v>
      </c>
    </row>
    <row r="10" customFormat="false" ht="15" hidden="false" customHeight="false" outlineLevel="0" collapsed="false">
      <c r="A10" s="6" t="s">
        <v>1037</v>
      </c>
      <c r="B10" s="6" t="s">
        <v>1031</v>
      </c>
      <c r="C10" s="7" t="n">
        <v>2</v>
      </c>
      <c r="D10" s="7" t="n">
        <v>5</v>
      </c>
      <c r="E10" s="10" t="n">
        <f aca="false">C10*D10</f>
        <v>10</v>
      </c>
      <c r="F10" s="10" t="str">
        <f aca="false">IF(E10&lt;=4,"Low",IF(E10&lt;=9,"Medium",IF(E10&lt;=14,"High","Critical")))</f>
        <v>High</v>
      </c>
      <c r="G10" s="7" t="n">
        <v>2</v>
      </c>
      <c r="H10" s="7" t="n">
        <v>4</v>
      </c>
      <c r="I10" s="10" t="n">
        <f aca="false">G10*H10</f>
        <v>8</v>
      </c>
      <c r="J10" s="10" t="str">
        <f aca="false">IF(I10&lt;=4,"Low",IF(I10&lt;=9,"Medium",IF(I10&lt;=14,"High","Critical")))</f>
        <v>Medium</v>
      </c>
    </row>
    <row r="11" customFormat="false" ht="15" hidden="false" customHeight="false" outlineLevel="0" collapsed="false">
      <c r="A11" s="6" t="s">
        <v>1038</v>
      </c>
      <c r="B11" s="6" t="s">
        <v>1031</v>
      </c>
      <c r="C11" s="7" t="n">
        <v>3</v>
      </c>
      <c r="D11" s="7" t="n">
        <v>4</v>
      </c>
      <c r="E11" s="10" t="n">
        <f aca="false">C11*D11</f>
        <v>12</v>
      </c>
      <c r="F11" s="10" t="str">
        <f aca="false">IF(E11&lt;=4,"Low",IF(E11&lt;=9,"Medium",IF(E11&lt;=14,"High","Critical")))</f>
        <v>High</v>
      </c>
      <c r="G11" s="7" t="n">
        <v>2</v>
      </c>
      <c r="H11" s="7" t="n">
        <v>4</v>
      </c>
      <c r="I11" s="10" t="n">
        <f aca="false">G11*H11</f>
        <v>8</v>
      </c>
      <c r="J11" s="10" t="str">
        <f aca="false">IF(I11&lt;=4,"Low",IF(I11&lt;=9,"Medium",IF(I11&lt;=14,"High","Critical")))</f>
        <v>Medium</v>
      </c>
    </row>
    <row r="12" customFormat="false" ht="15" hidden="false" customHeight="false" outlineLevel="0" collapsed="false">
      <c r="A12" s="6" t="s">
        <v>1039</v>
      </c>
      <c r="B12" s="6" t="s">
        <v>1031</v>
      </c>
      <c r="C12" s="7" t="n">
        <v>3</v>
      </c>
      <c r="D12" s="7" t="n">
        <v>5</v>
      </c>
      <c r="E12" s="10" t="n">
        <f aca="false">C12*D12</f>
        <v>15</v>
      </c>
      <c r="F12" s="10" t="str">
        <f aca="false">IF(E12&lt;=4,"Low",IF(E12&lt;=9,"Medium",IF(E12&lt;=14,"High","Critical")))</f>
        <v>Critical</v>
      </c>
      <c r="G12" s="7" t="n">
        <v>3</v>
      </c>
      <c r="H12" s="7" t="n">
        <v>4</v>
      </c>
      <c r="I12" s="10" t="n">
        <f aca="false">G12*H12</f>
        <v>12</v>
      </c>
      <c r="J12" s="10" t="str">
        <f aca="false">IF(I12&lt;=4,"Low",IF(I12&lt;=9,"Medium",IF(I12&lt;=14,"High","Critical")))</f>
        <v>High</v>
      </c>
    </row>
    <row r="13" customFormat="false" ht="15" hidden="false" customHeight="false" outlineLevel="0" collapsed="false">
      <c r="A13" s="6" t="s">
        <v>474</v>
      </c>
      <c r="B13" s="6" t="s">
        <v>1031</v>
      </c>
      <c r="C13" s="7" t="n">
        <v>4</v>
      </c>
      <c r="D13" s="7" t="n">
        <v>3</v>
      </c>
      <c r="E13" s="10" t="n">
        <f aca="false">C13*D13</f>
        <v>12</v>
      </c>
      <c r="F13" s="10" t="str">
        <f aca="false">IF(E13&lt;=4,"Low",IF(E13&lt;=9,"Medium",IF(E13&lt;=14,"High","Critical")))</f>
        <v>High</v>
      </c>
      <c r="G13" s="7" t="n">
        <v>3</v>
      </c>
      <c r="H13" s="7" t="n">
        <v>3</v>
      </c>
      <c r="I13" s="10" t="n">
        <f aca="false">G13*H13</f>
        <v>9</v>
      </c>
      <c r="J13" s="10" t="str">
        <f aca="false">IF(I13&lt;=4,"Low",IF(I13&lt;=9,"Medium",IF(I13&lt;=14,"High","Critical")))</f>
        <v>Medium</v>
      </c>
    </row>
    <row r="14" customFormat="false" ht="15" hidden="false" customHeight="false" outlineLevel="0" collapsed="false">
      <c r="A14" s="6" t="s">
        <v>467</v>
      </c>
      <c r="B14" s="6" t="s">
        <v>1031</v>
      </c>
      <c r="C14" s="7" t="n">
        <v>4</v>
      </c>
      <c r="D14" s="7" t="n">
        <v>4</v>
      </c>
      <c r="E14" s="10" t="n">
        <f aca="false">C14*D14</f>
        <v>16</v>
      </c>
      <c r="F14" s="10" t="str">
        <f aca="false">IF(E14&lt;=4,"Low",IF(E14&lt;=9,"Medium",IF(E14&lt;=14,"High","Critical")))</f>
        <v>Critical</v>
      </c>
      <c r="G14" s="7" t="n">
        <v>3</v>
      </c>
      <c r="H14" s="7" t="n">
        <v>3</v>
      </c>
      <c r="I14" s="10" t="n">
        <f aca="false">G14*H14</f>
        <v>9</v>
      </c>
      <c r="J14" s="10" t="str">
        <f aca="false">IF(I14&lt;=4,"Low",IF(I14&lt;=9,"Medium",IF(I14&lt;=14,"High","Critical")))</f>
        <v>Medium</v>
      </c>
    </row>
    <row r="15" customFormat="false" ht="15" hidden="false" customHeight="false" outlineLevel="0" collapsed="false">
      <c r="A15" s="6" t="s">
        <v>1040</v>
      </c>
      <c r="B15" s="6" t="s">
        <v>1031</v>
      </c>
      <c r="C15" s="7" t="n">
        <v>3</v>
      </c>
      <c r="D15" s="7" t="n">
        <v>4</v>
      </c>
      <c r="E15" s="10" t="n">
        <f aca="false">C15*D15</f>
        <v>12</v>
      </c>
      <c r="F15" s="10" t="str">
        <f aca="false">IF(E15&lt;=4,"Low",IF(E15&lt;=9,"Medium",IF(E15&lt;=14,"High","Critical")))</f>
        <v>High</v>
      </c>
      <c r="G15" s="7" t="n">
        <v>3</v>
      </c>
      <c r="H15" s="7" t="n">
        <v>3</v>
      </c>
      <c r="I15" s="10" t="n">
        <f aca="false">G15*H15</f>
        <v>9</v>
      </c>
      <c r="J15" s="10" t="str">
        <f aca="false">IF(I15&lt;=4,"Low",IF(I15&lt;=9,"Medium",IF(I15&lt;=14,"High","Critical")))</f>
        <v>Medium</v>
      </c>
    </row>
    <row r="16" customFormat="false" ht="15" hidden="false" customHeight="false" outlineLevel="0" collapsed="false">
      <c r="A16" s="6" t="s">
        <v>1041</v>
      </c>
      <c r="B16" s="6" t="s">
        <v>1031</v>
      </c>
      <c r="C16" s="7" t="n">
        <v>4</v>
      </c>
      <c r="D16" s="7" t="n">
        <v>4</v>
      </c>
      <c r="E16" s="10" t="n">
        <f aca="false">C16*D16</f>
        <v>16</v>
      </c>
      <c r="F16" s="10" t="str">
        <f aca="false">IF(E16&lt;=4,"Low",IF(E16&lt;=9,"Medium",IF(E16&lt;=14,"High","Critical")))</f>
        <v>Critical</v>
      </c>
      <c r="G16" s="7" t="n">
        <v>3</v>
      </c>
      <c r="H16" s="7" t="n">
        <v>3</v>
      </c>
      <c r="I16" s="10" t="n">
        <f aca="false">G16*H16</f>
        <v>9</v>
      </c>
      <c r="J16" s="10" t="str">
        <f aca="false">IF(I16&lt;=4,"Low",IF(I16&lt;=9,"Medium",IF(I16&lt;=14,"High","Critical")))</f>
        <v>Medium</v>
      </c>
    </row>
    <row r="17" customFormat="false" ht="15" hidden="false" customHeight="false" outlineLevel="0" collapsed="false">
      <c r="A17" s="6" t="s">
        <v>1042</v>
      </c>
      <c r="B17" s="6" t="s">
        <v>1031</v>
      </c>
      <c r="C17" s="7" t="n">
        <v>4</v>
      </c>
      <c r="D17" s="7" t="n">
        <v>3</v>
      </c>
      <c r="E17" s="10" t="n">
        <f aca="false">C17*D17</f>
        <v>12</v>
      </c>
      <c r="F17" s="10" t="str">
        <f aca="false">IF(E17&lt;=4,"Low",IF(E17&lt;=9,"Medium",IF(E17&lt;=14,"High","Critical")))</f>
        <v>High</v>
      </c>
      <c r="G17" s="7" t="n">
        <v>2</v>
      </c>
      <c r="H17" s="7" t="n">
        <v>3</v>
      </c>
      <c r="I17" s="10" t="n">
        <f aca="false">G17*H17</f>
        <v>6</v>
      </c>
      <c r="J17" s="10" t="str">
        <f aca="false">IF(I17&lt;=4,"Low",IF(I17&lt;=9,"Medium",IF(I17&lt;=14,"High","Critical")))</f>
        <v>Medium</v>
      </c>
    </row>
    <row r="18" customFormat="false" ht="15" hidden="false" customHeight="false" outlineLevel="0" collapsed="false">
      <c r="A18" s="6" t="s">
        <v>488</v>
      </c>
      <c r="B18" s="6" t="s">
        <v>1043</v>
      </c>
      <c r="C18" s="7" t="n">
        <v>4</v>
      </c>
      <c r="D18" s="7" t="n">
        <v>3</v>
      </c>
      <c r="E18" s="10" t="n">
        <f aca="false">C18*D18</f>
        <v>12</v>
      </c>
      <c r="F18" s="10" t="str">
        <f aca="false">IF(E18&lt;=4,"Low",IF(E18&lt;=9,"Medium",IF(E18&lt;=14,"High","Critical")))</f>
        <v>High</v>
      </c>
      <c r="G18" s="7" t="n">
        <v>3</v>
      </c>
      <c r="H18" s="7" t="n">
        <v>3</v>
      </c>
      <c r="I18" s="10" t="n">
        <f aca="false">G18*H18</f>
        <v>9</v>
      </c>
      <c r="J18" s="10" t="str">
        <f aca="false">IF(I18&lt;=4,"Low",IF(I18&lt;=9,"Medium",IF(I18&lt;=14,"High","Critical")))</f>
        <v>Medium</v>
      </c>
    </row>
    <row r="19" customFormat="false" ht="15" hidden="false" customHeight="false" outlineLevel="0" collapsed="false">
      <c r="A19" s="6" t="s">
        <v>651</v>
      </c>
      <c r="B19" s="6" t="s">
        <v>1043</v>
      </c>
      <c r="C19" s="7" t="n">
        <v>2</v>
      </c>
      <c r="D19" s="7" t="n">
        <v>4</v>
      </c>
      <c r="E19" s="10" t="n">
        <f aca="false">C19*D19</f>
        <v>8</v>
      </c>
      <c r="F19" s="10" t="str">
        <f aca="false">IF(E19&lt;=4,"Low",IF(E19&lt;=9,"Medium",IF(E19&lt;=14,"High","Critical")))</f>
        <v>Medium</v>
      </c>
      <c r="G19" s="7" t="n">
        <v>2</v>
      </c>
      <c r="H19" s="7" t="n">
        <v>4</v>
      </c>
      <c r="I19" s="10" t="n">
        <f aca="false">G19*H19</f>
        <v>8</v>
      </c>
      <c r="J19" s="10" t="str">
        <f aca="false">IF(I19&lt;=4,"Low",IF(I19&lt;=9,"Medium",IF(I19&lt;=14,"High","Critical")))</f>
        <v>Medium</v>
      </c>
    </row>
    <row r="21" customFormat="false" ht="15" hidden="false" customHeight="false" outlineLevel="0" collapsed="false">
      <c r="A21" s="1" t="s">
        <v>1044</v>
      </c>
      <c r="E21" s="8" t="n">
        <f aca="false">COUNTA(A4:A19)</f>
        <v>16</v>
      </c>
    </row>
    <row r="22" customFormat="false" ht="15" hidden="false" customHeight="false" outlineLevel="0" collapsed="false">
      <c r="A22" s="1" t="s">
        <v>1045</v>
      </c>
      <c r="E22" s="8" t="n">
        <f aca="false">SUM(E4:E19)</f>
        <v>233</v>
      </c>
    </row>
    <row r="23" customFormat="false" ht="15" hidden="false" customHeight="false" outlineLevel="0" collapsed="false">
      <c r="A23" s="1" t="s">
        <v>1046</v>
      </c>
      <c r="E23" s="8" t="n">
        <f aca="false">SUM(I4:I19)</f>
        <v>147</v>
      </c>
    </row>
    <row r="24" customFormat="false" ht="15" hidden="false" customHeight="false" outlineLevel="0" collapsed="false">
      <c r="A24" s="1" t="s">
        <v>1047</v>
      </c>
      <c r="E24" s="9" t="n">
        <f aca="false">(E22-E23)/E22</f>
        <v>0.369098712446352</v>
      </c>
    </row>
    <row r="25" customFormat="false" ht="15" hidden="false" customHeight="false" outlineLevel="0" collapsed="false">
      <c r="A25" s="1" t="s">
        <v>1048</v>
      </c>
      <c r="E25" s="11" t="n">
        <f aca="false">E23/E21</f>
        <v>9.1875</v>
      </c>
    </row>
    <row r="26" customFormat="false" ht="15" hidden="false" customHeight="false" outlineLevel="0" collapsed="false">
      <c r="A26" s="1" t="s">
        <v>1049</v>
      </c>
      <c r="E26" s="8" t="n">
        <f aca="false">SUM(I4:I17)</f>
        <v>130</v>
      </c>
    </row>
    <row r="27" customFormat="false" ht="15" hidden="false" customHeight="false" outlineLevel="0" collapsed="false">
      <c r="A27" s="1" t="s">
        <v>1050</v>
      </c>
      <c r="E27" s="8" t="n">
        <f aca="false">SUM(E4:E17)</f>
        <v>213</v>
      </c>
    </row>
    <row r="28" customFormat="false" ht="15" hidden="false" customHeight="false" outlineLevel="0" collapsed="false">
      <c r="A28" s="1" t="s">
        <v>1051</v>
      </c>
      <c r="E28" s="8" t="n">
        <f aca="false">COUNTIF(J4:J19,"Critical")</f>
        <v>1</v>
      </c>
    </row>
    <row r="29" customFormat="false" ht="15" hidden="false" customHeight="false" outlineLevel="0" collapsed="false">
      <c r="A29" s="1" t="s">
        <v>1052</v>
      </c>
      <c r="E29" s="8" t="n">
        <f aca="false">COUNTIF(J4:J19,"High")</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70"/>
    <col collapsed="false" customWidth="true" hidden="false" outlineLevel="0" max="4" min="4" style="0" width="16"/>
    <col collapsed="false" customWidth="true" hidden="false" outlineLevel="0" max="5" min="5" style="0" width="22"/>
    <col collapsed="false" customWidth="true" hidden="false" outlineLevel="0" max="6" min="6" style="0" width="12"/>
    <col collapsed="false" customWidth="true" hidden="false" outlineLevel="0" max="7" min="7" style="0" width="18"/>
    <col collapsed="false" customWidth="true" hidden="false" outlineLevel="0" max="8" min="8" style="0" width="44"/>
  </cols>
  <sheetData>
    <row r="1" customFormat="false" ht="15" hidden="false" customHeight="false" outlineLevel="0" collapsed="false">
      <c r="A1" s="4" t="s">
        <v>1053</v>
      </c>
    </row>
    <row r="3" customFormat="false" ht="15" hidden="false" customHeight="false" outlineLevel="0" collapsed="false">
      <c r="A3" s="5" t="s">
        <v>1054</v>
      </c>
      <c r="B3" s="5" t="s">
        <v>1055</v>
      </c>
      <c r="C3" s="5" t="s">
        <v>230</v>
      </c>
      <c r="D3" s="5" t="s">
        <v>1056</v>
      </c>
      <c r="E3" s="5" t="s">
        <v>229</v>
      </c>
      <c r="F3" s="5" t="s">
        <v>231</v>
      </c>
      <c r="G3" s="5" t="s">
        <v>1057</v>
      </c>
      <c r="H3" s="5" t="s">
        <v>1058</v>
      </c>
    </row>
    <row r="4" customFormat="false" ht="32.8" hidden="false" customHeight="false" outlineLevel="0" collapsed="false">
      <c r="A4" s="6" t="s">
        <v>431</v>
      </c>
      <c r="B4" s="6" t="s">
        <v>1059</v>
      </c>
      <c r="C4" s="6" t="s">
        <v>1060</v>
      </c>
      <c r="D4" s="6" t="s">
        <v>840</v>
      </c>
      <c r="E4" s="6" t="s">
        <v>53</v>
      </c>
      <c r="F4" s="6" t="s">
        <v>378</v>
      </c>
      <c r="G4" s="6" t="s">
        <v>1061</v>
      </c>
      <c r="H4" s="6" t="s">
        <v>1062</v>
      </c>
    </row>
    <row r="5" customFormat="false" ht="22.35" hidden="false" customHeight="false" outlineLevel="0" collapsed="false">
      <c r="A5" s="6" t="s">
        <v>857</v>
      </c>
      <c r="B5" s="6" t="s">
        <v>1059</v>
      </c>
      <c r="C5" s="6" t="s">
        <v>1063</v>
      </c>
      <c r="D5" s="6" t="s">
        <v>850</v>
      </c>
      <c r="E5" s="6" t="s">
        <v>117</v>
      </c>
      <c r="F5" s="6" t="s">
        <v>378</v>
      </c>
      <c r="G5" s="6" t="s">
        <v>1061</v>
      </c>
      <c r="H5" s="6" t="s">
        <v>1064</v>
      </c>
    </row>
    <row r="6" customFormat="false" ht="22.35" hidden="false" customHeight="false" outlineLevel="0" collapsed="false">
      <c r="A6" s="6" t="s">
        <v>363</v>
      </c>
      <c r="B6" s="6" t="s">
        <v>1059</v>
      </c>
      <c r="C6" s="6" t="s">
        <v>1065</v>
      </c>
      <c r="D6" s="6" t="s">
        <v>500</v>
      </c>
      <c r="E6" s="6" t="s">
        <v>117</v>
      </c>
      <c r="F6" s="6" t="s">
        <v>364</v>
      </c>
      <c r="G6" s="6" t="s">
        <v>1061</v>
      </c>
      <c r="H6" s="6" t="s">
        <v>1066</v>
      </c>
    </row>
    <row r="7" customFormat="false" ht="22.35" hidden="false" customHeight="false" outlineLevel="0" collapsed="false">
      <c r="A7" s="6" t="s">
        <v>872</v>
      </c>
      <c r="B7" s="6" t="s">
        <v>1067</v>
      </c>
      <c r="C7" s="6" t="s">
        <v>1068</v>
      </c>
      <c r="D7" s="6" t="s">
        <v>865</v>
      </c>
      <c r="E7" s="6" t="s">
        <v>117</v>
      </c>
      <c r="F7" s="6" t="s">
        <v>350</v>
      </c>
      <c r="G7" s="6" t="s">
        <v>1061</v>
      </c>
      <c r="H7" s="6" t="s">
        <v>1069</v>
      </c>
    </row>
    <row r="8" customFormat="false" ht="22.35" hidden="false" customHeight="false" outlineLevel="0" collapsed="false">
      <c r="A8" s="6" t="s">
        <v>384</v>
      </c>
      <c r="B8" s="6" t="s">
        <v>1067</v>
      </c>
      <c r="C8" s="6" t="s">
        <v>1070</v>
      </c>
      <c r="D8" s="6" t="s">
        <v>530</v>
      </c>
      <c r="E8" s="6" t="s">
        <v>117</v>
      </c>
      <c r="F8" s="6" t="s">
        <v>350</v>
      </c>
      <c r="G8" s="6" t="s">
        <v>1061</v>
      </c>
      <c r="H8" s="6" t="s">
        <v>1071</v>
      </c>
    </row>
    <row r="9" customFormat="false" ht="22.35" hidden="false" customHeight="false" outlineLevel="0" collapsed="false">
      <c r="A9" s="6" t="s">
        <v>349</v>
      </c>
      <c r="B9" s="6" t="s">
        <v>1067</v>
      </c>
      <c r="C9" s="6" t="s">
        <v>1072</v>
      </c>
      <c r="D9" s="6" t="s">
        <v>633</v>
      </c>
      <c r="E9" s="6" t="s">
        <v>53</v>
      </c>
      <c r="F9" s="6" t="s">
        <v>350</v>
      </c>
      <c r="G9" s="6" t="s">
        <v>1061</v>
      </c>
      <c r="H9" s="6" t="s">
        <v>1073</v>
      </c>
    </row>
    <row r="10" customFormat="false" ht="22.35" hidden="false" customHeight="false" outlineLevel="0" collapsed="false">
      <c r="A10" s="6" t="s">
        <v>257</v>
      </c>
      <c r="B10" s="6" t="s">
        <v>1067</v>
      </c>
      <c r="C10" s="6" t="s">
        <v>1074</v>
      </c>
      <c r="D10" s="6" t="s">
        <v>1075</v>
      </c>
      <c r="E10" s="6" t="s">
        <v>239</v>
      </c>
      <c r="F10" s="6" t="s">
        <v>241</v>
      </c>
      <c r="G10" s="6" t="s">
        <v>1061</v>
      </c>
      <c r="H10" s="6" t="s">
        <v>1076</v>
      </c>
    </row>
    <row r="11" customFormat="false" ht="22.35" hidden="false" customHeight="false" outlineLevel="0" collapsed="false">
      <c r="A11" s="6" t="s">
        <v>342</v>
      </c>
      <c r="B11" s="6" t="s">
        <v>1067</v>
      </c>
      <c r="C11" s="6" t="s">
        <v>1077</v>
      </c>
      <c r="D11" s="6" t="s">
        <v>522</v>
      </c>
      <c r="E11" s="6" t="s">
        <v>97</v>
      </c>
      <c r="F11" s="6" t="s">
        <v>241</v>
      </c>
      <c r="G11" s="6" t="s">
        <v>1061</v>
      </c>
      <c r="H11" s="6" t="s">
        <v>1078</v>
      </c>
    </row>
    <row r="12" customFormat="false" ht="15" hidden="false" customHeight="false" outlineLevel="0" collapsed="false">
      <c r="A12" s="6" t="s">
        <v>568</v>
      </c>
      <c r="B12" s="6" t="s">
        <v>1079</v>
      </c>
      <c r="C12" s="6" t="s">
        <v>1080</v>
      </c>
      <c r="D12" s="6" t="s">
        <v>567</v>
      </c>
      <c r="E12" s="6" t="s">
        <v>53</v>
      </c>
      <c r="F12" s="6" t="s">
        <v>492</v>
      </c>
      <c r="G12" s="6" t="s">
        <v>1061</v>
      </c>
      <c r="H12" s="6" t="s">
        <v>1081</v>
      </c>
    </row>
    <row r="13" customFormat="false" ht="22.35" hidden="false" customHeight="false" outlineLevel="0" collapsed="false">
      <c r="A13" s="6" t="s">
        <v>491</v>
      </c>
      <c r="B13" s="6" t="s">
        <v>1079</v>
      </c>
      <c r="C13" s="6" t="s">
        <v>1082</v>
      </c>
      <c r="D13" s="6" t="s">
        <v>490</v>
      </c>
      <c r="E13" s="6" t="s">
        <v>117</v>
      </c>
      <c r="F13" s="6" t="s">
        <v>492</v>
      </c>
      <c r="G13" s="6" t="s">
        <v>1061</v>
      </c>
      <c r="H13" s="6" t="s">
        <v>1083</v>
      </c>
    </row>
    <row r="14" customFormat="false" ht="22.35" hidden="false" customHeight="false" outlineLevel="0" collapsed="false">
      <c r="A14" s="6" t="s">
        <v>264</v>
      </c>
      <c r="B14" s="6" t="s">
        <v>1079</v>
      </c>
      <c r="C14" s="6" t="s">
        <v>1084</v>
      </c>
      <c r="D14" s="6" t="s">
        <v>1085</v>
      </c>
      <c r="E14" s="6" t="s">
        <v>239</v>
      </c>
      <c r="F14" s="6" t="s">
        <v>249</v>
      </c>
      <c r="G14" s="6" t="s">
        <v>1061</v>
      </c>
      <c r="H14" s="6" t="s">
        <v>1086</v>
      </c>
    </row>
    <row r="15" customFormat="false" ht="15" hidden="false" customHeight="false" outlineLevel="0" collapsed="false">
      <c r="A15" s="6" t="s">
        <v>678</v>
      </c>
      <c r="B15" s="6" t="s">
        <v>1079</v>
      </c>
      <c r="C15" s="6" t="s">
        <v>1087</v>
      </c>
      <c r="D15" s="6" t="s">
        <v>677</v>
      </c>
      <c r="E15" s="6" t="s">
        <v>117</v>
      </c>
      <c r="F15" s="6" t="s">
        <v>249</v>
      </c>
      <c r="G15" s="6" t="s">
        <v>1061</v>
      </c>
      <c r="H15" s="6" t="s">
        <v>1088</v>
      </c>
    </row>
    <row r="16" customFormat="false" ht="32.8" hidden="false" customHeight="false" outlineLevel="0" collapsed="false">
      <c r="A16" s="6" t="s">
        <v>511</v>
      </c>
      <c r="B16" s="6" t="s">
        <v>1079</v>
      </c>
      <c r="C16" s="6" t="s">
        <v>1089</v>
      </c>
      <c r="D16" s="6" t="s">
        <v>133</v>
      </c>
      <c r="E16" s="6" t="s">
        <v>117</v>
      </c>
      <c r="F16" s="6" t="s">
        <v>335</v>
      </c>
      <c r="G16" s="6" t="s">
        <v>1061</v>
      </c>
      <c r="H16" s="6" t="s">
        <v>1090</v>
      </c>
    </row>
    <row r="17" customFormat="false" ht="15" hidden="false" customHeight="false" outlineLevel="0" collapsed="false">
      <c r="A17" s="6" t="s">
        <v>391</v>
      </c>
      <c r="B17" s="6" t="s">
        <v>1091</v>
      </c>
      <c r="C17" s="6" t="s">
        <v>1092</v>
      </c>
      <c r="D17" s="6" t="s">
        <v>1093</v>
      </c>
      <c r="E17" s="6" t="s">
        <v>1094</v>
      </c>
      <c r="F17" s="6" t="s">
        <v>335</v>
      </c>
      <c r="G17" s="6" t="s">
        <v>1061</v>
      </c>
      <c r="H17" s="6" t="s">
        <v>1095</v>
      </c>
    </row>
    <row r="18" customFormat="false" ht="32.8" hidden="false" customHeight="false" outlineLevel="0" collapsed="false">
      <c r="A18" s="6" t="s">
        <v>1096</v>
      </c>
      <c r="B18" s="6" t="s">
        <v>1091</v>
      </c>
      <c r="C18" s="6" t="s">
        <v>1097</v>
      </c>
      <c r="D18" s="6" t="s">
        <v>691</v>
      </c>
      <c r="E18" s="6" t="s">
        <v>239</v>
      </c>
      <c r="F18" s="6" t="s">
        <v>1098</v>
      </c>
      <c r="G18" s="6" t="s">
        <v>1099</v>
      </c>
      <c r="H18" s="6" t="s">
        <v>1100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50"/>
    <col collapsed="false" customWidth="true" hidden="false" outlineLevel="0" max="4" min="4" style="0" width="60"/>
  </cols>
  <sheetData>
    <row r="1" customFormat="false" ht="15" hidden="false" customHeight="false" outlineLevel="0" collapsed="false">
      <c r="A1" s="4" t="s">
        <v>1101</v>
      </c>
    </row>
    <row r="3" customFormat="false" ht="15" hidden="false" customHeight="false" outlineLevel="0" collapsed="false">
      <c r="A3" s="5" t="s">
        <v>1054</v>
      </c>
      <c r="B3" s="5" t="s">
        <v>1102</v>
      </c>
      <c r="C3" s="5" t="s">
        <v>1103</v>
      </c>
      <c r="D3" s="5" t="s">
        <v>1104</v>
      </c>
    </row>
    <row r="4" customFormat="false" ht="22.35" hidden="false" customHeight="false" outlineLevel="0" collapsed="false">
      <c r="A4" s="6" t="s">
        <v>1105</v>
      </c>
      <c r="B4" s="6" t="s">
        <v>1106</v>
      </c>
      <c r="C4" s="6" t="s">
        <v>1107</v>
      </c>
      <c r="D4" s="6" t="s">
        <v>1108</v>
      </c>
    </row>
    <row r="5" customFormat="false" ht="22.35" hidden="false" customHeight="false" outlineLevel="0" collapsed="false">
      <c r="A5" s="6" t="s">
        <v>1109</v>
      </c>
      <c r="B5" s="6" t="s">
        <v>1110</v>
      </c>
      <c r="C5" s="6" t="s">
        <v>1111</v>
      </c>
      <c r="D5" s="6" t="s">
        <v>1112</v>
      </c>
    </row>
    <row r="6" customFormat="false" ht="22.35" hidden="false" customHeight="false" outlineLevel="0" collapsed="false">
      <c r="A6" s="6" t="s">
        <v>1113</v>
      </c>
      <c r="B6" s="6" t="s">
        <v>1114</v>
      </c>
      <c r="C6" s="6" t="s">
        <v>1115</v>
      </c>
      <c r="D6" s="6" t="s">
        <v>1116</v>
      </c>
    </row>
    <row r="7" customFormat="false" ht="32.8" hidden="false" customHeight="false" outlineLevel="0" collapsed="false">
      <c r="A7" s="6" t="s">
        <v>1117</v>
      </c>
      <c r="B7" s="6" t="s">
        <v>1118</v>
      </c>
      <c r="C7" s="6" t="s">
        <v>1119</v>
      </c>
      <c r="D7" s="6" t="s">
        <v>1120</v>
      </c>
    </row>
    <row r="8" customFormat="false" ht="22.35" hidden="false" customHeight="false" outlineLevel="0" collapsed="false">
      <c r="A8" s="6" t="s">
        <v>1121</v>
      </c>
      <c r="B8" s="6" t="s">
        <v>1122</v>
      </c>
      <c r="C8" s="6" t="s">
        <v>1123</v>
      </c>
      <c r="D8" s="6" t="s">
        <v>1124</v>
      </c>
    </row>
    <row r="9" customFormat="false" ht="22.35" hidden="false" customHeight="false" outlineLevel="0" collapsed="false">
      <c r="A9" s="6" t="s">
        <v>1125</v>
      </c>
      <c r="B9" s="6" t="s">
        <v>1126</v>
      </c>
      <c r="C9" s="6" t="s">
        <v>1127</v>
      </c>
      <c r="D9" s="6" t="s">
        <v>1128</v>
      </c>
    </row>
    <row r="10" customFormat="false" ht="22.35" hidden="false" customHeight="false" outlineLevel="0" collapsed="false">
      <c r="A10" s="6" t="s">
        <v>1129</v>
      </c>
      <c r="B10" s="6" t="s">
        <v>1130</v>
      </c>
      <c r="C10" s="6" t="s">
        <v>1131</v>
      </c>
      <c r="D10" s="6" t="s">
        <v>1132</v>
      </c>
    </row>
    <row r="11" customFormat="false" ht="22.35" hidden="false" customHeight="false" outlineLevel="0" collapsed="false">
      <c r="A11" s="6" t="s">
        <v>1133</v>
      </c>
      <c r="B11" s="6" t="s">
        <v>1134</v>
      </c>
      <c r="C11" s="6" t="s">
        <v>1135</v>
      </c>
      <c r="D11" s="6" t="s">
        <v>1136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4" min="3" style="0" width="8"/>
    <col collapsed="false" customWidth="true" hidden="false" outlineLevel="0" max="5" min="5" style="0" width="100"/>
  </cols>
  <sheetData>
    <row r="1" customFormat="false" ht="15" hidden="false" customHeight="false" outlineLevel="0" collapsed="false">
      <c r="A1" s="4" t="s">
        <v>1137</v>
      </c>
    </row>
    <row r="3" customFormat="false" ht="15" hidden="false" customHeight="false" outlineLevel="0" collapsed="false">
      <c r="A3" s="5" t="s">
        <v>1138</v>
      </c>
      <c r="B3" s="5" t="s">
        <v>1139</v>
      </c>
      <c r="C3" s="5" t="s">
        <v>1140</v>
      </c>
      <c r="D3" s="5" t="s">
        <v>1141</v>
      </c>
      <c r="E3" s="5" t="s">
        <v>1142</v>
      </c>
    </row>
    <row r="4" customFormat="false" ht="15" hidden="false" customHeight="false" outlineLevel="0" collapsed="false">
      <c r="A4" s="6" t="s">
        <v>981</v>
      </c>
      <c r="B4" s="6" t="s">
        <v>1143</v>
      </c>
      <c r="C4" s="6" t="n">
        <v>1</v>
      </c>
      <c r="D4" s="7" t="n">
        <v>1</v>
      </c>
      <c r="E4" s="6" t="s">
        <v>1144</v>
      </c>
    </row>
    <row r="5" customFormat="false" ht="15" hidden="false" customHeight="false" outlineLevel="0" collapsed="false">
      <c r="A5" s="6" t="s">
        <v>1145</v>
      </c>
      <c r="B5" s="6" t="s">
        <v>1146</v>
      </c>
      <c r="C5" s="6" t="n">
        <v>2</v>
      </c>
      <c r="D5" s="7" t="n">
        <v>2</v>
      </c>
      <c r="E5" s="6" t="s">
        <v>1147</v>
      </c>
    </row>
    <row r="6" customFormat="false" ht="15" hidden="false" customHeight="false" outlineLevel="0" collapsed="false">
      <c r="A6" s="6" t="s">
        <v>1148</v>
      </c>
      <c r="B6" s="6" t="s">
        <v>1149</v>
      </c>
      <c r="C6" s="6" t="n">
        <v>2</v>
      </c>
      <c r="D6" s="7" t="n">
        <v>2</v>
      </c>
      <c r="E6" s="6" t="s">
        <v>1150</v>
      </c>
    </row>
    <row r="7" customFormat="false" ht="22.35" hidden="false" customHeight="false" outlineLevel="0" collapsed="false">
      <c r="A7" s="6" t="s">
        <v>1151</v>
      </c>
      <c r="B7" s="6" t="s">
        <v>1152</v>
      </c>
      <c r="C7" s="6" t="n">
        <v>2</v>
      </c>
      <c r="D7" s="7" t="n">
        <v>2</v>
      </c>
      <c r="E7" s="6" t="s">
        <v>1153</v>
      </c>
    </row>
    <row r="8" customFormat="false" ht="15" hidden="false" customHeight="false" outlineLevel="0" collapsed="false">
      <c r="A8" s="6" t="s">
        <v>1154</v>
      </c>
      <c r="B8" s="6" t="s">
        <v>731</v>
      </c>
      <c r="C8" s="6" t="n">
        <v>1</v>
      </c>
      <c r="D8" s="7" t="n">
        <v>1</v>
      </c>
      <c r="E8" s="6" t="s">
        <v>1150</v>
      </c>
    </row>
    <row r="9" customFormat="false" ht="15" hidden="false" customHeight="false" outlineLevel="0" collapsed="false">
      <c r="A9" s="6" t="s">
        <v>942</v>
      </c>
      <c r="B9" s="6" t="s">
        <v>1155</v>
      </c>
      <c r="C9" s="6" t="n">
        <v>2</v>
      </c>
      <c r="D9" s="7" t="n">
        <v>2</v>
      </c>
      <c r="E9" s="6" t="s">
        <v>1156</v>
      </c>
    </row>
    <row r="10" customFormat="false" ht="15" hidden="false" customHeight="false" outlineLevel="0" collapsed="false">
      <c r="A10" s="6" t="s">
        <v>1157</v>
      </c>
      <c r="B10" s="6" t="s">
        <v>1158</v>
      </c>
      <c r="C10" s="6" t="n">
        <v>1</v>
      </c>
      <c r="D10" s="7" t="n">
        <v>1</v>
      </c>
      <c r="E10" s="6" t="s">
        <v>1159</v>
      </c>
    </row>
    <row r="11" customFormat="false" ht="15" hidden="false" customHeight="false" outlineLevel="0" collapsed="false">
      <c r="A11" s="6" t="s">
        <v>1160</v>
      </c>
      <c r="B11" s="6" t="s">
        <v>1161</v>
      </c>
      <c r="C11" s="6" t="n">
        <v>3</v>
      </c>
      <c r="D11" s="7" t="n">
        <v>3</v>
      </c>
      <c r="E11" s="6" t="s">
        <v>1150</v>
      </c>
    </row>
    <row r="12" customFormat="false" ht="15" hidden="false" customHeight="false" outlineLevel="0" collapsed="false">
      <c r="A12" s="6" t="s">
        <v>1162</v>
      </c>
      <c r="B12" s="6" t="s">
        <v>1163</v>
      </c>
      <c r="C12" s="6" t="n">
        <v>1</v>
      </c>
      <c r="D12" s="7" t="n">
        <v>1</v>
      </c>
      <c r="E12" s="6" t="s">
        <v>1150</v>
      </c>
    </row>
    <row r="13" customFormat="false" ht="22.35" hidden="false" customHeight="false" outlineLevel="0" collapsed="false">
      <c r="A13" s="6" t="s">
        <v>1164</v>
      </c>
      <c r="B13" s="6" t="s">
        <v>1165</v>
      </c>
      <c r="C13" s="6" t="n">
        <v>2</v>
      </c>
      <c r="D13" s="7" t="n">
        <v>2</v>
      </c>
      <c r="E13" s="6" t="s">
        <v>1150</v>
      </c>
    </row>
    <row r="14" customFormat="false" ht="15" hidden="false" customHeight="false" outlineLevel="0" collapsed="false">
      <c r="A14" s="6" t="s">
        <v>962</v>
      </c>
      <c r="B14" s="6" t="s">
        <v>1166</v>
      </c>
      <c r="C14" s="6" t="n">
        <v>1</v>
      </c>
      <c r="D14" s="7" t="n">
        <v>1</v>
      </c>
      <c r="E14" s="6" t="s">
        <v>1167</v>
      </c>
    </row>
    <row r="15" customFormat="false" ht="15" hidden="false" customHeight="false" outlineLevel="0" collapsed="false">
      <c r="A15" s="6" t="s">
        <v>1168</v>
      </c>
      <c r="B15" s="6" t="s">
        <v>1169</v>
      </c>
      <c r="C15" s="6" t="n">
        <v>2</v>
      </c>
      <c r="D15" s="7" t="n">
        <v>2</v>
      </c>
      <c r="E15" s="6" t="s">
        <v>1150</v>
      </c>
    </row>
    <row r="16" customFormat="false" ht="15" hidden="false" customHeight="false" outlineLevel="0" collapsed="false">
      <c r="A16" s="6" t="s">
        <v>1170</v>
      </c>
      <c r="B16" s="6" t="s">
        <v>1171</v>
      </c>
      <c r="C16" s="6" t="n">
        <v>0</v>
      </c>
      <c r="D16" s="7" t="n">
        <v>0</v>
      </c>
      <c r="E16" s="6" t="s">
        <v>1150</v>
      </c>
    </row>
    <row r="17" customFormat="false" ht="15" hidden="false" customHeight="false" outlineLevel="0" collapsed="false">
      <c r="A17" s="6" t="s">
        <v>1172</v>
      </c>
      <c r="B17" s="6" t="s">
        <v>1173</v>
      </c>
      <c r="C17" s="6" t="n">
        <v>0</v>
      </c>
      <c r="D17" s="7" t="n">
        <v>0</v>
      </c>
      <c r="E17" s="6" t="s">
        <v>1150</v>
      </c>
    </row>
    <row r="18" customFormat="false" ht="15" hidden="false" customHeight="false" outlineLevel="0" collapsed="false">
      <c r="A18" s="6" t="s">
        <v>1174</v>
      </c>
      <c r="B18" s="6" t="s">
        <v>1175</v>
      </c>
      <c r="C18" s="6" t="n">
        <v>1</v>
      </c>
      <c r="D18" s="7" t="n">
        <v>1</v>
      </c>
      <c r="E18" s="6" t="s">
        <v>1150</v>
      </c>
    </row>
    <row r="19" customFormat="false" ht="15" hidden="false" customHeight="false" outlineLevel="0" collapsed="false">
      <c r="A19" s="6" t="s">
        <v>1176</v>
      </c>
      <c r="B19" s="6" t="s">
        <v>1177</v>
      </c>
      <c r="C19" s="6" t="n">
        <v>1</v>
      </c>
      <c r="D19" s="7" t="n">
        <v>1</v>
      </c>
      <c r="E19" s="6" t="s">
        <v>1150</v>
      </c>
    </row>
    <row r="20" customFormat="false" ht="15" hidden="false" customHeight="false" outlineLevel="0" collapsed="false">
      <c r="A20" s="6" t="s">
        <v>1178</v>
      </c>
      <c r="B20" s="6" t="s">
        <v>1179</v>
      </c>
      <c r="C20" s="6" t="n">
        <v>2</v>
      </c>
      <c r="D20" s="7" t="n">
        <v>2</v>
      </c>
      <c r="E20" s="6" t="s">
        <v>1150</v>
      </c>
    </row>
    <row r="21" customFormat="false" ht="15" hidden="false" customHeight="false" outlineLevel="0" collapsed="false">
      <c r="A21" s="6" t="s">
        <v>1180</v>
      </c>
      <c r="B21" s="6" t="s">
        <v>1181</v>
      </c>
      <c r="C21" s="6" t="n">
        <v>1</v>
      </c>
      <c r="D21" s="7" t="n">
        <v>1</v>
      </c>
      <c r="E21" s="6" t="s">
        <v>1150</v>
      </c>
    </row>
    <row r="22" customFormat="false" ht="15" hidden="false" customHeight="false" outlineLevel="0" collapsed="false">
      <c r="A22" s="6" t="s">
        <v>1182</v>
      </c>
      <c r="B22" s="6" t="s">
        <v>1183</v>
      </c>
      <c r="C22" s="6" t="n">
        <v>2</v>
      </c>
      <c r="D22" s="7" t="n">
        <v>2</v>
      </c>
      <c r="E22" s="6" t="s">
        <v>1150</v>
      </c>
    </row>
    <row r="23" customFormat="false" ht="15" hidden="false" customHeight="false" outlineLevel="0" collapsed="false">
      <c r="A23" s="6" t="s">
        <v>1184</v>
      </c>
      <c r="B23" s="6" t="s">
        <v>1185</v>
      </c>
      <c r="C23" s="6" t="n">
        <v>1</v>
      </c>
      <c r="D23" s="7" t="n">
        <v>1</v>
      </c>
      <c r="E23" s="6" t="s">
        <v>1150</v>
      </c>
    </row>
    <row r="24" customFormat="false" ht="15" hidden="false" customHeight="false" outlineLevel="0" collapsed="false">
      <c r="A24" s="6" t="s">
        <v>1186</v>
      </c>
      <c r="B24" s="6" t="s">
        <v>1187</v>
      </c>
      <c r="C24" s="6" t="n">
        <v>1</v>
      </c>
      <c r="D24" s="7" t="n">
        <v>1</v>
      </c>
      <c r="E24" s="6" t="s">
        <v>1150</v>
      </c>
    </row>
    <row r="25" customFormat="false" ht="15" hidden="false" customHeight="false" outlineLevel="0" collapsed="false">
      <c r="A25" s="6" t="s">
        <v>1188</v>
      </c>
      <c r="B25" s="6" t="s">
        <v>1189</v>
      </c>
      <c r="C25" s="6" t="n">
        <v>0</v>
      </c>
      <c r="D25" s="7" t="n">
        <v>0</v>
      </c>
      <c r="E25" s="6" t="s">
        <v>1150</v>
      </c>
    </row>
    <row r="27" customFormat="false" ht="15" hidden="false" customHeight="false" outlineLevel="0" collapsed="false">
      <c r="A27" s="1" t="s">
        <v>1190</v>
      </c>
      <c r="C27" s="8" t="n">
        <f aca="false">SUM(C4:C25)</f>
        <v>29</v>
      </c>
      <c r="D27" s="8" t="n">
        <f aca="false">SUM(D4:D25)</f>
        <v>29</v>
      </c>
    </row>
    <row r="28" customFormat="false" ht="15" hidden="false" customHeight="false" outlineLevel="0" collapsed="false">
      <c r="A28" s="1" t="s">
        <v>1191</v>
      </c>
      <c r="C28" s="11" t="n">
        <f aca="false">C27/COUNTA($A$4:$A$25)</f>
        <v>1.31818181818182</v>
      </c>
      <c r="D28" s="11" t="n">
        <f aca="false">D27/COUNTA($A$4:$A$25)</f>
        <v>1.31818181818182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60"/>
    <col collapsed="false" customWidth="true" hidden="false" outlineLevel="0" max="4" min="4" style="0" width="70"/>
  </cols>
  <sheetData>
    <row r="1" customFormat="false" ht="15" hidden="false" customHeight="false" outlineLevel="0" collapsed="false">
      <c r="A1" s="4" t="s">
        <v>1192</v>
      </c>
    </row>
    <row r="3" customFormat="false" ht="15" hidden="false" customHeight="false" outlineLevel="0" collapsed="false">
      <c r="A3" s="5" t="s">
        <v>1054</v>
      </c>
      <c r="B3" s="5" t="s">
        <v>1193</v>
      </c>
      <c r="C3" s="5" t="s">
        <v>1194</v>
      </c>
      <c r="D3" s="5" t="s">
        <v>1195</v>
      </c>
    </row>
    <row r="4" customFormat="false" ht="32.8" hidden="false" customHeight="false" outlineLevel="0" collapsed="false">
      <c r="A4" s="6" t="s">
        <v>1196</v>
      </c>
      <c r="B4" s="6" t="s">
        <v>1197</v>
      </c>
      <c r="C4" s="6" t="s">
        <v>1198</v>
      </c>
      <c r="D4" s="6" t="s">
        <v>1199</v>
      </c>
    </row>
    <row r="5" customFormat="false" ht="22.35" hidden="false" customHeight="false" outlineLevel="0" collapsed="false">
      <c r="A5" s="6" t="s">
        <v>1200</v>
      </c>
      <c r="B5" s="6" t="s">
        <v>1197</v>
      </c>
      <c r="C5" s="6" t="s">
        <v>1201</v>
      </c>
      <c r="D5" s="6" t="s">
        <v>1202</v>
      </c>
    </row>
    <row r="6" customFormat="false" ht="22.35" hidden="false" customHeight="false" outlineLevel="0" collapsed="false">
      <c r="A6" s="6" t="s">
        <v>1203</v>
      </c>
      <c r="B6" s="6" t="s">
        <v>1197</v>
      </c>
      <c r="C6" s="6" t="s">
        <v>1204</v>
      </c>
      <c r="D6" s="6" t="s">
        <v>1205</v>
      </c>
    </row>
    <row r="7" customFormat="false" ht="22.35" hidden="false" customHeight="false" outlineLevel="0" collapsed="false">
      <c r="A7" s="6" t="s">
        <v>1206</v>
      </c>
      <c r="B7" s="6" t="s">
        <v>1197</v>
      </c>
      <c r="C7" s="6" t="s">
        <v>1207</v>
      </c>
      <c r="D7" s="6" t="s">
        <v>1208</v>
      </c>
    </row>
    <row r="8" customFormat="false" ht="15" hidden="false" customHeight="false" outlineLevel="0" collapsed="false">
      <c r="A8" s="6" t="s">
        <v>1209</v>
      </c>
      <c r="B8" s="6" t="s">
        <v>1210</v>
      </c>
      <c r="C8" s="6" t="s">
        <v>1211</v>
      </c>
      <c r="D8" s="6" t="s">
        <v>1212</v>
      </c>
    </row>
    <row r="9" customFormat="false" ht="32.8" hidden="false" customHeight="false" outlineLevel="0" collapsed="false">
      <c r="A9" s="6" t="s">
        <v>1213</v>
      </c>
      <c r="B9" s="6" t="s">
        <v>1210</v>
      </c>
      <c r="C9" s="6" t="s">
        <v>1214</v>
      </c>
      <c r="D9" s="6" t="s">
        <v>1215</v>
      </c>
    </row>
    <row r="10" customFormat="false" ht="15" hidden="false" customHeight="false" outlineLevel="0" collapsed="false">
      <c r="A10" s="6" t="s">
        <v>1216</v>
      </c>
      <c r="B10" s="6" t="s">
        <v>1210</v>
      </c>
      <c r="C10" s="6" t="s">
        <v>1217</v>
      </c>
      <c r="D10" s="6" t="s">
        <v>1218</v>
      </c>
    </row>
    <row r="11" customFormat="false" ht="22.35" hidden="false" customHeight="false" outlineLevel="0" collapsed="false">
      <c r="A11" s="6" t="s">
        <v>1219</v>
      </c>
      <c r="B11" s="6" t="s">
        <v>1210</v>
      </c>
      <c r="C11" s="6" t="s">
        <v>1220</v>
      </c>
      <c r="D11" s="6" t="s">
        <v>1221</v>
      </c>
    </row>
    <row r="12" customFormat="false" ht="22.35" hidden="false" customHeight="false" outlineLevel="0" collapsed="false">
      <c r="A12" s="6" t="s">
        <v>1222</v>
      </c>
      <c r="B12" s="6" t="s">
        <v>1210</v>
      </c>
      <c r="C12" s="6" t="s">
        <v>1223</v>
      </c>
      <c r="D12" s="6" t="s">
        <v>1224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12"/>
    <col collapsed="false" customWidth="true" hidden="false" outlineLevel="0" max="4" min="4" style="0" width="16"/>
    <col collapsed="false" customWidth="true" hidden="false" outlineLevel="0" max="5" min="5" style="0" width="10"/>
  </cols>
  <sheetData>
    <row r="1" customFormat="false" ht="15" hidden="false" customHeight="false" outlineLevel="0" collapsed="false">
      <c r="A1" s="4" t="s">
        <v>1225</v>
      </c>
    </row>
    <row r="3" customFormat="false" ht="15" hidden="false" customHeight="false" outlineLevel="0" collapsed="false">
      <c r="A3" s="5" t="s">
        <v>1226</v>
      </c>
      <c r="B3" s="5" t="s">
        <v>1227</v>
      </c>
      <c r="C3" s="5" t="s">
        <v>1228</v>
      </c>
      <c r="D3" s="5" t="s">
        <v>1229</v>
      </c>
      <c r="E3" s="5" t="s">
        <v>689</v>
      </c>
    </row>
    <row r="4" customFormat="false" ht="15" hidden="false" customHeight="false" outlineLevel="0" collapsed="false">
      <c r="A4" s="6" t="n">
        <v>1</v>
      </c>
      <c r="B4" s="6" t="s">
        <v>1230</v>
      </c>
      <c r="C4" s="6" t="n">
        <v>38</v>
      </c>
      <c r="D4" s="10" t="n">
        <f aca="false">05_Annex_A!$H$43</f>
        <v>38</v>
      </c>
      <c r="E4" s="10" t="str">
        <f aca="false">IF(D4=C4,"PASS","FAIL")</f>
        <v>PASS</v>
      </c>
    </row>
    <row r="5" customFormat="false" ht="15" hidden="false" customHeight="false" outlineLevel="0" collapsed="false">
      <c r="A5" s="6" t="n">
        <v>2</v>
      </c>
      <c r="B5" s="6" t="s">
        <v>1231</v>
      </c>
      <c r="C5" s="6" t="n">
        <v>38</v>
      </c>
      <c r="D5" s="10" t="n">
        <f aca="false">05_Annex_A!$H$44+05_Annex_A!$H$45</f>
        <v>38</v>
      </c>
      <c r="E5" s="10" t="str">
        <f aca="false">IF(D5=C5,"PASS","FAIL")</f>
        <v>PASS</v>
      </c>
    </row>
    <row r="6" customFormat="false" ht="15" hidden="false" customHeight="false" outlineLevel="0" collapsed="false">
      <c r="A6" s="6" t="n">
        <v>3</v>
      </c>
      <c r="B6" s="6" t="s">
        <v>1232</v>
      </c>
      <c r="C6" s="6" t="n">
        <v>26</v>
      </c>
      <c r="D6" s="10" t="n">
        <f aca="false">05_Annex_A!$H$44</f>
        <v>26</v>
      </c>
      <c r="E6" s="10" t="str">
        <f aca="false">IF(D6=C6,"PASS","FAIL")</f>
        <v>PASS</v>
      </c>
    </row>
    <row r="7" customFormat="false" ht="15" hidden="false" customHeight="false" outlineLevel="0" collapsed="false">
      <c r="A7" s="6" t="n">
        <v>4</v>
      </c>
      <c r="B7" s="6" t="s">
        <v>1233</v>
      </c>
      <c r="C7" s="6" t="n">
        <v>26</v>
      </c>
      <c r="D7" s="10" t="n">
        <f aca="false">05_Annex_A!$H$46+05_Annex_A!$H$47+05_Annex_A!$H$48</f>
        <v>26</v>
      </c>
      <c r="E7" s="10" t="str">
        <f aca="false">IF(D7=C7,"PASS","FAIL")</f>
        <v>PASS</v>
      </c>
    </row>
    <row r="8" customFormat="false" ht="15" hidden="false" customHeight="false" outlineLevel="0" collapsed="false">
      <c r="A8" s="6" t="n">
        <v>5</v>
      </c>
      <c r="B8" s="6" t="s">
        <v>1234</v>
      </c>
      <c r="C8" s="6" t="n">
        <v>0</v>
      </c>
      <c r="D8" s="10" t="n">
        <f aca="false">COUNTIFS(05_Annex_A!$E$4:$E$41,"N",05_Annex_A!$G$4:$G$41,"&lt;&gt;")</f>
        <v>0</v>
      </c>
      <c r="E8" s="10" t="str">
        <f aca="false">IF(D8=C8,"PASS","FAIL")</f>
        <v>PASS</v>
      </c>
    </row>
    <row r="9" customFormat="false" ht="15" hidden="false" customHeight="false" outlineLevel="0" collapsed="false">
      <c r="A9" s="6" t="n">
        <v>6</v>
      </c>
      <c r="B9" s="6" t="s">
        <v>1235</v>
      </c>
      <c r="C9" s="6" t="n">
        <v>0</v>
      </c>
      <c r="D9" s="10" t="n">
        <f aca="false">05_Annex_A!$H$48</f>
        <v>0</v>
      </c>
      <c r="E9" s="10" t="str">
        <f aca="false">IF(D9=C9,"PASS","FAIL")</f>
        <v>PASS</v>
      </c>
    </row>
    <row r="10" customFormat="false" ht="15" hidden="false" customHeight="false" outlineLevel="0" collapsed="false">
      <c r="A10" s="6" t="n">
        <v>7</v>
      </c>
      <c r="B10" s="6" t="s">
        <v>1236</v>
      </c>
      <c r="C10" s="6" t="n">
        <v>30</v>
      </c>
      <c r="D10" s="10" t="n">
        <f aca="false">COUNTA(04_Clauses!$A$4:$A$33)</f>
        <v>30</v>
      </c>
      <c r="E10" s="10" t="str">
        <f aca="false">IF(D10=C10,"PASS","FAIL")</f>
        <v>PASS</v>
      </c>
    </row>
    <row r="11" customFormat="false" ht="15" hidden="false" customHeight="false" outlineLevel="0" collapsed="false">
      <c r="A11" s="6" t="n">
        <v>8</v>
      </c>
      <c r="B11" s="6" t="s">
        <v>1237</v>
      </c>
      <c r="C11" s="6" t="n">
        <v>18</v>
      </c>
      <c r="D11" s="10" t="n">
        <f aca="false">04_Clauses!$D$35</f>
        <v>18</v>
      </c>
      <c r="E11" s="10" t="str">
        <f aca="false">IF(D11=C11,"PASS","FAIL")</f>
        <v>PASS</v>
      </c>
    </row>
    <row r="12" customFormat="false" ht="15" hidden="false" customHeight="false" outlineLevel="0" collapsed="false">
      <c r="A12" s="6" t="n">
        <v>9</v>
      </c>
      <c r="B12" s="6" t="s">
        <v>1238</v>
      </c>
      <c r="C12" s="6" t="n">
        <v>9</v>
      </c>
      <c r="D12" s="10" t="n">
        <f aca="false">04_Clauses!$D$38</f>
        <v>9</v>
      </c>
      <c r="E12" s="10" t="str">
        <f aca="false">IF(D12=C12,"PASS","FAIL")</f>
        <v>PASS</v>
      </c>
    </row>
    <row r="13" customFormat="false" ht="15" hidden="false" customHeight="false" outlineLevel="0" collapsed="false">
      <c r="A13" s="6" t="n">
        <v>10</v>
      </c>
      <c r="B13" s="6" t="s">
        <v>1239</v>
      </c>
      <c r="C13" s="6" t="n">
        <v>30.3</v>
      </c>
      <c r="D13" s="10" t="n">
        <f aca="false">ROUND(06_Readiness!$C$6*100,1)</f>
        <v>30.3</v>
      </c>
      <c r="E13" s="10" t="str">
        <f aca="false">IF(D13=C13,"PASS","FAIL")</f>
        <v>PASS</v>
      </c>
    </row>
    <row r="14" customFormat="false" ht="15" hidden="false" customHeight="false" outlineLevel="0" collapsed="false">
      <c r="A14" s="6" t="n">
        <v>11</v>
      </c>
      <c r="B14" s="6" t="s">
        <v>1240</v>
      </c>
      <c r="C14" s="6" t="n">
        <v>4</v>
      </c>
      <c r="D14" s="10" t="n">
        <f aca="false">COUNTA(01_AI_Register!$A$4:$A$7)</f>
        <v>4</v>
      </c>
      <c r="E14" s="10" t="str">
        <f aca="false">IF(D14=C14,"PASS","FAIL")</f>
        <v>PASS</v>
      </c>
    </row>
    <row r="15" customFormat="false" ht="15" hidden="false" customHeight="false" outlineLevel="0" collapsed="false">
      <c r="A15" s="6" t="n">
        <v>12</v>
      </c>
      <c r="B15" s="6" t="s">
        <v>1241</v>
      </c>
      <c r="C15" s="6" t="n">
        <v>0</v>
      </c>
      <c r="D15" s="10" t="n">
        <f aca="false">COUNTIF(02_AI_Act_Tests!$K$4:$K$7,"High*")+COUNTIF(02_AI_Act_Tests!$K$4:$K$7,"Prohib*")</f>
        <v>0</v>
      </c>
      <c r="E15" s="10" t="str">
        <f aca="false">IF(D15=C15,"PASS","FAIL")</f>
        <v>PASS</v>
      </c>
    </row>
    <row r="16" customFormat="false" ht="15" hidden="false" customHeight="false" outlineLevel="0" collapsed="false">
      <c r="A16" s="6" t="n">
        <v>13</v>
      </c>
      <c r="B16" s="6" t="s">
        <v>1242</v>
      </c>
      <c r="C16" s="6" t="n">
        <v>13</v>
      </c>
      <c r="D16" s="10" t="n">
        <f aca="false">COUNTA(10_Findings!$A$4:$A$16)</f>
        <v>13</v>
      </c>
      <c r="E16" s="10" t="str">
        <f aca="false">IF(D16=C16,"PASS","FAIL")</f>
        <v>PASS</v>
      </c>
    </row>
    <row r="17" customFormat="false" ht="15" hidden="false" customHeight="false" outlineLevel="0" collapsed="false">
      <c r="A17" s="6" t="n">
        <v>14</v>
      </c>
      <c r="B17" s="6" t="s">
        <v>1243</v>
      </c>
      <c r="C17" s="6" t="n">
        <v>13</v>
      </c>
      <c r="D17" s="10" t="n">
        <f aca="false">10_Findings!$B$22</f>
        <v>13</v>
      </c>
      <c r="E17" s="10" t="str">
        <f aca="false">IF(D17=C17,"PASS","FAIL")</f>
        <v>PASS</v>
      </c>
    </row>
    <row r="18" customFormat="false" ht="15" hidden="false" customHeight="false" outlineLevel="0" collapsed="false">
      <c r="A18" s="6" t="n">
        <v>15</v>
      </c>
      <c r="B18" s="6" t="s">
        <v>1244</v>
      </c>
      <c r="C18" s="6" t="n">
        <v>0</v>
      </c>
      <c r="D18" s="10" t="n">
        <f aca="false">COUNTBLANK(10_Findings!$K$4:$K$16)</f>
        <v>0</v>
      </c>
      <c r="E18" s="10" t="str">
        <f aca="false">IF(D18=C18,"PASS","FAIL")</f>
        <v>PASS</v>
      </c>
    </row>
    <row r="19" customFormat="false" ht="15" hidden="false" customHeight="false" outlineLevel="0" collapsed="false">
      <c r="A19" s="6" t="n">
        <v>16</v>
      </c>
      <c r="B19" s="6" t="s">
        <v>1245</v>
      </c>
      <c r="C19" s="6" t="n">
        <v>13</v>
      </c>
      <c r="D19" s="10" t="n">
        <f aca="false">COUNTA(12_Mapping!$A$4:$A$16)</f>
        <v>13</v>
      </c>
      <c r="E19" s="10" t="str">
        <f aca="false">IF(D19=C19,"PASS","FAIL")</f>
        <v>PASS</v>
      </c>
    </row>
    <row r="20" customFormat="false" ht="15" hidden="false" customHeight="false" outlineLevel="0" collapsed="false">
      <c r="A20" s="6" t="n">
        <v>17</v>
      </c>
      <c r="B20" s="6" t="s">
        <v>1246</v>
      </c>
      <c r="C20" s="6" t="n">
        <v>16</v>
      </c>
      <c r="D20" s="10" t="n">
        <f aca="false">'14_Register_v1.3'!$E$21</f>
        <v>16</v>
      </c>
      <c r="E20" s="10" t="str">
        <f aca="false">IF(D20=C20,"PASS","FAIL")</f>
        <v>PASS</v>
      </c>
    </row>
    <row r="21" customFormat="false" ht="15" hidden="false" customHeight="false" outlineLevel="0" collapsed="false">
      <c r="A21" s="6" t="n">
        <v>18</v>
      </c>
      <c r="B21" s="6" t="s">
        <v>1247</v>
      </c>
      <c r="C21" s="6" t="n">
        <v>213</v>
      </c>
      <c r="D21" s="10" t="n">
        <f aca="false">'14_Register_v1.3'!$E$27</f>
        <v>213</v>
      </c>
      <c r="E21" s="10" t="str">
        <f aca="false">IF(D21=C21,"PASS","FAIL")</f>
        <v>PASS</v>
      </c>
    </row>
    <row r="22" customFormat="false" ht="15" hidden="false" customHeight="false" outlineLevel="0" collapsed="false">
      <c r="A22" s="6" t="n">
        <v>19</v>
      </c>
      <c r="B22" s="6" t="s">
        <v>1248</v>
      </c>
      <c r="C22" s="6" t="n">
        <v>130</v>
      </c>
      <c r="D22" s="10" t="n">
        <f aca="false">'14_Register_v1.3'!$E$26</f>
        <v>130</v>
      </c>
      <c r="E22" s="10" t="str">
        <f aca="false">IF(D22=C22,"PASS","FAIL")</f>
        <v>PASS</v>
      </c>
    </row>
    <row r="23" customFormat="false" ht="15" hidden="false" customHeight="false" outlineLevel="0" collapsed="false">
      <c r="A23" s="6" t="n">
        <v>20</v>
      </c>
      <c r="B23" s="6" t="s">
        <v>1249</v>
      </c>
      <c r="C23" s="6" t="n">
        <v>233</v>
      </c>
      <c r="D23" s="10" t="n">
        <f aca="false">'14_Register_v1.3'!$E$22</f>
        <v>233</v>
      </c>
      <c r="E23" s="10" t="str">
        <f aca="false">IF(D23=C23,"PASS","FAIL")</f>
        <v>PASS</v>
      </c>
    </row>
    <row r="24" customFormat="false" ht="15" hidden="false" customHeight="false" outlineLevel="0" collapsed="false">
      <c r="A24" s="6" t="n">
        <v>21</v>
      </c>
      <c r="B24" s="6" t="s">
        <v>1250</v>
      </c>
      <c r="C24" s="6" t="n">
        <v>147</v>
      </c>
      <c r="D24" s="10" t="n">
        <f aca="false">'14_Register_v1.3'!$E$23</f>
        <v>147</v>
      </c>
      <c r="E24" s="10" t="str">
        <f aca="false">IF(D24=C24,"PASS","FAIL")</f>
        <v>PASS</v>
      </c>
    </row>
    <row r="25" customFormat="false" ht="15" hidden="false" customHeight="false" outlineLevel="0" collapsed="false">
      <c r="A25" s="6" t="n">
        <v>22</v>
      </c>
      <c r="B25" s="6" t="s">
        <v>1251</v>
      </c>
      <c r="C25" s="6" t="n">
        <v>1</v>
      </c>
      <c r="D25" s="10" t="n">
        <f aca="false">'14_Register_v1.3'!$E$28</f>
        <v>1</v>
      </c>
      <c r="E25" s="10" t="str">
        <f aca="false">IF(D25=C25,"PASS","FAIL")</f>
        <v>PASS</v>
      </c>
    </row>
    <row r="26" customFormat="false" ht="15" hidden="false" customHeight="false" outlineLevel="0" collapsed="false">
      <c r="A26" s="6" t="n">
        <v>23</v>
      </c>
      <c r="B26" s="6" t="s">
        <v>1252</v>
      </c>
      <c r="C26" s="6" t="n">
        <v>29</v>
      </c>
      <c r="D26" s="10" t="n">
        <f aca="false">17_Maturity_Effect!$D$27</f>
        <v>29</v>
      </c>
      <c r="E26" s="10" t="str">
        <f aca="false">IF(D26=C26,"PASS","FAIL")</f>
        <v>PASS</v>
      </c>
    </row>
    <row r="27" customFormat="false" ht="15" hidden="false" customHeight="false" outlineLevel="0" collapsed="false">
      <c r="A27" s="6" t="n">
        <v>24</v>
      </c>
      <c r="B27" s="6" t="s">
        <v>1253</v>
      </c>
      <c r="C27" s="6" t="n">
        <v>1.32</v>
      </c>
      <c r="D27" s="10" t="n">
        <f aca="false">ROUND(17_Maturity_Effect!$D$28,2)</f>
        <v>1.32</v>
      </c>
      <c r="E27" s="10" t="str">
        <f aca="false">IF(D27=C27,"PASS","FAIL")</f>
        <v>PASS</v>
      </c>
    </row>
    <row r="28" customFormat="false" ht="15" hidden="false" customHeight="false" outlineLevel="0" collapsed="false">
      <c r="A28" s="6" t="n">
        <v>25</v>
      </c>
      <c r="B28" s="6" t="s">
        <v>1254</v>
      </c>
      <c r="C28" s="6" t="n">
        <v>4</v>
      </c>
      <c r="D28" s="10" t="n">
        <f aca="false">09_DPIA_Screening!$B$13</f>
        <v>4</v>
      </c>
      <c r="E28" s="10" t="str">
        <f aca="false">IF(D28=C28,"PASS","FAIL")</f>
        <v>PASS</v>
      </c>
    </row>
    <row r="29" customFormat="false" ht="15" hidden="false" customHeight="false" outlineLevel="0" collapsed="false">
      <c r="A29" s="6" t="n">
        <v>26</v>
      </c>
      <c r="B29" s="6" t="s">
        <v>1255</v>
      </c>
      <c r="C29" s="6" t="n">
        <v>0</v>
      </c>
      <c r="D29" s="10" t="n">
        <f aca="false">08_Harm_Scores!$L$13</f>
        <v>0</v>
      </c>
      <c r="E29" s="10" t="str">
        <f aca="false">IF(D29=C29,"PASS","FAIL")</f>
        <v>PASS</v>
      </c>
    </row>
    <row r="31" customFormat="false" ht="15" hidden="false" customHeight="false" outlineLevel="0" collapsed="false">
      <c r="B31" s="1" t="s">
        <v>1256</v>
      </c>
      <c r="E31" s="8" t="n">
        <f aca="false">COUNTIF(E4:E29,"PASS")</f>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2026-10-17T02:24:04Z</dcterms:created>
  <dc:creator>openpyxl</dc:creator>
  <dc:description/>
  <dc:language>en-US</dc:language>
  <cp:lastModifiedBy/>
  <dcterms:modified xsi:type="dcterms:W3CDTF">2026-10-17T02:24:04Z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