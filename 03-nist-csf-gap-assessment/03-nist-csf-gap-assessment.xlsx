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0_README" sheetId="1" state="visible" r:id="rId3"/>
    <sheet name="01_Maturity_Scale" sheetId="2" state="visible" r:id="rId4"/>
    <sheet name="02_Assessment" sheetId="3" state="visible" r:id="rId5"/>
    <sheet name="03_Heatmap" sheetId="4" state="visible" r:id="rId6"/>
    <sheet name="04_Roadmap" sheetId="5" state="visible" r:id="rId7"/>
    <sheet name="05_Consistency_Checks" sheetId="6" state="visible" r:id="rId8"/>
    <sheet name="06_Issue_Checklist" sheetId="7" state="visible" r:id="rId9"/>
  </sheets>
  <definedNames>
    <definedName function="false" hidden="true" localSheetId="2" name="_xlnm._FilterDatabase" vbProcedure="false">02_Assessment!$A$1:$P$23</definedName>
    <definedName function="false" hidden="true" localSheetId="4" name="_xlnm._FilterDatabase" vbProcedure="false">04_Roadmap!$A$1:$L$19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<sst xmlns="http://schemas.openxmlformats.org/spreadsheetml/2006/main" count="697" uniqueCount="500">
  <si>
    <t xml:space="preserve">CGI-GAP-001 — NIST CSF 2.0 Gap Assessment &amp; Maturity Scorecard v1.0</t>
  </si>
  <si>
    <t xml:space="preserve">SIMULATED CASE STUDY. Cypher Group Inc. is a simulated company. Every finding, score and figure was created to demonstrate applied GRC methodology.</t>
  </si>
  <si>
    <t xml:space="preserve">Scope</t>
  </si>
  <si>
    <t xml:space="preserve">All 22 NIST CSF 2.0 Categories across 6 Functions, Category level. Secondary mapping: ISO/IEC 27001:2022 Annex A.</t>
  </si>
  <si>
    <t xml:space="preserve">Scale</t>
  </si>
  <si>
    <t xml:space="preserve">0–4 CMMI-style maturity. An approved but unevidenced policy is a 2, never a 3. A clause is not a capability (fragment rule).</t>
  </si>
  <si>
    <t xml:space="preserve">Prepared by</t>
  </si>
  <si>
    <t xml:space="preserve">O.S, Assessor</t>
  </si>
  <si>
    <t xml:space="preserve">Approved by</t>
  </si>
  <si>
    <t xml:space="preserve">Jerry Olugboye, Chief Executive Officer — 15 September 2026</t>
  </si>
  <si>
    <t xml:space="preserve">Inputs</t>
  </si>
  <si>
    <t xml:space="preserve">CGI-POL-001 to 005 · CGI-TRK-001 · EXC-001 to 003 · CGI-RSK-001 v1.0</t>
  </si>
  <si>
    <t xml:space="preserve">SHEETS</t>
  </si>
  <si>
    <t xml:space="preserve">01_Maturity_Scale</t>
  </si>
  <si>
    <t xml:space="preserve">The 0–4 scale, the fragment rule and the declared target state.</t>
  </si>
  <si>
    <t xml:space="preserve">02_Assessment</t>
  </si>
  <si>
    <t xml:space="preserve">The 16-column grid for all 22 Categories. Scores are yellow inputs with 0–4 validation; Gap is a formula; colour scales are pinned to numbers.</t>
  </si>
  <si>
    <t xml:space="preserve">03_Heatmap</t>
  </si>
  <si>
    <t xml:space="preserve">Function averages via AVERAGEIF, the overall score as the mean of all 22 Categories, and the current-vs-target radar chart.</t>
  </si>
  <si>
    <t xml:space="preserve">04_Roadmap</t>
  </si>
  <si>
    <t xml:space="preserve">REC-01 to REC-18. Reduction per effort unit is a formula (S=1, M=2, L=3).</t>
  </si>
  <si>
    <t xml:space="preserve">05_Consistency_Checks</t>
  </si>
  <si>
    <t xml:space="preserve">Live checks: category count, sums, no target below current, fragment and residual-High reconciliation.</t>
  </si>
  <si>
    <t xml:space="preserve">06_Issue_Checklist</t>
  </si>
  <si>
    <t xml:space="preserve">Quality checks performed before issue.</t>
  </si>
  <si>
    <t xml:space="preserve">COLOUR LEGEND</t>
  </si>
  <si>
    <t xml:space="preserve">Yellow cell</t>
  </si>
  <si>
    <t xml:space="preserve">Input — type or choose here</t>
  </si>
  <si>
    <t xml:space="preserve">Grey cell</t>
  </si>
  <si>
    <t xml:space="preserve">Formula — do not overwrite</t>
  </si>
  <si>
    <t xml:space="preserve">Green</t>
  </si>
  <si>
    <t xml:space="preserve">Pass / compliant / low</t>
  </si>
  <si>
    <t xml:space="preserve">Amber</t>
  </si>
  <si>
    <t xml:space="preserve">Partial / condition / medium</t>
  </si>
  <si>
    <t xml:space="preserve">Red</t>
  </si>
  <si>
    <t xml:space="preserve">Fail / non-compliant / high or critical</t>
  </si>
  <si>
    <t xml:space="preserve">PUBLISHING</t>
  </si>
  <si>
    <t xml:space="preserve">CodeCo</t>
  </si>
  <si>
    <t xml:space="preserve">Upload this .xlsx next to its .md file. CodeCo cannot preview .xlsx, so the project README links to it as a download.</t>
  </si>
  <si>
    <t xml:space="preserve">WikiCo</t>
  </si>
  <si>
    <t xml:space="preserve">Import the matching CSV files from the data/ folder (Settings → Import → CSV) for sortable databases.</t>
  </si>
  <si>
    <t xml:space="preserve">Maturity scale and declared target state</t>
  </si>
  <si>
    <t xml:space="preserve">Score</t>
  </si>
  <si>
    <t xml:space="preserve">Level</t>
  </si>
  <si>
    <t xml:space="preserve">Definition</t>
  </si>
  <si>
    <t xml:space="preserve">Evidence required to claim this level</t>
  </si>
  <si>
    <t xml:space="preserve">0</t>
  </si>
  <si>
    <t xml:space="preserve">Not Performed</t>
  </si>
  <si>
    <t xml:space="preserve">The outcome is not achieved in any form. No policy, no practice, no owner, no evidence. If asked, the honest answer is 'we do not do this'.</t>
  </si>
  <si>
    <t xml:space="preserve">None. The absence is the finding.</t>
  </si>
  <si>
    <t xml:space="preserve">1</t>
  </si>
  <si>
    <t xml:space="preserve">Initial / Ad Hoc</t>
  </si>
  <si>
    <t xml:space="preserve">The outcome is achieved occasionally, reactively and person-dependently. There is no written expectation, nothing is scheduled, and if the individual concerned left, the activity would stop. No reliable evidence is produced.</t>
  </si>
  <si>
    <t xml:space="preserve">Anecdote only. Someone can describe having done it once.</t>
  </si>
  <si>
    <t xml:space="preserve">2</t>
  </si>
  <si>
    <t xml:space="preserve">Documented / Repeatable</t>
  </si>
  <si>
    <t xml:space="preserve">An approved policy, standard or procedure exists, ownership is assigned and the expectation is communicated. Execution is inconsistent, incomplete or unevidenced. This is design effectiveness without operating effectiveness - the control would work if followed, but no artifact proves it was.</t>
  </si>
  <si>
    <t xml:space="preserve">An approved, published document naming an owner. No execution record required.</t>
  </si>
  <si>
    <t xml:space="preserve">3</t>
  </si>
  <si>
    <t xml:space="preserve">Defined and Operating</t>
  </si>
  <si>
    <t xml:space="preserve">The activity is performed consistently on a defined schedule by the assigned owner, and each occurrence produces retained evidence. Exceptions are recorded and tracked. This is design plus operating effectiveness and is the level at which an external auditor can test the control.</t>
  </si>
  <si>
    <t xml:space="preserve">A dated, retained artifact per occurrence — a signed review record, a test result, a ticket, an exported log.</t>
  </si>
  <si>
    <t xml:space="preserve">4</t>
  </si>
  <si>
    <t xml:space="preserve">Managed and Measured</t>
  </si>
  <si>
    <t xml:space="preserve">Performance of the activity is measured against defined metrics or KRIs with thresholds, the results are reported to leadership, and the activity is adjusted on the basis of the data rather than on opinion. Continuous improvement is evidenced.</t>
  </si>
  <si>
    <t xml:space="preserve">A metric or KRI with a threshold, a reporting record to leadership, and a documented change made in response to the data.</t>
  </si>
  <si>
    <t xml:space="preserve">Scoring rules</t>
  </si>
  <si>
    <t xml:space="preserve">Half-scores are not used. Between two levels, score down.</t>
  </si>
  <si>
    <t xml:space="preserve">An approved, published policy that nobody has evidenced executing scores a 2, not a 3.</t>
  </si>
  <si>
    <t xml:space="preserve">Fragments do not lift a Category: a single clause touching one outcome is recorded but does not move the Category up a level on its own.</t>
  </si>
  <si>
    <t xml:space="preserve">No Category may score 3 or above while a residual High risk sits behind it, unless the reason is written down.</t>
  </si>
  <si>
    <t xml:space="preserve">Target</t>
  </si>
  <si>
    <t xml:space="preserve">Applied to</t>
  </si>
  <si>
    <t xml:space="preserve">Justification trigger</t>
  </si>
  <si>
    <t xml:space="preserve">GV.RM, GV.RR, GV.PO, GV.OV, ID.AM, ID.RA, PR.AA, PR.AT, PR.DS, PR.PS, PR.IR, DE.CM, RS.MA, RS.CO, RC.RP</t>
  </si>
  <si>
    <t xml:space="preserve">Carries a residual Medium or High risk from CGI-RSK-001, or a written GDPR commitment (CGI-POL-005 §5.6.3), or is a standard enterprise questionnaire item</t>
  </si>
  <si>
    <t xml:space="preserve">GV.OC, GV.SC, ID.IM, DE.AE, RS.AN, RS.MI, RC.CO</t>
  </si>
  <si>
    <t xml:space="preserve">Proportionate written expectation is sufficient at current risk and scale; will be re-targeted upward in the next cycle</t>
  </si>
  <si>
    <t xml:space="preserve">—</t>
  </si>
  <si>
    <t xml:space="preserve">Deliberately none. Revisit once the overall score exceeds 2.5 and an ISO 27001 certification decision is taken</t>
  </si>
  <si>
    <t xml:space="preserve">Ref ID</t>
  </si>
  <si>
    <t xml:space="preserve">Function</t>
  </si>
  <si>
    <t xml:space="preserve">Category</t>
  </si>
  <si>
    <t xml:space="preserve">Category Description</t>
  </si>
  <si>
    <t xml:space="preserve">Current State Observation</t>
  </si>
  <si>
    <t xml:space="preserve">Evidence Source</t>
  </si>
  <si>
    <t xml:space="preserve">Current Score (0-4)</t>
  </si>
  <si>
    <t xml:space="preserve">Target Score (0-4)</t>
  </si>
  <si>
    <t xml:space="preserve">Gap</t>
  </si>
  <si>
    <t xml:space="preserve">Related Risk ID (CGI-RSK-001)</t>
  </si>
  <si>
    <t xml:space="preserve">Risk if Unaddressed</t>
  </si>
  <si>
    <t xml:space="preserve">Priority (P1/P2/P3)</t>
  </si>
  <si>
    <t xml:space="preserve">Recommended Action</t>
  </si>
  <si>
    <t xml:space="preserve">Est. Effort (S/M/L)</t>
  </si>
  <si>
    <t xml:space="preserve">Owner (Job Title)</t>
  </si>
  <si>
    <t xml:space="preserve">ISO 27001:2022 Annex A Mapping</t>
  </si>
  <si>
    <t xml:space="preserve">GAP-001</t>
  </si>
  <si>
    <t xml:space="preserve">GOVERN</t>
  </si>
  <si>
    <t xml:space="preserve">GV.OC Organizational Context</t>
  </si>
  <si>
    <t xml:space="preserve">The circumstances - mission, stakeholder expectations, dependencies and legal, regulatory and contractual requirements - surrounding the organization's cybersecurity risk management decisions are understood.</t>
  </si>
  <si>
    <t xml:space="preserve">Cypher Group Inc. has no standalone document recording its mission, stakeholder expectations or its legal and contractual obligations. The only place this context exists is as assumptions A-01 to A-06 inside CGI-RSK-001, which record ARR of approximately USD 3.6M, roughly 200 SMB customers and the company's status as a GDPR data processor for customer account data; those assumptions were written to calibrate impact bands, not to serve as a governance record, and they have never been reviewed or approved as one. CGI-POL-004 §4.1.4 establishes that no cardholder numbers are held (formalised as AVD-001), which is the single clearest piece of scoping the company has, but no equivalent statement exists for GDPR processor obligations or for customer contractual security commitments.</t>
  </si>
  <si>
    <t xml:space="preserve">CGI-RSK-001 Assumptions A-01 to A-06; CGI-POL-004 §4.1.4; AVD-001</t>
  </si>
  <si>
    <t xml:space="preserve">R-005</t>
  </si>
  <si>
    <t xml:space="preserve">Security decisions are made without an agreed view of what the business actually owes its customers and regulators, so scope is argued case by case and enterprise security questionnaires cannot be answered consistently.</t>
  </si>
  <si>
    <t xml:space="preserve">P2</t>
  </si>
  <si>
    <t xml:space="preserve">Publish a one-page Organizational Context and Compliance Obligations Register naming GDPR processor duties, customer contractual security commitments and the AVD-001 scope exclusion; approve it at CEO level and review annually.</t>
  </si>
  <si>
    <t xml:space="preserve">S</t>
  </si>
  <si>
    <t xml:space="preserve">Chief Executive Officer</t>
  </si>
  <si>
    <t xml:space="preserve">A.5.1 Policies for information security; A.5.4 Management responsibilities; A.5.31 Legal, statutory, regulatory and contractual requirements</t>
  </si>
  <si>
    <t xml:space="preserve">GAP-002</t>
  </si>
  <si>
    <t xml:space="preserve">GV.RM Risk Management Strategy</t>
  </si>
  <si>
    <t xml:space="preserve">The organization's priorities, constraints, risk tolerance and appetite statements, and assumptions are established, communicated and used to support operational risk decisions.</t>
  </si>
  <si>
    <t xml:space="preserve">CGI-RSK-001 v1.0 establishes a documented NIST SP 800-30 Rev. 1 semi-quantitative 5x5 method with anchored likelihood and impact scales and published thresholds (Low 1-4, Medium 5-9, High 10-14, Critical 15-25), which is a genuine strategy artifact rather than an ad hoc exercise. However, no board- or CEO-approved risk appetite statement exists, so the thresholds describe how risk is measured but not how much of it Cypher Group Inc. has agreed to carry; the acceptance ACC-001 (SMS-based MFA exception, CTO-approved, expires 03 Mar 2027) was therefore approved against an undeclared appetite. The register also defines no executed re-assessment cadence - one cycle has been completed and none scheduled.</t>
  </si>
  <si>
    <t xml:space="preserve">CGI-RSK-001 v1.0 § Methodology and Thresholds; ACC-001</t>
  </si>
  <si>
    <t xml:space="preserve">R-004, R-005</t>
  </si>
  <si>
    <t xml:space="preserve">Risk acceptances are made by individuals against an undeclared tolerance, which is exactly how an organisation discovers after an incident that nobody formally decided anything.</t>
  </si>
  <si>
    <t xml:space="preserve">P1</t>
  </si>
  <si>
    <t xml:space="preserve">Add a CEO-approved risk appetite statement and a defined annual plus event-driven re-assessment cadence to CGI-RSK-001 v1.1; re-confirm ACC-001 against the stated appetite before its 03 Mar 2027 expiry.</t>
  </si>
  <si>
    <t xml:space="preserve">A.5.1 Policies for information security; A.5.4 Management responsibilities (supports ISO 27001 Clause 6.1 risk planning)</t>
  </si>
  <si>
    <t xml:space="preserve">GAP-003</t>
  </si>
  <si>
    <t xml:space="preserve">GV.RR Roles, Responsibilities and Authorities</t>
  </si>
  <si>
    <t xml:space="preserve">Cybersecurity roles, responsibilities and authorities to foster accountability, performance assessment and continuous improvement are established and communicated.</t>
  </si>
  <si>
    <t xml:space="preserve">Ownership is assigned at document level and is genuinely traceable: CGI-POL-001 is owned by the Head of People and Operations, CGI-POL-002 and CGI-POL-004 by the CTO, and every risk in CGI-RSK-001 carries a named business risk owner rather than a generic security owner. What does not exist is any security-specific role, any RACI covering the ten treatment actions TP-01 to TP-10, or any allocated security budget beyond the USD 32,100 year-one figure estimated in CGI-RSK-001, which was costed but never formally approved. Accountability therefore exists per artifact but not as an operating structure, and no individual holds day-to-day responsibility for the programme between projects.</t>
  </si>
  <si>
    <t xml:space="preserve">CGI-POL-001 to CGI-POL-005 document control blocks; CGI-RSK-001 risk owner column; CGI-RSK-001 TP-01 to TP-10</t>
  </si>
  <si>
    <t xml:space="preserve">R-003</t>
  </si>
  <si>
    <t xml:space="preserve">Controls have owners on paper but no one is accountable for the programme between assessments, so remediation stalls the moment the assessment ends.</t>
  </si>
  <si>
    <t xml:space="preserve">Publish a security RACI covering all 22 CSF Categories and TP-01 to TP-10, formally assign the security programme lead duty to the CTO, and obtain CEO approval of the USD 32,100 year-one budget.</t>
  </si>
  <si>
    <t xml:space="preserve">A.5.2 Information security roles and responsibilities; A.5.3 Segregation of duties; A.5.4 Management responsibilities</t>
  </si>
  <si>
    <t xml:space="preserve">GAP-004</t>
  </si>
  <si>
    <t xml:space="preserve">GV.PO Policy</t>
  </si>
  <si>
    <t xml:space="preserve">Organizational cybersecurity policy is established, communicated and enforced.</t>
  </si>
  <si>
    <t xml:space="preserve">This is the company's strongest documented area and the direct output of Project 1: CGI-POL-001 to CGI-POL-005 v1.0 are written, approved by Jerry Olugboye and published, covering acceptable use, password and MFA, joiner-mover-leaver access control, data classification and incident reporting, with an Exception Register carrying EXC-001 to EXC-003. Enforcement is the gap, not authorship. CGI-TRK-001 evidences only 60% policy acknowledgement across 50 employees, meaning roughly 20 staff are bound by policies they have not read; the annual review cycle mandated in each policy's document control block has not yet run once, so no policy has a demonstrated review record. Three policies identified as necessary in CGI-RSK-001 - CGI-POL-006 Backup and Recovery, CGI-POL-007 Secure Development and Change Management and CGI-POL-008 Vulnerability Management - remain unwritten.</t>
  </si>
  <si>
    <t xml:space="preserve">CGI-POL-001 to CGI-POL-005 v1.0; CGI-TRK-001 (60% acknowledged); EXC-001 to EXC-003; CGI-RSK-001 recommended policies</t>
  </si>
  <si>
    <t xml:space="preserve">R-001, R-002</t>
  </si>
  <si>
    <t xml:space="preserve">An unacknowledged policy is unenforceable in a disciplinary process and worthless as audit evidence, so the entire Project 1 investment fails to convert into risk reduction.</t>
  </si>
  <si>
    <t xml:space="preserve">Drive CGI-TRK-001 acknowledgement from 60% to 100% with an onboarding completion gate, execute and record the first annual review of all five policies, and publish CGI-POL-006, CGI-POL-007 and CGI-POL-008.</t>
  </si>
  <si>
    <t xml:space="preserve">Chief Technology Officer</t>
  </si>
  <si>
    <t xml:space="preserve">A.5.1 Policies for information security; A.5.36 Compliance with policies, rules and standards; A.5.37 Documented operating procedures</t>
  </si>
  <si>
    <t xml:space="preserve">GAP-005</t>
  </si>
  <si>
    <t xml:space="preserve">GV.OV Oversight</t>
  </si>
  <si>
    <t xml:space="preserve">Results of organization-wide cybersecurity risk management activities and performance are used to inform, improve and adjust the risk management strategy.</t>
  </si>
  <si>
    <t xml:space="preserve">CGI-RSK-001 defines seven Key Risk Indicators with thresholds and named owners, which is the raw material for oversight, but not one of them has ever been measured or reported; no management review of the security programme has taken place, and no security item has appeared on a leadership agenda with minutes. The 52% inherent-to-residual risk reduction attributable to the Project 1 policy pack (aggregate 92 to 44, mean 18.4 to 8.8) is a strong, defensible performance figure that has never been presented to Jerry Olugboye, so leadership has no basis on which to adjust strategy or release the USD 32,100 budget.</t>
  </si>
  <si>
    <t xml:space="preserve">CGI-RSK-001 KRI table (7 KRIs, unreported); no management review minutes on file</t>
  </si>
  <si>
    <t xml:space="preserve">Leadership cannot fund, redirect or defend a programme whose performance it never sees, so security investment competes on anecdote rather than evidence.</t>
  </si>
  <si>
    <t xml:space="preserve">Establish a minuted quarterly security review with Jerry Olugboye reporting the seven CGI-RSK-001 KRIs, this maturity scorecard and TP-01 to TP-10 status; retain the minutes as the oversight evidence record.</t>
  </si>
  <si>
    <t xml:space="preserve">A.5.35 Independent review of information security; A.5.36 Compliance with policies, rules and standards (supports Clause 9.3 Management review)</t>
  </si>
  <si>
    <t xml:space="preserve">GAP-006</t>
  </si>
  <si>
    <t xml:space="preserve">GV.SC Cybersecurity Supply Chain Risk Management</t>
  </si>
  <si>
    <t xml:space="preserve">Cyber supply chain risk management processes are identified, established, managed, monitored and improved by organizational stakeholders.</t>
  </si>
  <si>
    <t xml:space="preserve">Nothing exists in this Category beyond two fragments. Cypher Group Inc. runs its production stack on five known third parties - CloudCo for hosting, CodeCo for source code, ChatCo for communications, OfficeCo for email and documents and PaymentsCo for payment metadata - and none has been security-assessed, none has a recorded assurance artifact such as a SOC 2 report or ISO 27001 certificate on file, and no data processing agreements are tracked in a register. CGI-POL-004 §4.2 Handling Matrix specifies how classified data must be handled but names no permitted or prohibited third-party destinations, so a Confidential record may be pasted into an unvetted SaaS tool without breaching any written rule. The two fragments are CGI-POL-001 §4.6.1, which requires CTO approval before any new third-party service is used, and CGI-POL-003 §4.6, which requires a named sponsor and an expiry date for third-party user access. Neither has an inventory, a tiering rule, an assessment method or an execution record behind it, so under the fragment rule in §3.1 the Category stays at 0. This Category is also entirely outside the scope of CGI-RSK-001, which assessed no supplier-originated scenario.</t>
  </si>
  <si>
    <t xml:space="preserve">No vendor inventory on file; CGI-POL-004 §4.2 (no third-party destinations named); CGI-POL-001 §4.6.1 and CGI-POL-003 §4.6 (fragments only); CGI-RSK-001 scope statement</t>
  </si>
  <si>
    <t xml:space="preserve">A compromise at CloudCo, CodeCo or OfficeCo would reach all customer data with no contractual remedy, no assessed control baseline and no notification pathway; enterprise buyers treat a missing vendor register as a hard fail.</t>
  </si>
  <si>
    <t xml:space="preserve">Build a tiered vendor inventory covering CloudCo, CodeCo, ChatCo, OfficeCo and PaymentsCo with data classification exposure, collect each provider's assurance artifact and DPA, and add permitted third-party destinations to CGI-POL-004 §4.2. (Delivered 15 Sep 2026 as Project 4 (CGI-TPR-001), three quarters ahead of its Q2 2027 slot.)</t>
  </si>
  <si>
    <t xml:space="preserve">M</t>
  </si>
  <si>
    <t xml:space="preserve">A.5.19 Information security in supplier relationships; A.5.20 Addressing information security within supplier agreements; A.5.21 Managing information security in the ICT supply chain; A.5.22 Monitoring, review and change management of supplier services; A.5.23 Information security for use of cloud services</t>
  </si>
  <si>
    <t xml:space="preserve">GAP-007</t>
  </si>
  <si>
    <t xml:space="preserve">IDENTIFY</t>
  </si>
  <si>
    <t xml:space="preserve">ID.AM Asset Management</t>
  </si>
  <si>
    <t xml:space="preserve">Assets - data, hardware, software, systems, facilities, services and people - that enable the organization to achieve business purposes are identified and managed consistent with their relative importance to organizational objectives and the organization's risk strategy.</t>
  </si>
  <si>
    <t xml:space="preserve">CGI-POL-004 establishes a four-tier data classification scheme with a §4.2 Handling Matrix and a §4.1.3 aggregation rule, so Cypher Group Inc. knows what its data is worth in principle, but there is no inventory recording where any of it actually lives. No list exists of CloudCo accounts and their S3 buckets and RDS instances, CodeCo repositories, OfficeCo shared drives, ChatCo channels or PaymentsCo objects, and no endpoint register exists for the 50 staff devices governed by CGI-POL-001 §4.4 BYOD. The classification scheme is therefore unapplied: no asset carries a classification label, which means the Handling Matrix cannot be enforced or audited against anything.</t>
  </si>
  <si>
    <t xml:space="preserve">CGI-POL-004 §4.1 to §4.2; CGI-POL-001 §4.4 (BYOD, no device register); no asset inventory on file</t>
  </si>
  <si>
    <t xml:space="preserve">R-003, R-005</t>
  </si>
  <si>
    <t xml:space="preserve">You cannot protect, monitor, review access to or restore an asset you have not recorded; the absence of an inventory is the root blocker under access review, cloud hardening, monitoring and recovery alike.</t>
  </si>
  <si>
    <t xml:space="preserve">Build an asset and SaaS inventory covering CloudCo accounts and data stores, CodeCo repositories, OfficeCo shared drives, ChatCo workspaces, PaymentsCo objects and staff endpoints, and apply a CGI-POL-004 classification label to every entry.</t>
  </si>
  <si>
    <t xml:space="preserve">IT Operations Manager</t>
  </si>
  <si>
    <t xml:space="preserve">A.5.9 Inventory of information and other associated assets; A.5.10 Acceptable use of information and other associated assets; A.5.12 Classification of information; A.5.13 Labelling of information; A.8.1 User endpoint devices</t>
  </si>
  <si>
    <t xml:space="preserve">GAP-008</t>
  </si>
  <si>
    <t xml:space="preserve">ID.RA Risk Assessment</t>
  </si>
  <si>
    <t xml:space="preserve">The cybersecurity risk to the organization, assets and individuals is understood by the organization.</t>
  </si>
  <si>
    <t xml:space="preserve">This is the only Category at Cypher Group Inc. that demonstrates both design and operating effectiveness. CGI-RSK-001 v1.0 was performed end to end using NIST SP 800-30 Rev. 1, documents five scenarios (R-001 to R-005) in full threat-source to business-consequence form, records both inherent (20/20/12/20/20) and residual (6/8/6/12/12) scores, cites a specific CGI-POL clause for every mitigating control across more than 60 clause-level cross-references, applies all four treatment strategies including a formally documented acceptance and avoidance, and was approved by Jerry Olugboye. It is scored 3 rather than 4 because no metrics govern the process and because the identification input is incomplete: CSF Subcategory ID.RA-01 requires vulnerabilities in assets to be identified, and Cypher Group Inc. performs no vulnerability scanning of any kind (control gap CG-02), so the register's coverage rests on workshop judgement rather than on technical discovery.</t>
  </si>
  <si>
    <t xml:space="preserve">CGI-RSK-001 v1.0 (approved, Jerry Olugboye); R-001 to R-005; CG-01 to CG-05; TP-01 to TP-10</t>
  </si>
  <si>
    <t xml:space="preserve">R-001, R-002, R-003, R-004, R-005</t>
  </si>
  <si>
    <t xml:space="preserve">Coverage gaps persist: without vulnerability scanning the register can only contain risks a human thought of, so a technically discoverable exposure can sit outside the register indefinitely.</t>
  </si>
  <si>
    <t xml:space="preserve">Maintain the annual and event-driven cadence, and feed authenticated vulnerability scan output into the next CGI-RSK-001 revision so that ID.RA-01 is satisfied by technical discovery rather than judgement alone.</t>
  </si>
  <si>
    <t xml:space="preserve">A.5.7 Threat intelligence; A.8.8 Management of technical vulnerabilities (supports Clause 6.1.2 Information security risk assessment)</t>
  </si>
  <si>
    <t xml:space="preserve">GAP-009</t>
  </si>
  <si>
    <t xml:space="preserve">ID.IM Improvement</t>
  </si>
  <si>
    <t xml:space="preserve">Improvements to organizational cybersecurity risk management processes, procedures and activities are identified across all CSF Functions.</t>
  </si>
  <si>
    <t xml:space="preserve">A forward-looking improvement plan exists in the form of treatment actions TP-01 to TP-10 in CGI-RSK-001, each with an owner and an estimated cost, which is more than most companies of this size have. The backward-looking loop is written only for incidents: CGI-POL-005 §5.7 requires a blameless post-incident review with tracked corrective actions and a decision on whether any policy needs amending, and §7.2 requires an annual tabletop exercise. Neither has ever run: no incident has been recorded, so no review or lessons-learned record exists, and no tabletop has been held. Outside incident response there is no written improvement loop at all, and nothing requires findings from assessments, red KRIs or expired exceptions in EXC-001 to EXC-003 to lead to a recorded change. Because the written clauses cover only the incident part of the Category and have never operated, the Category is scored down to 1 under §3.1. Improvement is currently something that happens when a project is commissioned, not something the organisation does.</t>
  </si>
  <si>
    <t xml:space="preserve">CGI-RSK-001 TP-01 to TP-10; CGI-POL-005 §5.7 and §7.2 (written, never exercised); EXC-001 to EXC-003</t>
  </si>
  <si>
    <t xml:space="preserve">R-002</t>
  </si>
  <si>
    <t xml:space="preserve">The same failure recurs because nothing forces the organisation to learn from it; exceptions become permanent by default rather than by decision.</t>
  </si>
  <si>
    <t xml:space="preserve">P3</t>
  </si>
  <si>
    <t xml:space="preserve">Run the first CGI-POL-005 §7.2 tabletop exercise and keep a written lessons-learned record, log every §5.7 post-incident review in the incident register, and add a rule that every expired exception in EXC-001 to EXC-003 and every red KRI produces a recorded improvement decision.</t>
  </si>
  <si>
    <t xml:space="preserve">A.5.27 Learning from information security incidents (supports Clause 10.1 Continual improvement and Clause 10.2 Nonconformity and corrective action)</t>
  </si>
  <si>
    <t xml:space="preserve">GAP-010</t>
  </si>
  <si>
    <t xml:space="preserve">PROTECT</t>
  </si>
  <si>
    <t xml:space="preserve">PR.AA Identity Management, Authentication and Access Control</t>
  </si>
  <si>
    <t xml:space="preserve">Access to physical and logical assets is limited to authorized users, services and hardware, and is managed commensurate with the assessed risk of unauthorized access.</t>
  </si>
  <si>
    <t xml:space="preserve">The written control set here is strong and specific. CGI-POL-002 §4.3.3 mandates phishing-resistant MFA for privileged accounts, §4.3.5 prohibits SMS as a factor, and §4.5 governs service accounts and secrets, all aligned to NIST SP 800-63B-4; CGI-POL-003 §4.5.2 requires access revocation within four hours of a leaver event and §4.7.1 mandates a quarterly privileged access review. Operation is where it fails. CGI-TRK-001 evidences 80% MFA enrolment, leaving roughly ten accounts unprotected; ACC-001 formally accepts continued SMS-based MFA in direct tension with §4.3.5 until 03 Mar 2027; and CGI-TRK-001 evidences no completed quarterly privileged access review against the §4.7.1 mandate, so the control is documented but has never operated. The four-hour revocation SLA in §4.5.2 has likewise never been measured against an actual leaver event.</t>
  </si>
  <si>
    <t xml:space="preserve">CGI-POL-002 §4.3.3, §4.3.5, §4.5; CGI-POL-003 §4.5.2, §4.7.1; CGI-TRK-001 (80% MFA, zero completed access reviews); ACC-001</t>
  </si>
  <si>
    <t xml:space="preserve">R-001, R-003</t>
  </si>
  <si>
    <t xml:space="preserve">CGI-RSK-001 already discounts the residual 6 on R-001 for incomplete MFA coverage. Roughly ten unprotected accounts and an unexecuted privileged access review are what stop it falling to its target of 3, and each one is a live route to credential compromise.</t>
  </si>
  <si>
    <t xml:space="preserve">Complete MFA enrolment to 100% and retire ACC-001 ahead of its 03 Mar 2027 expiry, then execute and evidence the first quarterly privileged access review required by CGI-POL-003 §4.7.1.</t>
  </si>
  <si>
    <t xml:space="preserve">A.5.15 Access control; A.5.16 Identity management; A.5.17 Authentication information; A.5.18 Access rights; A.8.2 Privileged access rights; A.8.5 Secure authentication</t>
  </si>
  <si>
    <t xml:space="preserve">GAP-011</t>
  </si>
  <si>
    <t xml:space="preserve">PR.AT Awareness and Training</t>
  </si>
  <si>
    <t xml:space="preserve">The organization's personnel are provided with cybersecurity awareness and training so that they can perform their cybersecurity-related tasks.</t>
  </si>
  <si>
    <t xml:space="preserve">Awareness at Cypher Group Inc. is induction-only. CGI-POL-003 §4.3.6 requires security awareness induction within 10 business days of joining, and CGI-TRK-001 records 60% completion alongside 60% policy acknowledgement. Nothing follows the induction: there is no recurring curriculum, no role-specific training for engineers with production access, and no phishing simulation programme, which CGI-RSK-001 records as control gap CG-04. Because role-based training (PR.AT-02) is not performed at all and the induction mandate is only partly evidenced, the Category is scored down to 1. This undercuts the treatment of R-001, whose residual score of 6 is credited in part to user vigilance that has been trained once, at induction, and never tested. CGI-POL-001 §4.5 introduces AI usage controls, a genuinely current risk area, that no employee has received any instruction on.</t>
  </si>
  <si>
    <t xml:space="preserve">CGI-POL-003 §4.3.6; CGI-TRK-001 (60% acknowledged, 60% induction training complete); CGI-RSK-001 CG-04; CGI-POL-001 §4.5</t>
  </si>
  <si>
    <t xml:space="preserve">R-001</t>
  </si>
  <si>
    <t xml:space="preserve">Phishing is one of four scenarios at the register's highest inherent score (R-001, inherent 20), and its principal control is human judgement that has been trained once and never measured or tested.</t>
  </si>
  <si>
    <t xml:space="preserve">Stand up an annual security awareness curriculum with an induction module and role-specific content for staff with production access, plus quarterly phishing simulations with click and report rates tracked in CGI-TRK-001 as a KRI.</t>
  </si>
  <si>
    <t xml:space="preserve">Head of People and Operations</t>
  </si>
  <si>
    <t xml:space="preserve">A.6.3 Information security awareness, education and training; A.6.8 Information security event reporting</t>
  </si>
  <si>
    <t xml:space="preserve">GAP-012</t>
  </si>
  <si>
    <t xml:space="preserve">PR.DS Data Security</t>
  </si>
  <si>
    <t xml:space="preserve">Data is managed consistent with the organization's risk strategy to protect the confidentiality, integrity and availability of information.</t>
  </si>
  <si>
    <t xml:space="preserve">CGI-POL-004 gives Cypher Group Inc. a well-built classification foundation - four tiers, a §4.2 Handling Matrix, a §4.1.3 aggregation rule and the §4.1.4 decision to hold no cardholder numbers, formalised as the avoidance AVD-001, which is a genuine architectural risk reduction rather than a paper control. Beyond classification the Category is unimplemented: no encryption standard names required algorithms or key management for data at rest in CloudCo or in transit, no retention or secure deletion schedule has been executed, and no data loss prevention or egress monitoring exists on OfficeCo or CodeCo, which CGI-RSK-001 records as control gap CG-05 and which is the reason R-003 retains a residual score of 6 despite the JML controls in CGI-POL-003.</t>
  </si>
  <si>
    <t xml:space="preserve">CGI-POL-004 §4.1.3, §4.1.4, §4.2; AVD-001; CGI-RSK-001 CG-05</t>
  </si>
  <si>
    <t xml:space="preserve">Classified data can leave the organisation through an ordinary download or repository clone with no technical barrier and no record that it happened, making the insider scenario R-003 undetectable rather than merely unprevented.</t>
  </si>
  <si>
    <t xml:space="preserve">Publish an encryption standard covering CloudCo data at rest and in transit with named algorithms and key management, define and execute a retention and secure deletion schedule, and deploy data egress monitoring on OfficeCo and CodeCo.</t>
  </si>
  <si>
    <t xml:space="preserve">A.5.12 Classification of information; A.5.14 Information transfer; A.8.10 Information deletion; A.8.11 Data masking; A.8.12 Data leakage prevention; A.8.24 Use of cryptography</t>
  </si>
  <si>
    <t xml:space="preserve">GAP-013</t>
  </si>
  <si>
    <t xml:space="preserve">PR.PS Platform Security</t>
  </si>
  <si>
    <t xml:space="preserve">The hardware, software and services of physical and virtual platforms are managed consistent with the organization's risk strategy to protect their confidentiality, integrity and availability.</t>
  </si>
  <si>
    <t xml:space="preserve">This Category scores zero and shares the largest gap in the assessment with PR.IR. Cypher Group Inc. builds and ships a B2B SaaS product from CodeCo to CloudCo with no secure development lifecycle whatsoever: no secure development or change management policy exists, CGI-POL-007 having been recommended in CGI-RSK-001 but never written; there is no mandatory peer code review, no branch protection on the repositories holding production code, no separation of development and production environments on record, and no application security testing. There is equally no vulnerability management for the platform: no scanning, no severity-based remediation SLA and no server configuration baseline, with CGI-POL-008 likewise recommended and unwritten. CGI-RSK-001 records both halves as control gap CG-02. Two fragments exist and were weighed: CGI-POL-001 §4.4.3 requires endpoint operating-system and browser patches within 14 days, and CGI-POL-002 §4.5.2 requires CodeCo secret scanning and push protection. Neither governs how code is reviewed, tested or released, so under the fragment rule in §3.1 the Category stays at 0. The entire Project 1 policy pack contains no clause governing how code reaches production, which is precisely why R-004 remains at residual High.</t>
  </si>
  <si>
    <t xml:space="preserve">CGI-RSK-001 CG-02; CGI-POL-007 and CGI-POL-008 recommended, not written; CGI-POL-001 §4.4.3 and CGI-POL-002 §4.5.2 (fragments only); no branch protection or scan evidence on file</t>
  </si>
  <si>
    <t xml:space="preserve">R-002, R-004</t>
  </si>
  <si>
    <t xml:space="preserve">R-004 (production API authorisation flaw) stays at residual 12, High, after treatment because no control in the policy pack touches the code path; an authorisation defect can reach approximately 200 customers' data with nothing standing between the commit and production.</t>
  </si>
  <si>
    <t xml:space="preserve">Publish CGI-POL-007 and enforce CodeCo branch protection with mandatory peer review and no direct commits to main; publish CGI-POL-008 and begin authenticated vulnerability scanning with severity-based remediation SLAs.</t>
  </si>
  <si>
    <t xml:space="preserve">A.8.8 Management of technical vulnerabilities; A.8.9 Configuration management; A.8.25 Secure development life cycle; A.8.28 Secure coding; A.8.29 Security testing in development and acceptance; A.8.31 Separation of development, test and production environments; A.8.32 Change management</t>
  </si>
  <si>
    <t xml:space="preserve">GAP-014</t>
  </si>
  <si>
    <t xml:space="preserve">PR.IR Technology Infrastructure Resilience</t>
  </si>
  <si>
    <t xml:space="preserve">Security architectures are managed with the organization's risk strategy to protect asset confidentiality, integrity and availability, and organizational resilience.</t>
  </si>
  <si>
    <t xml:space="preserve">This Category also scores zero. There is no documented CloudCo configuration baseline, no benchmark such as CIS CloudCo Foundations has been applied, no continuous cloud security posture monitoring is enabled, and no network segmentation or production access boundary is recorded anywhere - collectively control gap CG-03 in CGI-RSK-001. Backups exist as CloudCo native snapshots but no restore has ever been tested and no RTO or RPO has been declared, so the company holds a backup but has never demonstrated a recovery capability; CGI-POL-006 Backup and Recovery was recommended in CGI-RSK-001 and has not been written (control gap CG-01). No policy in the CGI-POL-001 to CGI-POL-005 pack addresses cloud configuration at all, which is the documented reason R-005 remains at residual High.</t>
  </si>
  <si>
    <t xml:space="preserve">CGI-RSK-001 CG-01, CG-03; CGI-POL-006 recommended, not written; no CIS baseline or restore test evidence on file</t>
  </si>
  <si>
    <t xml:space="preserve">R-002, R-005</t>
  </si>
  <si>
    <t xml:space="preserve">R-005 (CloudCo misconfiguration leading to public data exposure) stays at residual 12, High, after treatment; a single permissive S3 or security group change exposes customer data with no baseline to deviate from and no posture monitoring to catch it.</t>
  </si>
  <si>
    <t xml:space="preserve">Apply a CIS AWS Foundations Benchmark baseline and enable continuous posture monitoring; publish CGI-POL-006 with declared RTO and RPO and evidence a successful restore test; document network segmentation and production access boundaries.</t>
  </si>
  <si>
    <t xml:space="preserve">A.8.9 Configuration management; A.8.13 Information backup; A.8.14 Redundancy of information processing facilities; A.8.20 Networks security; A.8.22 Segregation of networks</t>
  </si>
  <si>
    <t xml:space="preserve">GAP-015</t>
  </si>
  <si>
    <t xml:space="preserve">DETECT</t>
  </si>
  <si>
    <t xml:space="preserve">DE.CM Continuous Monitoring</t>
  </si>
  <si>
    <t xml:space="preserve">Assets are monitored to find anomalies, indicators of compromise and other potentially adverse events.</t>
  </si>
  <si>
    <t xml:space="preserve">Cypher Group Inc. has established the legal right to monitor without building the ability to do so. CGI-POL-001 §4.10 contains a properly drafted monitoring notice giving the company a lawful basis to inspect activity on its systems, but no monitoring capability exists behind it: AWS CloudTrail coverage and log file validation are unverified across regions, there is no centralised security log destination (engineering uses MonitorCo, CGI-VEN-007, for application performance monitoring, but it is not configured or retained as a security log source), no alerting on root account usage or IAM policy changes, no endpoint detection on the 50 staff devices and no monitoring of data egress from OfficeCo or CodeCo. CGI-RSK-001 records the cloud half of this as control gap CG-03 (no drift detection) and the data-egress half as CG-05, and together they are the reason both R-003 and R-005 retain elevated residual positions - neither insider exfiltration nor a cloud misconfiguration would be observed as it occurred.</t>
  </si>
  <si>
    <t xml:space="preserve">CGI-POL-001 §4.10 (monitoring notice, no capability); CGI-RSK-001 CG-03, CG-05; no centralised logging on file</t>
  </si>
  <si>
    <t xml:space="preserve">The company would learn about a breach from a customer, a researcher or a regulator rather than from its own systems, which converts a containable incident into a disclosed one and starts the GDPR 72-hour clock from someone else's discovery.</t>
  </si>
  <si>
    <t xml:space="preserve">Enable AWS CloudTrail organisation-wide with log file validation, centralise logs to a dedicated account with defined retention, and alert on root account usage, IAM policy change, public S3 exposure and mass data download.</t>
  </si>
  <si>
    <t xml:space="preserve">A.8.15 Logging; A.8.16 Monitoring activities; A.8.12 Data leakage prevention</t>
  </si>
  <si>
    <t xml:space="preserve">GAP-016</t>
  </si>
  <si>
    <t xml:space="preserve">DE.AE Adverse Event Analysis</t>
  </si>
  <si>
    <t xml:space="preserve">Anomalies, indicators of compromise and other potentially adverse events are analyzed to characterize the events and detect cybersecurity incidents.</t>
  </si>
  <si>
    <t xml:space="preserve">CGI-POL-005 provides the classification half of this Category properly: SEV1 to SEV4 severity bands are defined with criteria, so an event that is reported would be triaged consistently against a written standard. Everything upstream of that is absent. There is no correlation of events across CloudCo, CodeCo, OfficeCo and ChatCo, no alert thresholds, no defined escalation from an alert to a declared incident, and because DE.CM produces no telemetry there is nothing to analyse in the first place. In practice the only detection route available to Cypher Group Inc. is a human noticing something and reporting it through the CGI-POL-005 channel.</t>
  </si>
  <si>
    <t xml:space="preserve">CGI-POL-005 SEV1 to SEV4 definitions; CGI-RSK-001 CG-03, CG-05; no alerting or correlation on file</t>
  </si>
  <si>
    <t xml:space="preserve">Severity bands are meaningless without inputs to classify; incidents are characterised only after they have become visible for some other reason, by which point containment options have narrowed.</t>
  </si>
  <si>
    <t xml:space="preserve">Define alert thresholds and a written escalation path from alert to declared incident mapped onto the CGI-POL-005 SEV1 to SEV4 bands, once centralised logging from the DE.CM action is in place.</t>
  </si>
  <si>
    <t xml:space="preserve">A.5.25 Assessment and decision on information security events; A.8.15 Logging; A.8.16 Monitoring activities</t>
  </si>
  <si>
    <t xml:space="preserve">GAP-017</t>
  </si>
  <si>
    <t xml:space="preserve">RESPOND</t>
  </si>
  <si>
    <t xml:space="preserve">RS.MA Incident Management</t>
  </si>
  <si>
    <t xml:space="preserve">Responses to detected cybersecurity incidents are managed.</t>
  </si>
  <si>
    <t xml:space="preserve">CGI-POL-005 is an approved incident reporting policy aligned to NIST SP 800-61 Rev. 3, defining SEV1 to SEV4 bands with acknowledgement and containment targets (§5.4), reporting channels (§5.2), named response roles (§4) and a staged response process (§5.5), and it is a real control rather than a placeholder. It has, however, never been exercised: no incident has been recorded, no tabletop or simulation has been run, the §4 roles have never been rehearsed, and no containment, eradication or recovery runbooks exist beneath the policy's one-line stage descriptions. None of the timing commitments - the §5.4 containment targets or the four-hour access revocation SLA in CGI-POL-003 §4.5.2 - has ever been tested. An untested response plan is a design-effectiveness control only.</t>
  </si>
  <si>
    <t xml:space="preserve">CGI-POL-005 v1.0 (approved, never exercised); CGI-POL-003 §4.5.2; no incident or exercise records in CGI-TRK-001</t>
  </si>
  <si>
    <t xml:space="preserve">First contact with the plan happens during a real SEV1, when discovering that roles, authority to act and escalation contacts were never rehearsed costs hours that the GDPR 72-hour clock is already consuming.</t>
  </si>
  <si>
    <t xml:space="preserve">Run a SEV1 tabletop exercise against CGI-POL-005 covering a ransomware and a cloud exposure scenario, rehearse the §4 response roles, and write containment and eradication runbooks for the top three scenarios in CGI-RSK-001.</t>
  </si>
  <si>
    <t xml:space="preserve">A.5.24 Information security incident management planning and preparation; A.5.26 Response to information security incidents</t>
  </si>
  <si>
    <t xml:space="preserve">GAP-018</t>
  </si>
  <si>
    <t xml:space="preserve">RS.AN Incident Analysis</t>
  </si>
  <si>
    <t xml:space="preserve">Investigations are conducted to ensure effective response and support forensics and recovery activities.</t>
  </si>
  <si>
    <t xml:space="preserve">Cypher Group Inc. currently has no ability to investigate an incident after the fact. CGI-POL-005 §5.3.2 forbids deleting evidence and §5.7.3 requires a root cause analysis, but there is no forensic readiness, no evidence collection or chain-of-custody procedure beneath those clauses, and critically no log retention standard, so even where logs exist they may be rotated away before an investigation begins - the same gaps (CG-03, CG-05) that block detection also block analysis. The analysis stage is written but cannot be performed as designed, which is why the Category is scored 1 rather than 2. Root cause determination would rest on the recollection of whoever was present. For a company processing customer account data under GDPR this also undermines the accuracy of any Article 33 notification, since the scope of a breach could not be established with evidence.</t>
  </si>
  <si>
    <t xml:space="preserve">CGI-POL-005 §5.3.2, §5.7.3 (no collection procedure beneath them); CGI-RSK-001 CG-03, CG-05; no log retention standard on file</t>
  </si>
  <si>
    <t xml:space="preserve">R-003, R-004</t>
  </si>
  <si>
    <t xml:space="preserve">Breach scope cannot be established, so the company must either under-report and risk regulatory sanction or over-report and damage roughly 200 customer relationships unnecessarily.</t>
  </si>
  <si>
    <t xml:space="preserve">Add an evidence collection and chain-of-custody procedure to CGI-POL-005 and define a minimum log retention period of twelve months for authentication, administrative and data access events across CloudCo, CodeCo and OfficeCo.</t>
  </si>
  <si>
    <t xml:space="preserve">A.5.27 Learning from information security incidents; A.5.28 Collection of evidence; A.8.15 Logging</t>
  </si>
  <si>
    <t xml:space="preserve">GAP-019</t>
  </si>
  <si>
    <t xml:space="preserve">RS.CO Incident Response Reporting and Communication</t>
  </si>
  <si>
    <t xml:space="preserve">Response activities are coordinated with internal and external stakeholders as required by laws, regulations or policies.</t>
  </si>
  <si>
    <t xml:space="preserve">CGI-POL-005 §5.6.3 correctly captures the GDPR Article 33 obligation to notify the supervisory authority within 72 hours of becoming aware of a personal data breach, which is the single most consequential external commitment the company has made in writing. The policy also names the Head of Customer Success as Communications Lead (§4, §5.6.1), sets CEO escalation times by severity (§5.4) and a 72-hour default for customer notification (§5.6.2). The supporting machinery does not exist: there is no identified lead supervisory authority and no regulator contact record, no customer or regulator notification templates, no deputy for the Communications Lead, and the 72-hour path has never been rehearsed. The obligation is documented; the ability to meet it inside 72 hours is not evidenced.</t>
  </si>
  <si>
    <t xml:space="preserve">CGI-POL-005 §4, §5.4, §5.6.1 to §5.6.3; no regulator contact record or notification templates on file</t>
  </si>
  <si>
    <t xml:space="preserve">R-005, R-003</t>
  </si>
  <si>
    <t xml:space="preserve">A 72-hour statutory deadline that has never been rehearsed is routinely missed in practice, and a missed or inaccurate notification converts a security incident into a regulatory enforcement matter.</t>
  </si>
  <si>
    <t xml:space="preserve">Identify and record the lead supervisory authority and contact route, produce customer and regulator notification templates, name a deputy for the Communications Lead, and rehearse the 72-hour path in the RS.MA tabletop.</t>
  </si>
  <si>
    <t xml:space="preserve">Head of Customer Success</t>
  </si>
  <si>
    <t xml:space="preserve">A.5.5 Contact with authorities; A.5.6 Contact with special interest groups; A.5.24 Information security incident management planning and preparation; A.6.8 Information security event reporting</t>
  </si>
  <si>
    <t xml:space="preserve">GAP-020</t>
  </si>
  <si>
    <t xml:space="preserve">RS.MI Incident Mitigation</t>
  </si>
  <si>
    <t xml:space="preserve">Activities are performed to prevent expansion of an event and mitigate its effects.</t>
  </si>
  <si>
    <t xml:space="preserve">The one genuine containment capability Cypher Group Inc. has is the four-hour access revocation requirement in CGI-POL-003 §4.5.2, written for the leaver process rather than for incident response but usable in a credential compromise. CGI-POL-005 §5.5.1 names containment as a stage (disable accounts, rotate credentials, isolate systems) and CGI-POL-002 §4.5.3 requires a committed secret to be rotated, but nothing sits beneath those lines: there are no runbooks for isolating a compromised CloudCo resource, revoking active sessions or rotating credentials and secrets at speed, no anti-malware standard covering the 50 staff endpoints, and no pre-agreed authority for an engineer to take production action without approval during a live incident. Containment would therefore be improvised under pressure by whoever holds CloudCo credentials. The policy states what containment is but not how to do it, so the Category is scored down to 1.</t>
  </si>
  <si>
    <t xml:space="preserve">CGI-POL-003 §4.5.2; CGI-POL-005 §5.5.1; CGI-POL-002 §4.5.3 (no rotation runbook); no containment runbooks on file</t>
  </si>
  <si>
    <t xml:space="preserve">Ransomware (R-002, inherent 20) and credential compromise (R-001, inherent 20) both spread on a timescale of minutes, and improvised containment during a live incident is how a contained event becomes a company-wide one.</t>
  </si>
  <si>
    <t xml:space="preserve">Write containment runbooks for credential compromise, ransomware and cloud exposure covering session revocation, credential and secret rotation and resource isolation, and pre-authorise named engineers to act during a declared SEV1 without waiting for approval.</t>
  </si>
  <si>
    <t xml:space="preserve">A.5.26 Response to information security incidents; A.8.7 Protection against malware</t>
  </si>
  <si>
    <t xml:space="preserve">GAP-021</t>
  </si>
  <si>
    <t xml:space="preserve">RECOVER</t>
  </si>
  <si>
    <t xml:space="preserve">RC.RP Incident Recovery Plan Execution</t>
  </si>
  <si>
    <t xml:space="preserve">Restoration activities are performed to ensure operational availability of systems and services affected by cybersecurity incidents.</t>
  </si>
  <si>
    <t xml:space="preserve">Backups exist as CloudCo native snapshots, which is why this Category scores 1 rather than 0, but no restore has ever been tested, no recovery time objective or recovery point objective has been declared, no recovery plan document exists and no recovery roles have been assigned. CGI-POL-006 Backup and Recovery was identified as necessary in CGI-RSK-001 and has not been written, and the absence of tested recovery is control gap CG-01. An untested backup is not a recovery capability, it is an assumption - which is why CGI-RSK-001 deliberately gives R-002 no credit for backups and holds its residual impact at 4 until CG-01 is closed. This assessment reaches the same conclusion from the other direction.</t>
  </si>
  <si>
    <t xml:space="preserve">CGI-RSK-001 CG-01 and R-002 residual rationale; CGI-POL-006 recommended, not written; no restore test record on file</t>
  </si>
  <si>
    <t xml:space="preserve">In a ransomware event the company would discover whether its backups restore at the worst possible moment, and an unrecoverable SaaS platform is an existential rather than a financial event for roughly 200 customers.</t>
  </si>
  <si>
    <t xml:space="preserve">Perform and document a full restore test to a clean environment, publish CGI-POL-006 with declared RTO and RPO approved by Jerry Olugboye, and schedule the restore test to repeat every six months as a KRI.</t>
  </si>
  <si>
    <t xml:space="preserve">A.5.29 Information security during disruption; A.5.30 ICT readiness for business continuity; A.8.13 Information backup</t>
  </si>
  <si>
    <t xml:space="preserve">GAP-022</t>
  </si>
  <si>
    <t xml:space="preserve">RC.CO Incident Recovery Communication</t>
  </si>
  <si>
    <t xml:space="preserve">Restoration activities are coordinated with internal and external parties.</t>
  </si>
  <si>
    <t xml:space="preserve">Nothing exists in this Category beyond a fragment. Cypher Group Inc. has no customer communication plan for a service disruption or breach, no status page or equivalent channel through which roughly 200 SMB customers could be informed of an outage and its resolution, no holding statements prepared, and no defined point at which recovery is declared complete and communicated. CGI-POL-005 makes the Head of Customer Success the Communications Lead for all external incident communication (§5.6.1) and sets a deadline for notifying customers of a breach (§5.6.2), but nothing addresses communicating recovery: progress updates, the all-clear, or what was done. Under the fragment rule in §3.1, a general communications owner does not lift the Category off 0.</t>
  </si>
  <si>
    <t xml:space="preserve">CGI-POL-005 §5.6.1 to §5.6.3 (breach notification only - a fragment); no status page or customer communication plan on file</t>
  </si>
  <si>
    <t xml:space="preserve">Recovery that customers cannot see is commercially indistinguishable from continued outage; silence during an incident does more contract damage than the incident itself in an SMB SaaS base.</t>
  </si>
  <si>
    <t xml:space="preserve">Produce a customer recovery communication pack with holding statements, a public status page, defined update intervals by severity, a named spokesperson and a written all-clear criterion owned by the Head of Customer Success.</t>
  </si>
  <si>
    <t xml:space="preserve">A.5.29 Information security during disruption; A.5.5 Contact with authorities; A.5.6 Contact with special interest groups</t>
  </si>
  <si>
    <t xml:space="preserve">Function-level heatmap</t>
  </si>
  <si>
    <t xml:space="preserve">Averages are live formulas over 02_Assessment. OVERALL is the mean of all 22 Categories, not the mean of the six Function averages.</t>
  </si>
  <si>
    <t xml:space="preserve">Categories Assessed</t>
  </si>
  <si>
    <t xml:space="preserve">Avg Current</t>
  </si>
  <si>
    <t xml:space="preserve">OVERALL</t>
  </si>
  <si>
    <t xml:space="preserve">Distribution of current scores</t>
  </si>
  <si>
    <t xml:space="preserve">Categories</t>
  </si>
  <si>
    <t xml:space="preserve">Rec ID</t>
  </si>
  <si>
    <t xml:space="preserve">Recommendation</t>
  </si>
  <si>
    <t xml:space="preserve">Closes (Risk ID / Control Gap)</t>
  </si>
  <si>
    <t xml:space="preserve">Related CSF Category</t>
  </si>
  <si>
    <t xml:space="preserve">Priority</t>
  </si>
  <si>
    <t xml:space="preserve">Risk Reduction (1-5)</t>
  </si>
  <si>
    <t xml:space="preserve">Reduction per Effort Unit</t>
  </si>
  <si>
    <t xml:space="preserve">Target Quarter</t>
  </si>
  <si>
    <t xml:space="preserve">Dependency</t>
  </si>
  <si>
    <t xml:space="preserve">Business Rationale</t>
  </si>
  <si>
    <t xml:space="preserve">REC-01</t>
  </si>
  <si>
    <t xml:space="preserve">Complete MFA enrolment to 100% of accounts and retire the ACC-001 SMS exception ahead of its 03 Mar 2027 expiry, bringing practice into line with CGI-POL-002 s4.3.3 and s4.3.5.</t>
  </si>
  <si>
    <t xml:space="preserve">R-001; TP-01 (partial)</t>
  </si>
  <si>
    <t xml:space="preserve">PR.AA</t>
  </si>
  <si>
    <t xml:space="preserve">Q4 2026</t>
  </si>
  <si>
    <t xml:space="preserve">None</t>
  </si>
  <si>
    <t xml:space="preserve">Closes the roughly ten unprotected accounts behind the control-effectiveness discount CGI-RSK-001 applies to R-001. Highest risk reduction per unit of effort in the entire roadmap.</t>
  </si>
  <si>
    <t xml:space="preserve">REC-02</t>
  </si>
  <si>
    <t xml:space="preserve">Execute and evidence the first quarterly privileged access review mandated by CGI-POL-003 s4.7.1, producing a dated, signed review record with actioned removals.</t>
  </si>
  <si>
    <t xml:space="preserve">R-003; PR.AA maturity 2 to 3</t>
  </si>
  <si>
    <t xml:space="preserve">Partial dependency on REC-05 for completeness</t>
  </si>
  <si>
    <t xml:space="preserve">Converts the single most-cited unexecuted clause in the policy pack into operating evidence and is the cheapest available audit artifact.</t>
  </si>
  <si>
    <t xml:space="preserve">REC-03</t>
  </si>
  <si>
    <t xml:space="preserve">Perform and document a full backup restore test to a clean environment, then publish CGI-POL-006 Backup and Recovery with RTO and RPO approved by Jerry Olugboye.</t>
  </si>
  <si>
    <t xml:space="preserve">R-002; CG-01</t>
  </si>
  <si>
    <t xml:space="preserve">RC.RP</t>
  </si>
  <si>
    <t xml:space="preserve">CGI-RSK-001 refuses to credit backups for R-002 until a restore is proven (CG-01). One test converts an assumption into a capability.</t>
  </si>
  <si>
    <t xml:space="preserve">REC-04</t>
  </si>
  <si>
    <t xml:space="preserve">Drive CGI-TRK-001 policy acknowledgement from 60% to 100% and add a completion gate to the CGI-POL-003 joiner process so no new starter gains access before acknowledging.</t>
  </si>
  <si>
    <t xml:space="preserve">R-001, R-002; GV.PO maturity 2 to 3</t>
  </si>
  <si>
    <t xml:space="preserve">GV.PO</t>
  </si>
  <si>
    <t xml:space="preserve">Roughly twenty employees are currently bound by policies they have not read, which makes the entire Project 1 investment unenforceable.</t>
  </si>
  <si>
    <t xml:space="preserve">REC-05</t>
  </si>
  <si>
    <t xml:space="preserve">Build an asset and SaaS inventory covering CloudCo accounts and data stores, CodeCo repositories, OfficeCo shared drives, ChatCo workspaces, PaymentsCo objects and staff endpoints, labelled per CGI-POL-004.</t>
  </si>
  <si>
    <t xml:space="preserve">R-003, R-005; ID.AM maturity 1 to 2</t>
  </si>
  <si>
    <t xml:space="preserve">ID.AM</t>
  </si>
  <si>
    <t xml:space="preserve">Q1 2027</t>
  </si>
  <si>
    <t xml:space="preserve">Sequenced early despite a mid-range ratio because it is a hard prerequisite for REC-02, REC-11 and REC-15. Dependency overrides ratio.</t>
  </si>
  <si>
    <t xml:space="preserve">REC-06</t>
  </si>
  <si>
    <t xml:space="preserve">Publish CGI-POL-007 Secure Development and Change Management and enforce CodeCo branch protection with mandatory peer review and no direct commits to main.</t>
  </si>
  <si>
    <t xml:space="preserve">R-004; CG-02</t>
  </si>
  <si>
    <t xml:space="preserve">PR.PS</t>
  </si>
  <si>
    <t xml:space="preserve">R-004 is one of only two risks that stayed High after the Project 1 pack, precisely because no policy clause governs how code reaches production. This is the largest single maturity move available (PR.PS 0 to 2).</t>
  </si>
  <si>
    <t xml:space="preserve">REC-07</t>
  </si>
  <si>
    <t xml:space="preserve">Enable AWS CloudTrail organisation-wide with log file validation, centralise logs with defined retention, and alert on root usage, IAM policy change, public S3 exposure and mass data download.</t>
  </si>
  <si>
    <t xml:space="preserve">R-003, R-005; CG-03, CG-05 (partial)</t>
  </si>
  <si>
    <t xml:space="preserve">DE.CM, DE.AE</t>
  </si>
  <si>
    <t xml:space="preserve">Moves the company from zero detection capability to a defensible one and simultaneously unblocks RS.AN incident analysis, which is currently impossible for want of retained logs.</t>
  </si>
  <si>
    <t xml:space="preserve">REC-08</t>
  </si>
  <si>
    <t xml:space="preserve">Publish CGI-POL-008 Vulnerability Management and begin authenticated vulnerability scanning with severity-based remediation SLAs; feed results into the next CGI-RSK-001 revision.</t>
  </si>
  <si>
    <t xml:space="preserve">R-002, R-004; CG-02</t>
  </si>
  <si>
    <t xml:space="preserve">PR.PS, ID.RA</t>
  </si>
  <si>
    <t xml:space="preserve">Satisfies CSF ID.RA-01 by technical discovery rather than workshop judgement, which is the stated reason ID.RA is capped at 3 rather than 4.</t>
  </si>
  <si>
    <t xml:space="preserve">REC-09</t>
  </si>
  <si>
    <t xml:space="preserve">Stand up an annual security awareness curriculum with an induction module and role-specific content for staff with production access, plus quarterly phishing simulations tracked in CGI-TRK-001.</t>
  </si>
  <si>
    <t xml:space="preserve">R-001; CG-04</t>
  </si>
  <si>
    <t xml:space="preserve">PR.AT</t>
  </si>
  <si>
    <t xml:space="preserve">REC-04 (acknowledgement gate)</t>
  </si>
  <si>
    <t xml:space="preserve">R-001 carries the joint-highest inherent score in the register (20) and its principal control is human judgement that has been trained once, at induction, and never tested.</t>
  </si>
  <si>
    <t xml:space="preserve">REC-10</t>
  </si>
  <si>
    <t xml:space="preserve">Establish a minuted quarterly security review with Jerry Olugboye reporting the seven CGI-RSK-001 KRIs, this maturity scorecard and TP-01 to TP-10 status.</t>
  </si>
  <si>
    <t xml:space="preserve">GV.OV maturity 1 to 2</t>
  </si>
  <si>
    <t xml:space="preserve">GV.OV</t>
  </si>
  <si>
    <t xml:space="preserve">Creates the governance loop that releases budget and keeps remediation alive once the assessment ends; the minutes are themselves the oversight evidence.</t>
  </si>
  <si>
    <t xml:space="preserve">REC-11</t>
  </si>
  <si>
    <t xml:space="preserve">Apply a CIS AWS Foundations Benchmark baseline and enable continuous cloud security posture monitoring across all CloudCo accounts.</t>
  </si>
  <si>
    <t xml:space="preserve">R-005; CG-03</t>
  </si>
  <si>
    <t xml:space="preserve">PR.IR</t>
  </si>
  <si>
    <t xml:space="preserve">Q2 2027</t>
  </si>
  <si>
    <t xml:space="preserve">REC-05 (asset inventory)</t>
  </si>
  <si>
    <t xml:space="preserve">R-005 is the second of the two risks that stayed High. A baseline plus posture monitoring is the only control that addresses misconfiguration as a class rather than one bucket at a time.</t>
  </si>
  <si>
    <t xml:space="preserve">REC-12</t>
  </si>
  <si>
    <t xml:space="preserve">Run a SEV1 tabletop exercise against CGI-POL-005 covering ransomware and cloud exposure, rehearsing the s5.6.3 GDPR 72-hour path, with a written lessons-learned record.</t>
  </si>
  <si>
    <t xml:space="preserve">R-002, R-005; ID.IM maturity 1 to 2</t>
  </si>
  <si>
    <t xml:space="preserve">RS.MA, RS.CO, ID.IM</t>
  </si>
  <si>
    <t xml:space="preserve">REC-07 (something to detect with)</t>
  </si>
  <si>
    <t xml:space="preserve">Converts three policy-only Categories into exercised ones in a single half-day and produces the lessons-learned artifact that ID.IM currently lacks entirely.</t>
  </si>
  <si>
    <t xml:space="preserve">REC-13</t>
  </si>
  <si>
    <t xml:space="preserve">Add a CEO-approved risk appetite statement and a defined annual plus event-driven re-assessment cadence to CGI-RSK-001 v1.1; re-confirm ACC-001 against the stated appetite.</t>
  </si>
  <si>
    <t xml:space="preserve">GV.RM maturity 2 to 3</t>
  </si>
  <si>
    <t xml:space="preserve">GV.RM, GV.OC</t>
  </si>
  <si>
    <t xml:space="preserve">REC-10 (governance forum)</t>
  </si>
  <si>
    <t xml:space="preserve">ACC-001 was accepted against an undeclared tolerance. Declaring appetite is what makes every future acceptance defensible rather than personal.</t>
  </si>
  <si>
    <t xml:space="preserve">REC-14</t>
  </si>
  <si>
    <t xml:space="preserve">Produce a customer incident and recovery communication pack: holding statements, public status page, update intervals by severity, named spokesperson and written all-clear criterion.</t>
  </si>
  <si>
    <t xml:space="preserve">R-002, R-005; RC.CO maturity 0 to 2</t>
  </si>
  <si>
    <t xml:space="preserve">RC.CO, RS.CO</t>
  </si>
  <si>
    <t xml:space="preserve">REC-12 (rehearsal)</t>
  </si>
  <si>
    <t xml:space="preserve">Silence during an incident does more contract damage across roughly 200 SMB customers than the incident itself.</t>
  </si>
  <si>
    <t xml:space="preserve">REC-15</t>
  </si>
  <si>
    <t xml:space="preserve">Build a tiered vendor inventory for CloudCo, CodeCo, ChatCo, OfficeCo and PaymentsCo with assurance artifacts and DPAs, and add permitted third-party destinations to CGI-POL-004 s4.2.</t>
  </si>
  <si>
    <t xml:space="preserve">GV.SC maturity 0 to 2; R-005 (adjacent)</t>
  </si>
  <si>
    <t xml:space="preserve">GV.SC</t>
  </si>
  <si>
    <t xml:space="preserve">The only Category scored zero that is also a hard commercial blocker: enterprise buyers treat a missing vendor register as an immediate fail. Delivered 15 Sep 2026 as Project 4 (CGI-TPR-001)</t>
  </si>
  <si>
    <t xml:space="preserve"> three quarters ahead of its Q2 2027 slot.</t>
  </si>
  <si>
    <t xml:space="preserve">REC-16</t>
  </si>
  <si>
    <t xml:space="preserve">Introduce static application security testing in the CI pipeline and commission an annual third-party penetration test targeting the authorisation defect class behind R-004.</t>
  </si>
  <si>
    <t xml:space="preserve">R-004; CG-02 (residual)</t>
  </si>
  <si>
    <t xml:space="preserve">L</t>
  </si>
  <si>
    <t xml:space="preserve">Q3 2027</t>
  </si>
  <si>
    <t xml:space="preserve">REC-06 (policy and branch protection first)</t>
  </si>
  <si>
    <t xml:space="preserve">Peer review alone will not find an authorisation flaw reliably. This is what finally moves R-004 off residual High, but it needs budget and a pipeline to attach to, so it follows rather than leads.</t>
  </si>
  <si>
    <t xml:space="preserve">REC-17</t>
  </si>
  <si>
    <t xml:space="preserve">Deploy data egress and data loss prevention monitoring on OfficeCo and CodeCo covering mass download, external sharing and repository cloning by departing staff.</t>
  </si>
  <si>
    <t xml:space="preserve">R-003; CG-05</t>
  </si>
  <si>
    <t xml:space="preserve">PR.DS, DE.CM</t>
  </si>
  <si>
    <t xml:space="preserve">REC-07 (log centralisation)</t>
  </si>
  <si>
    <t xml:space="preserve">R-003 is prevented on paper by the CGI-POL-003 four-hour revocation but remains entirely undetectable in the window before a leaver is processed.</t>
  </si>
  <si>
    <t xml:space="preserve">REC-18</t>
  </si>
  <si>
    <t xml:space="preserve">Document network segmentation, production access boundaries and the shared responsibility boundary between CloudCo and Cypher Group Inc.</t>
  </si>
  <si>
    <t xml:space="preserve">R-004, R-005; PR.IR maturity</t>
  </si>
  <si>
    <t xml:space="preserve">Q4 2027</t>
  </si>
  <si>
    <t xml:space="preserve">REC-11 (baseline first)</t>
  </si>
  <si>
    <t xml:space="preserve">Required for ISO 27001 A.8.22 and expected in any cloud audit; low urgency only because the baseline in REC-11 delivers most of the practical protection first.</t>
  </si>
  <si>
    <t xml:space="preserve">Wave plan</t>
  </si>
  <si>
    <t xml:space="preserve">Wave</t>
  </si>
  <si>
    <t xml:space="preserve">Window</t>
  </si>
  <si>
    <t xml:space="preserve">Recommendations</t>
  </si>
  <si>
    <t xml:space="preserve">Count</t>
  </si>
  <si>
    <t xml:space="preserve">Wave 1 — Evidence</t>
  </si>
  <si>
    <t xml:space="preserve">REC-01 to REC-04</t>
  </si>
  <si>
    <t xml:space="preserve">Wave 2 — Capability</t>
  </si>
  <si>
    <t xml:space="preserve">REC-05 to REC-10</t>
  </si>
  <si>
    <t xml:space="preserve">Wave 3 — Hardening and rehearsal</t>
  </si>
  <si>
    <t xml:space="preserve">REC-11 to REC-15</t>
  </si>
  <si>
    <t xml:space="preserve">Wave 4 — Assurance</t>
  </si>
  <si>
    <t xml:space="preserve">Q3–Q4 2027</t>
  </si>
  <si>
    <t xml:space="preserve">REC-16 to REC-18</t>
  </si>
  <si>
    <t xml:space="preserve">Internal consistency checks</t>
  </si>
  <si>
    <t xml:space="preserve">PASS/FAIL values are live formulas.</t>
  </si>
  <si>
    <t xml:space="preserve">Check</t>
  </si>
  <si>
    <t xml:space="preserve">Value</t>
  </si>
  <si>
    <t xml:space="preserve">Expected</t>
  </si>
  <si>
    <t xml:space="preserve">Result</t>
  </si>
  <si>
    <t xml:space="preserve">Categories assessed</t>
  </si>
  <si>
    <t xml:space="preserve">Functions covered</t>
  </si>
  <si>
    <t xml:space="preserve">Current score sum</t>
  </si>
  <si>
    <t xml:space="preserve">Target score sum</t>
  </si>
  <si>
    <t xml:space="preserve">Categories targeted at 3</t>
  </si>
  <si>
    <t xml:space="preserve">Categories targeted at 2</t>
  </si>
  <si>
    <t xml:space="preserve">Categories targeted at 4</t>
  </si>
  <si>
    <t xml:space="preserve">Targets below current (must be 0)</t>
  </si>
  <si>
    <t xml:space="preserve">Rows where Gap ≠ Target − Current (must be 0)</t>
  </si>
  <si>
    <t xml:space="preserve">Categories scoring ≥3 linked to R-004 or R-005 (each needs a written explanation — ID.RA, §9.1)</t>
  </si>
  <si>
    <t xml:space="preserve">PR.PS score (owns CG-02, behind residual-High R-004) — must be ≤ 1</t>
  </si>
  <si>
    <t xml:space="preserve">PR.IR score (owns CG-03, behind residual-High R-005) — must be ≤ 1</t>
  </si>
  <si>
    <t xml:space="preserve">Zero-scored Categories that name their fragments ("fragment" in the evidence source)</t>
  </si>
  <si>
    <t xml:space="preserve">Recommendations in roadmap (≥ 12)</t>
  </si>
  <si>
    <t xml:space="preserve">Overall current (2 dp)</t>
  </si>
  <si>
    <t xml:space="preserve">Overall target (2 dp)</t>
  </si>
  <si>
    <t xml:space="preserve">Control gap coverage (IDs as defined in CGI-RSK-001 §4.3)</t>
  </si>
  <si>
    <t xml:space="preserve">Control gap</t>
  </si>
  <si>
    <t xml:space="preserve">Description carried forward from CGI-RSK-001</t>
  </si>
  <si>
    <t xml:space="preserve">Primary Category</t>
  </si>
  <si>
    <t xml:space="preserve">Closing recommendation</t>
  </si>
  <si>
    <t xml:space="preserve">CG-01</t>
  </si>
  <si>
    <t xml:space="preserve">No backup, recovery, RPO/RTO or restore-testing obligation</t>
  </si>
  <si>
    <t xml:space="preserve">RC.RP / PR.IR</t>
  </si>
  <si>
    <t xml:space="preserve">1 / 0</t>
  </si>
  <si>
    <t xml:space="preserve">CG-02</t>
  </si>
  <si>
    <t xml:space="preserve">No secure development, code review, change management or vulnerability management policy</t>
  </si>
  <si>
    <t xml:space="preserve">REC-06, REC-08, REC-16</t>
  </si>
  <si>
    <t xml:space="preserve">CG-03</t>
  </si>
  <si>
    <t xml:space="preserve">No cloud configuration baseline and no automated configuration monitoring or drift detection</t>
  </si>
  <si>
    <t xml:space="preserve">PR.IR / DE.CM</t>
  </si>
  <si>
    <t xml:space="preserve">0 / 1</t>
  </si>
  <si>
    <t xml:space="preserve">REC-07, REC-11</t>
  </si>
  <si>
    <t xml:space="preserve">CG-04</t>
  </si>
  <si>
    <t xml:space="preserve">Security awareness training at induction only; no recurring programme or simulation</t>
  </si>
  <si>
    <t xml:space="preserve">CG-05</t>
  </si>
  <si>
    <t xml:space="preserve">No data loss prevention tooling; monitoring is metadata-level only</t>
  </si>
  <si>
    <t xml:space="preserve">PR.DS / DE.CM</t>
  </si>
  <si>
    <t xml:space="preserve">2 / 1</t>
  </si>
  <si>
    <t xml:space="preserve">REC-07, REC-17</t>
  </si>
  <si>
    <t xml:space="preserve">#</t>
  </si>
  <si>
    <t xml:space="preserve">Done?</t>
  </si>
  <si>
    <t xml:space="preserve">Evidence / note</t>
  </si>
  <si>
    <t xml:space="preserve">All 22 Categories assessed, no duplicates, all 6 Functions covered (6+3+5+2+4+2 = 22)</t>
  </si>
  <si>
    <t xml:space="preserve">Yes</t>
  </si>
  <si>
    <t xml:space="preserve">Every Current and Target score is 0–4; no Target below Current</t>
  </si>
  <si>
    <t xml:space="preserve">Gap = Target − Current, computed not typed</t>
  </si>
  <si>
    <t xml:space="preserve">Function and overall averages recomputed programmatically</t>
  </si>
  <si>
    <t xml:space="preserve">Target distribution reconciles to the target sum</t>
  </si>
  <si>
    <t xml:space="preserve">No Category ≥ 3 behind a residual High risk without a written explanation</t>
  </si>
  <si>
    <t xml:space="preserve">Every Category cites a policy clause or names the absence of one</t>
  </si>
  <si>
    <t xml:space="preserve">Every Category carries a secondary framework mapping</t>
  </si>
  <si>
    <t xml:space="preserve">Every Owner is a job title, never a named individual</t>
  </si>
  <si>
    <t xml:space="preserve">At least 12 recommendations, each with priority, effort, owner, quarter and dependency</t>
  </si>
  <si>
    <t xml:space="preserve">Tables contain one value per cell and no merged cells</t>
  </si>
  <si>
    <t xml:space="preserve">Case-study notice present if this is a portfolio scenario</t>
  </si>
  <si>
    <t xml:space="preserve">Control gap IDs match CGI-RSK-001 §4.3 exactly (CG-01 to CG-05)</t>
  </si>
  <si>
    <t xml:space="preserve">Every fragment touching a zero-scored Category is named in its finding</t>
  </si>
</sst>
</file>

<file path=xl/styles.xml><?xml version="1.0" encoding="utf-8"?>
<styleSheet xmlns="http://schemas.openxmlformats.org/spreadsheetml/2006/main">
  <numFmts count="3">
    <numFmt numFmtId="164" formatCode="General"/>
    <numFmt numFmtId="165" formatCode="General"/>
    <numFmt numFmtId="166" formatCode="0.00"/>
  </numFmts>
  <fonts count="14">
    <font>
      <sz val="11"/>
      <color theme="1"/>
      <name val="Calibri"/>
      <family val="2"/>
      <charset val="1"/>
    </font>
    <font>
      <sz val="10"/>
      <name val="Arial"/>
      <family val="0"/>
    </font>
    <font>
      <sz val="10"/>
      <name val="Arial"/>
      <family val="0"/>
    </font>
    <font>
      <sz val="10"/>
      <name val="Arial"/>
      <family val="0"/>
    </font>
    <font>
      <b val="true"/>
      <sz val="16"/>
      <color rgb="FF13315C"/>
      <name val="Arial"/>
      <family val="0"/>
      <charset val="1"/>
    </font>
    <font>
      <b val="true"/>
      <sz val="10"/>
      <color rgb="FF9C0006"/>
      <name val="Arial"/>
      <family val="0"/>
      <charset val="1"/>
    </font>
    <font>
      <b val="true"/>
      <sz val="10"/>
      <color rgb="FF1F2937"/>
      <name val="Arial"/>
      <family val="0"/>
      <charset val="1"/>
    </font>
    <font>
      <sz val="10"/>
      <color rgb="FF1F2937"/>
      <name val="Arial"/>
      <family val="0"/>
      <charset val="1"/>
    </font>
    <font>
      <b val="true"/>
      <sz val="11"/>
      <color rgb="FF13315C"/>
      <name val="Arial"/>
      <family val="0"/>
      <charset val="1"/>
    </font>
    <font>
      <b val="true"/>
      <sz val="15"/>
      <color rgb="FF13315C"/>
      <name val="Arial"/>
      <family val="0"/>
      <charset val="1"/>
    </font>
    <font>
      <b val="true"/>
      <sz val="10"/>
      <color rgb="FFFFFFFF"/>
      <name val="Arial"/>
      <family val="0"/>
      <charset val="1"/>
    </font>
    <font>
      <i val="true"/>
      <sz val="10"/>
      <color rgb="FF6B7280"/>
      <name val="Arial"/>
      <family val="0"/>
      <charset val="1"/>
    </font>
    <font>
      <b val="true"/>
      <sz val="18"/>
      <color rgb="FF000000"/>
      <name val="Calibri"/>
      <family val="2"/>
    </font>
    <font>
      <sz val="10"/>
      <color rgb="FF000000"/>
      <name val="Calibri"/>
      <family val="2"/>
    </font>
  </fonts>
  <fills count="8">
    <fill>
      <patternFill patternType="none"/>
    </fill>
    <fill>
      <patternFill patternType="gray125"/>
    </fill>
    <fill>
      <patternFill patternType="solid">
        <fgColor rgb="FFFFF2CC"/>
        <bgColor rgb="FFFFEB9C"/>
      </patternFill>
    </fill>
    <fill>
      <patternFill patternType="solid">
        <fgColor rgb="FFE7E6E6"/>
        <bgColor rgb="FFD9D9D9"/>
      </patternFill>
    </fill>
    <fill>
      <patternFill patternType="solid">
        <fgColor rgb="FFC6EFCE"/>
        <bgColor rgb="FFD9D9D9"/>
      </patternFill>
    </fill>
    <fill>
      <patternFill patternType="solid">
        <fgColor rgb="FFFFEB9C"/>
        <bgColor rgb="FFFFF2CC"/>
      </patternFill>
    </fill>
    <fill>
      <patternFill patternType="solid">
        <fgColor rgb="FFFFC7CE"/>
        <bgColor rgb="FFD9D9D9"/>
      </patternFill>
    </fill>
    <fill>
      <patternFill patternType="solid">
        <fgColor rgb="FF13315C"/>
        <bgColor rgb="FF1F2937"/>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6" fillId="4" borderId="0" xfId="0" applyFont="true" applyBorder="false" applyAlignment="true" applyProtection="false">
      <alignment horizontal="general" vertical="top" textRotation="0" wrapText="false" indent="0" shrinkToFit="false"/>
      <protection locked="true" hidden="false"/>
    </xf>
    <xf numFmtId="164" fontId="6" fillId="5" borderId="0" xfId="0" applyFont="true" applyBorder="false" applyAlignment="true" applyProtection="false">
      <alignment horizontal="general" vertical="top" textRotation="0" wrapText="false" indent="0" shrinkToFit="false"/>
      <protection locked="true" hidden="false"/>
    </xf>
    <xf numFmtId="164" fontId="6" fillId="6"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general" vertical="top" textRotation="0" wrapText="true" indent="0" shrinkToFit="false"/>
      <protection locked="true" hidden="false"/>
    </xf>
    <xf numFmtId="166" fontId="6"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3315C"/>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B1D580"/>
          <bgColor rgb="FF000000"/>
        </patternFill>
      </fill>
    </dxf>
    <dxf>
      <fill>
        <patternFill patternType="solid">
          <fgColor rgb="FFF8696B"/>
          <bgColor rgb="FF000000"/>
        </patternFill>
      </fill>
    </dxf>
    <dxf>
      <fill>
        <patternFill patternType="solid">
          <fgColor rgb="FFFBAA77"/>
          <bgColor rgb="FF000000"/>
        </patternFill>
      </fill>
    </dxf>
    <dxf>
      <fill>
        <patternFill patternType="solid">
          <fgColor rgb="FFFFEB84"/>
          <bgColor rgb="FF000000"/>
        </patternFill>
      </fill>
    </dxf>
    <dxf>
      <fill>
        <patternFill patternType="solid">
          <fgColor rgb="FFFFF2CC"/>
          <bgColor rgb="FF000000"/>
        </patternFill>
      </fill>
    </dxf>
    <dxf>
      <fill>
        <patternFill patternType="solid">
          <fgColor rgb="FF63BE7B"/>
          <bgColor rgb="FF000000"/>
        </patternFill>
      </fill>
    </dxf>
    <dxf>
      <fill>
        <patternFill patternType="solid">
          <fgColor rgb="FF94A276"/>
          <bgColor rgb="FF000000"/>
        </patternFill>
      </fill>
    </dxf>
    <dxf>
      <fill>
        <patternFill patternType="solid">
          <fgColor rgb="FFC68671"/>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E7E6E6"/>
          <bgColor rgb="FF000000"/>
        </patternFill>
      </fill>
    </dxf>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878787"/>
      <rgbColor rgb="FF9999FF"/>
      <rgbColor rgb="FF993366"/>
      <rgbColor rgb="FFFFF2CC"/>
      <rgbColor rgb="FFE7E6E6"/>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A78D6"/>
      <rgbColor rgb="FF33CCCC"/>
      <rgbColor rgb="FF99CC00"/>
      <rgbColor rgb="FFFFCC00"/>
      <rgbColor rgb="FFFF9900"/>
      <rgbColor rgb="FFEB6834"/>
      <rgbColor rgb="FF6B7280"/>
      <rgbColor rgb="FF969696"/>
      <rgbColor rgb="FF13315C"/>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NIST CSF 2.0 maturity — current vs target (simulated)</a:t>
            </a:r>
          </a:p>
        </c:rich>
      </c:tx>
      <c:overlay val="0"/>
      <c:spPr>
        <a:noFill/>
        <a:ln w="0">
          <a:noFill/>
        </a:ln>
      </c:spPr>
    </c:title>
    <c:autoTitleDeleted val="0"/>
    <c:plotArea>
      <c:radarChart>
        <c:radarStyle val="marker"/>
        <c:varyColors val="0"/>
        <c:ser>
          <c:idx val="0"/>
          <c:order val="0"/>
          <c:tx>
            <c:strRef>
              <c:f>03_Heatmap!C4</c:f>
              <c:strCache>
                <c:ptCount val="1"/>
                <c:pt idx="0">
                  <c:v>Avg Current</c:v>
                </c:pt>
              </c:strCache>
            </c:strRef>
          </c:tx>
          <c:spPr>
            <a:solidFill>
              <a:srgbClr val="2a78d6"/>
            </a:solidFill>
            <a:ln w="2844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03_Heatmap!$A$5:$A$10</c:f>
              <c:strCache>
                <c:ptCount val="6"/>
                <c:pt idx="0">
                  <c:v>GOVERN</c:v>
                </c:pt>
                <c:pt idx="1">
                  <c:v>IDENTIFY</c:v>
                </c:pt>
                <c:pt idx="2">
                  <c:v>PROTECT</c:v>
                </c:pt>
                <c:pt idx="3">
                  <c:v>DETECT</c:v>
                </c:pt>
                <c:pt idx="4">
                  <c:v>RESPOND</c:v>
                </c:pt>
                <c:pt idx="5">
                  <c:v>RECOVER</c:v>
                </c:pt>
              </c:strCache>
            </c:strRef>
          </c:cat>
          <c:val>
            <c:numRef>
              <c:f>03_Heatmap!$C$5:$C$10</c:f>
              <c:numCache>
                <c:formatCode>0.00</c:formatCode>
                <c:ptCount val="6"/>
                <c:pt idx="0">
                  <c:v>1.33333333333333</c:v>
                </c:pt>
                <c:pt idx="1">
                  <c:v>1.66666666666667</c:v>
                </c:pt>
                <c:pt idx="2">
                  <c:v>1</c:v>
                </c:pt>
                <c:pt idx="3">
                  <c:v>1</c:v>
                </c:pt>
                <c:pt idx="4">
                  <c:v>1.5</c:v>
                </c:pt>
                <c:pt idx="5">
                  <c:v>0.5</c:v>
                </c:pt>
              </c:numCache>
            </c:numRef>
          </c:val>
        </c:ser>
        <c:ser>
          <c:idx val="1"/>
          <c:order val="1"/>
          <c:tx>
            <c:strRef>
              <c:f>03_Heatmap!D4</c:f>
              <c:strCache>
                <c:ptCount val="1"/>
                <c:pt idx="0">
                  <c:v>Target</c:v>
                </c:pt>
              </c:strCache>
            </c:strRef>
          </c:tx>
          <c:spPr>
            <a:solidFill>
              <a:srgbClr val="eb6834"/>
            </a:solidFill>
            <a:ln w="28440">
              <a:solidFill>
                <a:srgbClr val="eb6834"/>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03_Heatmap!$A$5:$A$10</c:f>
              <c:strCache>
                <c:ptCount val="6"/>
                <c:pt idx="0">
                  <c:v>GOVERN</c:v>
                </c:pt>
                <c:pt idx="1">
                  <c:v>IDENTIFY</c:v>
                </c:pt>
                <c:pt idx="2">
                  <c:v>PROTECT</c:v>
                </c:pt>
                <c:pt idx="3">
                  <c:v>DETECT</c:v>
                </c:pt>
                <c:pt idx="4">
                  <c:v>RESPOND</c:v>
                </c:pt>
                <c:pt idx="5">
                  <c:v>RECOVER</c:v>
                </c:pt>
              </c:strCache>
            </c:strRef>
          </c:cat>
          <c:val>
            <c:numRef>
              <c:f>03_Heatmap!$D$5:$D$10</c:f>
              <c:numCache>
                <c:formatCode>0.00</c:formatCode>
                <c:ptCount val="6"/>
                <c:pt idx="0">
                  <c:v>2.66666666666667</c:v>
                </c:pt>
                <c:pt idx="1">
                  <c:v>2.66666666666667</c:v>
                </c:pt>
                <c:pt idx="2">
                  <c:v>3</c:v>
                </c:pt>
                <c:pt idx="3">
                  <c:v>2.5</c:v>
                </c:pt>
                <c:pt idx="4">
                  <c:v>2.5</c:v>
                </c:pt>
                <c:pt idx="5">
                  <c:v>2.5</c:v>
                </c:pt>
              </c:numCache>
            </c:numRef>
          </c:val>
        </c:ser>
        <c:axId val="69650005"/>
        <c:axId val="5331733"/>
      </c:radarChart>
      <c:catAx>
        <c:axId val="69650005"/>
        <c:scaling>
          <c:orientation val="maxMin"/>
        </c:scaling>
        <c:delete val="0"/>
        <c:axPos val="b"/>
        <c:numFmt formatCode="General" sourceLinked="1"/>
        <c:majorTickMark val="none"/>
        <c:minorTickMark val="none"/>
        <c:tickLblPos val="nextTo"/>
        <c:spPr>
          <a:ln w="9360">
            <a:noFill/>
          </a:ln>
        </c:spPr>
        <c:txPr>
          <a:bodyPr/>
          <a:lstStyle/>
          <a:p>
            <a:pPr>
              <a:defRPr b="0" sz="1000" spc="-1" strike="noStrike">
                <a:solidFill>
                  <a:srgbClr val="000000"/>
                </a:solidFill>
                <a:latin typeface="Calibri"/>
              </a:defRPr>
            </a:pPr>
          </a:p>
        </c:txPr>
        <c:crossAx val="5331733"/>
        <c:crosses val="autoZero"/>
        <c:auto val="1"/>
        <c:lblAlgn val="ctr"/>
        <c:lblOffset val="100"/>
        <c:noMultiLvlLbl val="0"/>
      </c:catAx>
      <c:valAx>
        <c:axId val="5331733"/>
        <c:scaling>
          <c:orientation val="minMax"/>
          <c:max val="4"/>
          <c:min val="0"/>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650005"/>
        <c:crosses val="autoZero"/>
        <c:crossBetween val="midCat"/>
        <c:majorUnit val="1"/>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145440</xdr:rowOff>
    </xdr:from>
    <xdr:to>
      <xdr:col>15</xdr:col>
      <xdr:colOff>255960</xdr:colOff>
      <xdr:row>21</xdr:row>
      <xdr:rowOff>9360</xdr:rowOff>
    </xdr:to>
    <xdr:graphicFrame>
      <xdr:nvGraphicFramePr>
        <xdr:cNvPr id="0" name="Chart 1"/>
        <xdr:cNvGraphicFramePr/>
      </xdr:nvGraphicFramePr>
      <xdr:xfrm>
        <a:off x="5122440" y="571680"/>
        <a:ext cx="57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9.7" hidden="false" customHeight="false" outlineLevel="0" collapsed="false">
      <c r="A1" s="1" t="inlineStr">
        <is>
          <t xml:space="preserve">CGI-GAP-001 — NIST CSF 2.0 Gap Assessment &amp; Maturity Scorecard v1.0</t>
        </is>
      </c>
    </row>
    <row r="2" customFormat="false" ht="42" hidden="false" customHeight="true" outlineLevel="0" collapsed="false">
      <c r="A2" s="2" t="inlineStr">
        <is>
          <t xml:space="preserve">SIMULATED CASE STUDY. Cypher Group Inc. is a simulated company. Every finding, score and figure was created to demonstrate applied GRC methodology.</t>
        </is>
      </c>
      <c r="B2" s="2"/>
    </row>
    <row r="4" customFormat="false" ht="15" hidden="false" customHeight="false" outlineLevel="0" collapsed="false">
      <c r="A4" s="3" t="inlineStr">
        <is>
          <t xml:space="preserve">Scope</t>
        </is>
      </c>
      <c r="B4" s="4" t="inlineStr">
        <is>
          <t xml:space="preserve">All 22 NIST CSF 2.0 Categories across 6 Functions, Category level. Secondary mapping: ISO/IEC 27001:2022 Annex A.</t>
        </is>
      </c>
    </row>
    <row r="5" customFormat="false" ht="15" hidden="false" customHeight="false" outlineLevel="0" collapsed="false">
      <c r="A5" s="3" t="inlineStr">
        <is>
          <t xml:space="preserve">Scale</t>
        </is>
      </c>
      <c r="B5" s="4" t="inlineStr">
        <is>
          <t xml:space="preserve">0–4 CMMI-style maturity. An approved but unevidenced policy is a 2, never a 3. A clause is not a capability (fragment rule).</t>
        </is>
      </c>
    </row>
    <row r="6" customFormat="false" ht="15" hidden="false" customHeight="false" outlineLevel="0" collapsed="false">
      <c r="A6" s="3" t="inlineStr">
        <is>
          <t xml:space="preserve">Prepared by</t>
        </is>
      </c>
      <c r="B6" s="4" t="inlineStr">
        <is>
          <t xml:space="preserve">O.S, Assessor</t>
        </is>
      </c>
    </row>
    <row r="7" customFormat="false" ht="15" hidden="false" customHeight="false" outlineLevel="0" collapsed="false">
      <c r="A7" s="3" t="inlineStr">
        <is>
          <t xml:space="preserve">Approved by</t>
        </is>
      </c>
      <c r="B7" s="4" t="inlineStr">
        <is>
          <t xml:space="preserve">Jerry Olugboye, Chief Executive Officer — 15 September 2026</t>
        </is>
      </c>
    </row>
    <row r="8" customFormat="false" ht="15" hidden="false" customHeight="false" outlineLevel="0" collapsed="false">
      <c r="A8" s="3" t="inlineStr">
        <is>
          <t xml:space="preserve">Inputs</t>
        </is>
      </c>
      <c r="B8" s="4" t="inlineStr">
        <is>
          <t xml:space="preserve">CGI-POL-001 to 005 · CGI-TRK-001 · EXC-001 to 003 · CGI-RSK-001 v1.0</t>
        </is>
      </c>
    </row>
    <row r="10" customFormat="false" ht="15" hidden="false" customHeight="false" outlineLevel="0" collapsed="false">
      <c r="A10" s="5" t="inlineStr">
        <is>
          <t xml:space="preserve">SHEETS</t>
        </is>
      </c>
      <c r="B10" s="4"/>
    </row>
    <row r="11" customFormat="false" ht="15" hidden="false" customHeight="false" outlineLevel="0" collapsed="false">
      <c r="A11" s="3" t="inlineStr">
        <is>
          <t xml:space="preserve">01_Maturity_Scale</t>
        </is>
      </c>
      <c r="B11" s="4" t="inlineStr">
        <is>
          <t xml:space="preserve">The 0–4 scale, the fragment rule and the declared target state.</t>
        </is>
      </c>
    </row>
    <row r="12" customFormat="false" ht="23.85" hidden="false" customHeight="false" outlineLevel="0" collapsed="false">
      <c r="A12" s="3" t="inlineStr">
        <is>
          <t xml:space="preserve">02_Assessment</t>
        </is>
      </c>
      <c r="B12" s="4" t="inlineStr">
        <is>
          <t xml:space="preserve">The 16-column grid for all 22 Categories. Scores are yellow inputs with 0–4 validation; Gap is a formula; colour scales are pinned to numbers.</t>
        </is>
      </c>
    </row>
    <row r="13" customFormat="false" ht="23.85" hidden="false" customHeight="false" outlineLevel="0" collapsed="false">
      <c r="A13" s="3" t="inlineStr">
        <is>
          <t xml:space="preserve">03_Heatmap</t>
        </is>
      </c>
      <c r="B13" s="4" t="inlineStr">
        <is>
          <t xml:space="preserve">Function averages via AVERAGEIF, the overall score as the mean of all 22 Categories, and the current-vs-target radar chart.</t>
        </is>
      </c>
    </row>
    <row r="14" customFormat="false" ht="15" hidden="false" customHeight="false" outlineLevel="0" collapsed="false">
      <c r="A14" s="3" t="inlineStr">
        <is>
          <t xml:space="preserve">04_Roadmap</t>
        </is>
      </c>
      <c r="B14" s="4" t="inlineStr">
        <is>
          <t xml:space="preserve">REC-01 to REC-18. Reduction per effort unit is a formula (S=1, M=2, L=3).</t>
        </is>
      </c>
    </row>
    <row r="15" customFormat="false" ht="15" hidden="false" customHeight="false" outlineLevel="0" collapsed="false">
      <c r="A15" s="3" t="inlineStr">
        <is>
          <t xml:space="preserve">05_Consistency_Checks</t>
        </is>
      </c>
      <c r="B15" s="4" t="inlineStr">
        <is>
          <t xml:space="preserve">Live checks: category count, sums, no target below current, fragment and residual-High reconciliation.</t>
        </is>
      </c>
    </row>
    <row r="16" customFormat="false" ht="15" hidden="false" customHeight="false" outlineLevel="0" collapsed="false">
      <c r="A16" s="3" t="inlineStr">
        <is>
          <t xml:space="preserve">06_Issue_Checklist</t>
        </is>
      </c>
      <c r="B16" s="4" t="inlineStr">
        <is>
          <t xml:space="preserve">Quality checks performed before issue.</t>
        </is>
      </c>
    </row>
    <row r="18" customFormat="false" ht="15" hidden="false" customHeight="false" outlineLevel="0" collapsed="false">
      <c r="A18" s="5" t="inlineStr">
        <is>
          <t xml:space="preserve">COLOUR LEGEND</t>
        </is>
      </c>
      <c r="B18" s="4"/>
    </row>
    <row r="19" customFormat="false" ht="15" hidden="false" customHeight="false" outlineLevel="0" collapsed="false">
      <c r="A19" s="6" t="inlineStr">
        <is>
          <t xml:space="preserve">Yellow cell</t>
        </is>
      </c>
      <c r="B19" s="4" t="inlineStr">
        <is>
          <t xml:space="preserve">Input — type or choose here</t>
        </is>
      </c>
    </row>
    <row r="20" customFormat="false" ht="15" hidden="false" customHeight="false" outlineLevel="0" collapsed="false">
      <c r="A20" s="7" t="inlineStr">
        <is>
          <t xml:space="preserve">Grey cell</t>
        </is>
      </c>
      <c r="B20" s="4" t="inlineStr">
        <is>
          <t xml:space="preserve">Formula — do not overwrite</t>
        </is>
      </c>
    </row>
    <row r="21" customFormat="false" ht="15" hidden="false" customHeight="false" outlineLevel="0" collapsed="false">
      <c r="A21" s="8" t="inlineStr">
        <is>
          <t xml:space="preserve">Green</t>
        </is>
      </c>
      <c r="B21" s="4" t="inlineStr">
        <is>
          <t xml:space="preserve">Pass / compliant / low</t>
        </is>
      </c>
    </row>
    <row r="22" customFormat="false" ht="15" hidden="false" customHeight="false" outlineLevel="0" collapsed="false">
      <c r="A22" s="9" t="inlineStr">
        <is>
          <t xml:space="preserve">Amber</t>
        </is>
      </c>
      <c r="B22" s="4" t="inlineStr">
        <is>
          <t xml:space="preserve">Partial / condition / medium</t>
        </is>
      </c>
    </row>
    <row r="23" customFormat="false" ht="15" hidden="false" customHeight="false" outlineLevel="0" collapsed="false">
      <c r="A23" s="10" t="inlineStr">
        <is>
          <t xml:space="preserve">Red</t>
        </is>
      </c>
      <c r="B23" s="4" t="inlineStr">
        <is>
          <t xml:space="preserve">Fail / non-compliant / high or critical</t>
        </is>
      </c>
    </row>
    <row r="25" customFormat="false" ht="15" hidden="false" customHeight="false" outlineLevel="0" collapsed="false">
      <c r="A25" s="5" t="inlineStr">
        <is>
          <t xml:space="preserve">PUBLISHING</t>
        </is>
      </c>
      <c r="B25" s="4"/>
    </row>
    <row r="26" customFormat="false" ht="15" hidden="false" customHeight="false" outlineLevel="0" collapsed="false">
      <c r="A26" s="3" t="inlineStr">
        <is>
          <t xml:space="preserve">GitHub</t>
        </is>
      </c>
      <c r="B26" s="4" t="inlineStr">
        <is>
          <t xml:space="preserve">Upload this .xlsx next to its .md file. GitHub cannot preview .xlsx, so the project README links to it as a download.</t>
        </is>
      </c>
    </row>
    <row r="27" customFormat="false" ht="15" hidden="false" customHeight="false" outlineLevel="0" collapsed="false">
      <c r="A27" s="3" t="inlineStr">
        <is>
          <t xml:space="preserve">Notion</t>
        </is>
      </c>
      <c r="B27" s="4" t="inlineStr">
        <is>
          <t xml:space="preserve">Import the matching CSV files from the data/ folder (Settings → Import → CSV) for sortable databases.</t>
        </is>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70"/>
    <col collapsed="false" customWidth="true" hidden="false" outlineLevel="0" max="4" min="4" style="0" width="55"/>
  </cols>
  <sheetData>
    <row r="1" customFormat="false" ht="18.55" hidden="false" customHeight="false" outlineLevel="0" collapsed="false">
      <c r="A1" s="11" t="s">
        <v>41</v>
      </c>
    </row>
    <row r="3" customFormat="false" ht="33.75" hidden="false" customHeight="true" outlineLevel="0" collapsed="false">
      <c r="A3" s="12" t="s">
        <v>42</v>
      </c>
      <c r="B3" s="12" t="s">
        <v>43</v>
      </c>
      <c r="C3" s="12" t="s">
        <v>44</v>
      </c>
      <c r="D3" s="12" t="s">
        <v>45</v>
      </c>
    </row>
    <row r="4" customFormat="false" ht="23.85" hidden="false" customHeight="false" outlineLevel="0" collapsed="false">
      <c r="A4" s="13" t="s">
        <v>46</v>
      </c>
      <c r="B4" s="13" t="s">
        <v>47</v>
      </c>
      <c r="C4" s="13" t="s">
        <v>48</v>
      </c>
      <c r="D4" s="13" t="s">
        <v>49</v>
      </c>
    </row>
    <row r="5" customFormat="false" ht="35.05" hidden="false" customHeight="false" outlineLevel="0" collapsed="false">
      <c r="A5" s="13" t="s">
        <v>50</v>
      </c>
      <c r="B5" s="13" t="s">
        <v>51</v>
      </c>
      <c r="C5" s="13" t="s">
        <v>52</v>
      </c>
      <c r="D5" s="13" t="s">
        <v>53</v>
      </c>
    </row>
    <row r="6" customFormat="false" ht="46.25" hidden="false" customHeight="false" outlineLevel="0" collapsed="false">
      <c r="A6" s="13" t="s">
        <v>54</v>
      </c>
      <c r="B6" s="13" t="s">
        <v>55</v>
      </c>
      <c r="C6" s="13" t="s">
        <v>56</v>
      </c>
      <c r="D6" s="13" t="s">
        <v>57</v>
      </c>
    </row>
    <row r="7" customFormat="false" ht="46.25" hidden="false" customHeight="false" outlineLevel="0" collapsed="false">
      <c r="A7" s="13" t="s">
        <v>58</v>
      </c>
      <c r="B7" s="13" t="s">
        <v>59</v>
      </c>
      <c r="C7" s="13" t="s">
        <v>60</v>
      </c>
      <c r="D7" s="13" t="s">
        <v>61</v>
      </c>
    </row>
    <row r="8" customFormat="false" ht="35.05" hidden="false" customHeight="false" outlineLevel="0" collapsed="false">
      <c r="A8" s="13" t="s">
        <v>62</v>
      </c>
      <c r="B8" s="13" t="s">
        <v>63</v>
      </c>
      <c r="C8" s="13" t="s">
        <v>64</v>
      </c>
      <c r="D8" s="13" t="s">
        <v>65</v>
      </c>
    </row>
    <row r="10" customFormat="false" ht="15" hidden="false" customHeight="false" outlineLevel="0" collapsed="false">
      <c r="A10" s="14" t="s">
        <v>66</v>
      </c>
    </row>
    <row r="11" customFormat="false" ht="15" hidden="false" customHeight="true" outlineLevel="0" collapsed="false">
      <c r="A11" s="13" t="n">
        <v>1</v>
      </c>
      <c r="B11" s="13" t="s">
        <v>67</v>
      </c>
      <c r="C11" s="13"/>
      <c r="D11" s="13"/>
    </row>
    <row r="12" customFormat="false" ht="15" hidden="false" customHeight="true" outlineLevel="0" collapsed="false">
      <c r="A12" s="13" t="n">
        <v>2</v>
      </c>
      <c r="B12" s="13" t="s">
        <v>68</v>
      </c>
      <c r="C12" s="13"/>
      <c r="D12" s="13"/>
    </row>
    <row r="13" customFormat="false" ht="15" hidden="false" customHeight="true" outlineLevel="0" collapsed="false">
      <c r="A13" s="13" t="n">
        <v>3</v>
      </c>
      <c r="B13" s="13" t="s">
        <v>69</v>
      </c>
      <c r="C13" s="13"/>
      <c r="D13" s="13"/>
    </row>
    <row r="14" customFormat="false" ht="15" hidden="false" customHeight="true" outlineLevel="0" collapsed="false">
      <c r="A14" s="13" t="n">
        <v>4</v>
      </c>
      <c r="B14" s="13" t="s">
        <v>70</v>
      </c>
      <c r="C14" s="13"/>
      <c r="D14" s="13"/>
    </row>
    <row r="17" customFormat="false" ht="33.75" hidden="false" customHeight="true" outlineLevel="0" collapsed="false">
      <c r="A17" s="12" t="s">
        <v>71</v>
      </c>
      <c r="B17" s="12" t="s">
        <v>72</v>
      </c>
      <c r="C17" s="12" t="s">
        <v>73</v>
      </c>
    </row>
    <row r="18" customFormat="false" ht="57.45" hidden="false" customHeight="false" outlineLevel="0" collapsed="false">
      <c r="A18" s="13" t="s">
        <v>58</v>
      </c>
      <c r="B18" s="13" t="s">
        <v>74</v>
      </c>
      <c r="C18" s="13" t="s">
        <v>75</v>
      </c>
    </row>
    <row r="19" customFormat="false" ht="35.05" hidden="false" customHeight="false" outlineLevel="0" collapsed="false">
      <c r="A19" s="13" t="s">
        <v>54</v>
      </c>
      <c r="B19" s="13" t="s">
        <v>76</v>
      </c>
      <c r="C19" s="13" t="s">
        <v>77</v>
      </c>
    </row>
    <row r="20" customFormat="false" ht="23.85" hidden="false" customHeight="false" outlineLevel="0" collapsed="false">
      <c r="A20" s="13" t="s">
        <v>62</v>
      </c>
      <c r="B20" s="13" t="s">
        <v>78</v>
      </c>
      <c r="C20" s="13" t="s">
        <v>79</v>
      </c>
    </row>
  </sheetData>
  <mergeCells count="4">
    <mergeCell ref="B11:D11"/>
    <mergeCell ref="B12:D12"/>
    <mergeCell ref="B13:D13"/>
    <mergeCell ref="B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30"/>
    <col collapsed="false" customWidth="true" hidden="false" outlineLevel="0" max="4" min="4" style="0" width="40"/>
    <col collapsed="false" customWidth="true" hidden="false" outlineLevel="0" max="5" min="5" style="0" width="80"/>
    <col collapsed="false" customWidth="true" hidden="false" outlineLevel="0" max="6" min="6" style="0" width="45"/>
    <col collapsed="false" customWidth="true" hidden="false" outlineLevel="0" max="8" min="7" style="0" width="10"/>
    <col collapsed="false" customWidth="true" hidden="false" outlineLevel="0" max="9" min="9" style="0" width="8"/>
    <col collapsed="false" customWidth="true" hidden="false" outlineLevel="0" max="10" min="10" style="0" width="18"/>
    <col collapsed="false" customWidth="true" hidden="false" outlineLevel="0" max="11" min="11" style="0" width="50"/>
    <col collapsed="false" customWidth="true" hidden="false" outlineLevel="0" max="12" min="12" style="0" width="10"/>
    <col collapsed="false" customWidth="true" hidden="false" outlineLevel="0" max="13" min="13" style="0" width="60"/>
    <col collapsed="false" customWidth="true" hidden="false" outlineLevel="0" max="14" min="14" style="0" width="9"/>
    <col collapsed="false" customWidth="true" hidden="false" outlineLevel="0" max="15" min="15" style="0" width="26"/>
    <col collapsed="false" customWidth="true" hidden="false" outlineLevel="0" max="16" min="16" style="0" width="50"/>
  </cols>
  <sheetData>
    <row r="1" customFormat="false" ht="33.75" hidden="false" customHeight="true" outlineLevel="0" collapsed="false">
      <c r="A1" s="12" t="s">
        <v>80</v>
      </c>
      <c r="B1" s="12" t="s">
        <v>81</v>
      </c>
      <c r="C1" s="12" t="s">
        <v>82</v>
      </c>
      <c r="D1" s="12" t="s">
        <v>83</v>
      </c>
      <c r="E1" s="12" t="s">
        <v>84</v>
      </c>
      <c r="F1" s="12" t="s">
        <v>85</v>
      </c>
      <c r="G1" s="12" t="s">
        <v>86</v>
      </c>
      <c r="H1" s="12" t="s">
        <v>87</v>
      </c>
      <c r="I1" s="12" t="s">
        <v>88</v>
      </c>
      <c r="J1" s="12" t="s">
        <v>89</v>
      </c>
      <c r="K1" s="12" t="s">
        <v>90</v>
      </c>
      <c r="L1" s="12" t="s">
        <v>91</v>
      </c>
      <c r="M1" s="12" t="s">
        <v>92</v>
      </c>
      <c r="N1" s="12" t="s">
        <v>93</v>
      </c>
      <c r="O1" s="12" t="s">
        <v>94</v>
      </c>
      <c r="P1" s="12" t="s">
        <v>95</v>
      </c>
    </row>
    <row r="2" customFormat="false" ht="150" hidden="false" customHeight="true" outlineLevel="0" collapsed="false">
      <c r="A2" s="13" t="s">
        <v>96</v>
      </c>
      <c r="B2" s="13" t="s">
        <v>97</v>
      </c>
      <c r="C2" s="13" t="s">
        <v>98</v>
      </c>
      <c r="D2" s="13" t="s">
        <v>99</v>
      </c>
      <c r="E2" s="13" t="s">
        <v>100</v>
      </c>
      <c r="F2" s="13" t="s">
        <v>101</v>
      </c>
      <c r="G2" s="15" t="n">
        <v>1</v>
      </c>
      <c r="H2" s="15" t="n">
        <v>2</v>
      </c>
      <c r="I2" s="16" t="n">
        <f aca="false">H2-G2</f>
        <v>1</v>
      </c>
      <c r="J2" s="13" t="s">
        <v>102</v>
      </c>
      <c r="K2" s="13" t="s">
        <v>103</v>
      </c>
      <c r="L2" s="15" t="s">
        <v>104</v>
      </c>
      <c r="M2" s="13" t="s">
        <v>105</v>
      </c>
      <c r="N2" s="15" t="s">
        <v>106</v>
      </c>
      <c r="O2" s="13" t="s">
        <v>107</v>
      </c>
      <c r="P2" s="13" t="s">
        <v>108</v>
      </c>
    </row>
    <row r="3" customFormat="false" ht="150" hidden="false" customHeight="true" outlineLevel="0" collapsed="false">
      <c r="A3" s="13" t="s">
        <v>109</v>
      </c>
      <c r="B3" s="13" t="s">
        <v>97</v>
      </c>
      <c r="C3" s="13" t="s">
        <v>110</v>
      </c>
      <c r="D3" s="13" t="s">
        <v>111</v>
      </c>
      <c r="E3" s="13" t="s">
        <v>112</v>
      </c>
      <c r="F3" s="13" t="s">
        <v>113</v>
      </c>
      <c r="G3" s="15" t="n">
        <v>2</v>
      </c>
      <c r="H3" s="15" t="n">
        <v>3</v>
      </c>
      <c r="I3" s="16" t="n">
        <f aca="false">H3-G3</f>
        <v>1</v>
      </c>
      <c r="J3" s="13" t="s">
        <v>114</v>
      </c>
      <c r="K3" s="13" t="s">
        <v>115</v>
      </c>
      <c r="L3" s="15" t="s">
        <v>116</v>
      </c>
      <c r="M3" s="13" t="s">
        <v>117</v>
      </c>
      <c r="N3" s="15" t="s">
        <v>106</v>
      </c>
      <c r="O3" s="13" t="s">
        <v>107</v>
      </c>
      <c r="P3" s="13" t="s">
        <v>118</v>
      </c>
    </row>
    <row r="4" customFormat="false" ht="150" hidden="false" customHeight="true" outlineLevel="0" collapsed="false">
      <c r="A4" s="13" t="s">
        <v>119</v>
      </c>
      <c r="B4" s="13" t="s">
        <v>97</v>
      </c>
      <c r="C4" s="13" t="s">
        <v>120</v>
      </c>
      <c r="D4" s="13" t="s">
        <v>121</v>
      </c>
      <c r="E4" s="13" t="s">
        <v>122</v>
      </c>
      <c r="F4" s="13" t="s">
        <v>123</v>
      </c>
      <c r="G4" s="15" t="n">
        <v>2</v>
      </c>
      <c r="H4" s="15" t="n">
        <v>3</v>
      </c>
      <c r="I4" s="16" t="n">
        <f aca="false">H4-G4</f>
        <v>1</v>
      </c>
      <c r="J4" s="13" t="s">
        <v>124</v>
      </c>
      <c r="K4" s="13" t="s">
        <v>125</v>
      </c>
      <c r="L4" s="15" t="s">
        <v>104</v>
      </c>
      <c r="M4" s="13" t="s">
        <v>126</v>
      </c>
      <c r="N4" s="15" t="s">
        <v>106</v>
      </c>
      <c r="O4" s="13" t="s">
        <v>107</v>
      </c>
      <c r="P4" s="13" t="s">
        <v>127</v>
      </c>
    </row>
    <row r="5" customFormat="false" ht="150" hidden="false" customHeight="true" outlineLevel="0" collapsed="false">
      <c r="A5" s="13" t="s">
        <v>128</v>
      </c>
      <c r="B5" s="13" t="s">
        <v>97</v>
      </c>
      <c r="C5" s="13" t="s">
        <v>129</v>
      </c>
      <c r="D5" s="13" t="s">
        <v>130</v>
      </c>
      <c r="E5" s="13" t="s">
        <v>131</v>
      </c>
      <c r="F5" s="13" t="s">
        <v>132</v>
      </c>
      <c r="G5" s="15" t="n">
        <v>2</v>
      </c>
      <c r="H5" s="15" t="n">
        <v>3</v>
      </c>
      <c r="I5" s="16" t="n">
        <f aca="false">H5-G5</f>
        <v>1</v>
      </c>
      <c r="J5" s="13" t="s">
        <v>133</v>
      </c>
      <c r="K5" s="13" t="s">
        <v>134</v>
      </c>
      <c r="L5" s="15" t="s">
        <v>116</v>
      </c>
      <c r="M5" s="13" t="s">
        <v>135</v>
      </c>
      <c r="N5" s="15" t="s">
        <v>106</v>
      </c>
      <c r="O5" s="13" t="s">
        <v>136</v>
      </c>
      <c r="P5" s="13" t="s">
        <v>137</v>
      </c>
    </row>
    <row r="6" customFormat="false" ht="150" hidden="false" customHeight="true" outlineLevel="0" collapsed="false">
      <c r="A6" s="13" t="s">
        <v>138</v>
      </c>
      <c r="B6" s="13" t="s">
        <v>97</v>
      </c>
      <c r="C6" s="13" t="s">
        <v>139</v>
      </c>
      <c r="D6" s="13" t="s">
        <v>140</v>
      </c>
      <c r="E6" s="13" t="s">
        <v>141</v>
      </c>
      <c r="F6" s="13" t="s">
        <v>142</v>
      </c>
      <c r="G6" s="15" t="n">
        <v>1</v>
      </c>
      <c r="H6" s="15" t="n">
        <v>3</v>
      </c>
      <c r="I6" s="16" t="n">
        <f aca="false">H6-G6</f>
        <v>2</v>
      </c>
      <c r="J6" s="13" t="s">
        <v>114</v>
      </c>
      <c r="K6" s="13" t="s">
        <v>143</v>
      </c>
      <c r="L6" s="15" t="s">
        <v>104</v>
      </c>
      <c r="M6" s="13" t="s">
        <v>144</v>
      </c>
      <c r="N6" s="15" t="s">
        <v>106</v>
      </c>
      <c r="O6" s="13" t="s">
        <v>107</v>
      </c>
      <c r="P6" s="13" t="s">
        <v>145</v>
      </c>
    </row>
    <row r="7" customFormat="false" ht="150" hidden="false" customHeight="true" outlineLevel="0" collapsed="false">
      <c r="A7" s="13" t="s">
        <v>146</v>
      </c>
      <c r="B7" s="13" t="s">
        <v>97</v>
      </c>
      <c r="C7" s="13" t="s">
        <v>147</v>
      </c>
      <c r="D7" s="13" t="s">
        <v>148</v>
      </c>
      <c r="E7" s="13" t="s">
        <v>149</v>
      </c>
      <c r="F7" s="13" t="s">
        <v>150</v>
      </c>
      <c r="G7" s="15" t="n">
        <v>0</v>
      </c>
      <c r="H7" s="15" t="n">
        <v>2</v>
      </c>
      <c r="I7" s="16" t="n">
        <f aca="false">H7-G7</f>
        <v>2</v>
      </c>
      <c r="J7" s="13" t="s">
        <v>102</v>
      </c>
      <c r="K7" s="13" t="s">
        <v>151</v>
      </c>
      <c r="L7" s="15" t="s">
        <v>116</v>
      </c>
      <c r="M7" s="13" t="s">
        <v>152</v>
      </c>
      <c r="N7" s="15" t="s">
        <v>153</v>
      </c>
      <c r="O7" s="13" t="s">
        <v>136</v>
      </c>
      <c r="P7" s="13" t="s">
        <v>154</v>
      </c>
    </row>
    <row r="8" customFormat="false" ht="150" hidden="false" customHeight="true" outlineLevel="0" collapsed="false">
      <c r="A8" s="13" t="s">
        <v>155</v>
      </c>
      <c r="B8" s="13" t="s">
        <v>156</v>
      </c>
      <c r="C8" s="13" t="s">
        <v>157</v>
      </c>
      <c r="D8" s="13" t="s">
        <v>158</v>
      </c>
      <c r="E8" s="13" t="s">
        <v>159</v>
      </c>
      <c r="F8" s="13" t="s">
        <v>160</v>
      </c>
      <c r="G8" s="15" t="n">
        <v>1</v>
      </c>
      <c r="H8" s="15" t="n">
        <v>3</v>
      </c>
      <c r="I8" s="16" t="n">
        <f aca="false">H8-G8</f>
        <v>2</v>
      </c>
      <c r="J8" s="13" t="s">
        <v>161</v>
      </c>
      <c r="K8" s="13" t="s">
        <v>162</v>
      </c>
      <c r="L8" s="15" t="s">
        <v>116</v>
      </c>
      <c r="M8" s="13" t="s">
        <v>163</v>
      </c>
      <c r="N8" s="15" t="s">
        <v>153</v>
      </c>
      <c r="O8" s="13" t="s">
        <v>164</v>
      </c>
      <c r="P8" s="13" t="s">
        <v>165</v>
      </c>
    </row>
    <row r="9" customFormat="false" ht="150" hidden="false" customHeight="true" outlineLevel="0" collapsed="false">
      <c r="A9" s="13" t="s">
        <v>166</v>
      </c>
      <c r="B9" s="13" t="s">
        <v>156</v>
      </c>
      <c r="C9" s="13" t="s">
        <v>167</v>
      </c>
      <c r="D9" s="13" t="s">
        <v>168</v>
      </c>
      <c r="E9" s="13" t="s">
        <v>169</v>
      </c>
      <c r="F9" s="13" t="s">
        <v>170</v>
      </c>
      <c r="G9" s="15" t="n">
        <v>3</v>
      </c>
      <c r="H9" s="15" t="n">
        <v>3</v>
      </c>
      <c r="I9" s="16" t="n">
        <f aca="false">H9-G9</f>
        <v>0</v>
      </c>
      <c r="J9" s="13" t="s">
        <v>171</v>
      </c>
      <c r="K9" s="13" t="s">
        <v>172</v>
      </c>
      <c r="L9" s="15" t="s">
        <v>104</v>
      </c>
      <c r="M9" s="13" t="s">
        <v>173</v>
      </c>
      <c r="N9" s="15" t="s">
        <v>106</v>
      </c>
      <c r="O9" s="13" t="s">
        <v>136</v>
      </c>
      <c r="P9" s="13" t="s">
        <v>174</v>
      </c>
    </row>
    <row r="10" customFormat="false" ht="150" hidden="false" customHeight="true" outlineLevel="0" collapsed="false">
      <c r="A10" s="13" t="s">
        <v>175</v>
      </c>
      <c r="B10" s="13" t="s">
        <v>156</v>
      </c>
      <c r="C10" s="13" t="s">
        <v>176</v>
      </c>
      <c r="D10" s="13" t="s">
        <v>177</v>
      </c>
      <c r="E10" s="13" t="s">
        <v>178</v>
      </c>
      <c r="F10" s="13" t="s">
        <v>179</v>
      </c>
      <c r="G10" s="15" t="n">
        <v>1</v>
      </c>
      <c r="H10" s="15" t="n">
        <v>2</v>
      </c>
      <c r="I10" s="16" t="n">
        <f aca="false">H10-G10</f>
        <v>1</v>
      </c>
      <c r="J10" s="13" t="s">
        <v>180</v>
      </c>
      <c r="K10" s="13" t="s">
        <v>181</v>
      </c>
      <c r="L10" s="15" t="s">
        <v>182</v>
      </c>
      <c r="M10" s="13" t="s">
        <v>183</v>
      </c>
      <c r="N10" s="15" t="s">
        <v>106</v>
      </c>
      <c r="O10" s="13" t="s">
        <v>136</v>
      </c>
      <c r="P10" s="13" t="s">
        <v>184</v>
      </c>
    </row>
    <row r="11" customFormat="false" ht="150" hidden="false" customHeight="true" outlineLevel="0" collapsed="false">
      <c r="A11" s="13" t="s">
        <v>185</v>
      </c>
      <c r="B11" s="13" t="s">
        <v>186</v>
      </c>
      <c r="C11" s="13" t="s">
        <v>187</v>
      </c>
      <c r="D11" s="13" t="s">
        <v>188</v>
      </c>
      <c r="E11" s="13" t="s">
        <v>189</v>
      </c>
      <c r="F11" s="13" t="s">
        <v>190</v>
      </c>
      <c r="G11" s="15" t="n">
        <v>2</v>
      </c>
      <c r="H11" s="15" t="n">
        <v>3</v>
      </c>
      <c r="I11" s="16" t="n">
        <f aca="false">H11-G11</f>
        <v>1</v>
      </c>
      <c r="J11" s="13" t="s">
        <v>191</v>
      </c>
      <c r="K11" s="13" t="s">
        <v>192</v>
      </c>
      <c r="L11" s="15" t="s">
        <v>116</v>
      </c>
      <c r="M11" s="13" t="s">
        <v>193</v>
      </c>
      <c r="N11" s="15" t="s">
        <v>106</v>
      </c>
      <c r="O11" s="13" t="s">
        <v>164</v>
      </c>
      <c r="P11" s="13" t="s">
        <v>194</v>
      </c>
    </row>
    <row r="12" customFormat="false" ht="150" hidden="false" customHeight="true" outlineLevel="0" collapsed="false">
      <c r="A12" s="13" t="s">
        <v>195</v>
      </c>
      <c r="B12" s="13" t="s">
        <v>186</v>
      </c>
      <c r="C12" s="13" t="s">
        <v>196</v>
      </c>
      <c r="D12" s="13" t="s">
        <v>197</v>
      </c>
      <c r="E12" s="13" t="s">
        <v>198</v>
      </c>
      <c r="F12" s="13" t="s">
        <v>199</v>
      </c>
      <c r="G12" s="15" t="n">
        <v>1</v>
      </c>
      <c r="H12" s="15" t="n">
        <v>3</v>
      </c>
      <c r="I12" s="16" t="n">
        <f aca="false">H12-G12</f>
        <v>2</v>
      </c>
      <c r="J12" s="13" t="s">
        <v>200</v>
      </c>
      <c r="K12" s="13" t="s">
        <v>201</v>
      </c>
      <c r="L12" s="15" t="s">
        <v>116</v>
      </c>
      <c r="M12" s="13" t="s">
        <v>202</v>
      </c>
      <c r="N12" s="15" t="s">
        <v>153</v>
      </c>
      <c r="O12" s="13" t="s">
        <v>203</v>
      </c>
      <c r="P12" s="13" t="s">
        <v>204</v>
      </c>
    </row>
    <row r="13" customFormat="false" ht="150" hidden="false" customHeight="true" outlineLevel="0" collapsed="false">
      <c r="A13" s="13" t="s">
        <v>205</v>
      </c>
      <c r="B13" s="13" t="s">
        <v>186</v>
      </c>
      <c r="C13" s="13" t="s">
        <v>206</v>
      </c>
      <c r="D13" s="13" t="s">
        <v>207</v>
      </c>
      <c r="E13" s="13" t="s">
        <v>208</v>
      </c>
      <c r="F13" s="13" t="s">
        <v>209</v>
      </c>
      <c r="G13" s="15" t="n">
        <v>2</v>
      </c>
      <c r="H13" s="15" t="n">
        <v>3</v>
      </c>
      <c r="I13" s="16" t="n">
        <f aca="false">H13-G13</f>
        <v>1</v>
      </c>
      <c r="J13" s="13" t="s">
        <v>161</v>
      </c>
      <c r="K13" s="13" t="s">
        <v>210</v>
      </c>
      <c r="L13" s="15" t="s">
        <v>116</v>
      </c>
      <c r="M13" s="13" t="s">
        <v>211</v>
      </c>
      <c r="N13" s="15" t="s">
        <v>153</v>
      </c>
      <c r="O13" s="13" t="s">
        <v>136</v>
      </c>
      <c r="P13" s="13" t="s">
        <v>212</v>
      </c>
    </row>
    <row r="14" customFormat="false" ht="150" hidden="false" customHeight="true" outlineLevel="0" collapsed="false">
      <c r="A14" s="13" t="s">
        <v>213</v>
      </c>
      <c r="B14" s="13" t="s">
        <v>186</v>
      </c>
      <c r="C14" s="13" t="s">
        <v>214</v>
      </c>
      <c r="D14" s="13" t="s">
        <v>215</v>
      </c>
      <c r="E14" s="13" t="s">
        <v>216</v>
      </c>
      <c r="F14" s="13" t="s">
        <v>217</v>
      </c>
      <c r="G14" s="15" t="n">
        <v>0</v>
      </c>
      <c r="H14" s="15" t="n">
        <v>3</v>
      </c>
      <c r="I14" s="16" t="n">
        <f aca="false">H14-G14</f>
        <v>3</v>
      </c>
      <c r="J14" s="13" t="s">
        <v>218</v>
      </c>
      <c r="K14" s="13" t="s">
        <v>219</v>
      </c>
      <c r="L14" s="15" t="s">
        <v>116</v>
      </c>
      <c r="M14" s="13" t="s">
        <v>220</v>
      </c>
      <c r="N14" s="15" t="s">
        <v>153</v>
      </c>
      <c r="O14" s="13" t="s">
        <v>136</v>
      </c>
      <c r="P14" s="13" t="s">
        <v>221</v>
      </c>
    </row>
    <row r="15" customFormat="false" ht="150" hidden="false" customHeight="true" outlineLevel="0" collapsed="false">
      <c r="A15" s="13" t="s">
        <v>222</v>
      </c>
      <c r="B15" s="13" t="s">
        <v>186</v>
      </c>
      <c r="C15" s="13" t="s">
        <v>223</v>
      </c>
      <c r="D15" s="13" t="s">
        <v>224</v>
      </c>
      <c r="E15" s="13" t="s">
        <v>225</v>
      </c>
      <c r="F15" s="13" t="s">
        <v>226</v>
      </c>
      <c r="G15" s="15" t="n">
        <v>0</v>
      </c>
      <c r="H15" s="15" t="n">
        <v>3</v>
      </c>
      <c r="I15" s="16" t="n">
        <f aca="false">H15-G15</f>
        <v>3</v>
      </c>
      <c r="J15" s="13" t="s">
        <v>227</v>
      </c>
      <c r="K15" s="13" t="s">
        <v>228</v>
      </c>
      <c r="L15" s="15" t="s">
        <v>116</v>
      </c>
      <c r="M15" s="13" t="s">
        <v>229</v>
      </c>
      <c r="N15" s="15" t="s">
        <v>153</v>
      </c>
      <c r="O15" s="13" t="s">
        <v>164</v>
      </c>
      <c r="P15" s="13" t="s">
        <v>230</v>
      </c>
    </row>
    <row r="16" customFormat="false" ht="150" hidden="false" customHeight="true" outlineLevel="0" collapsed="false">
      <c r="A16" s="13" t="s">
        <v>231</v>
      </c>
      <c r="B16" s="13" t="s">
        <v>232</v>
      </c>
      <c r="C16" s="13" t="s">
        <v>233</v>
      </c>
      <c r="D16" s="13" t="s">
        <v>234</v>
      </c>
      <c r="E16" s="13" t="s">
        <v>235</v>
      </c>
      <c r="F16" s="13" t="s">
        <v>236</v>
      </c>
      <c r="G16" s="15" t="n">
        <v>1</v>
      </c>
      <c r="H16" s="15" t="n">
        <v>3</v>
      </c>
      <c r="I16" s="16" t="n">
        <f aca="false">H16-G16</f>
        <v>2</v>
      </c>
      <c r="J16" s="13" t="s">
        <v>161</v>
      </c>
      <c r="K16" s="13" t="s">
        <v>237</v>
      </c>
      <c r="L16" s="15" t="s">
        <v>116</v>
      </c>
      <c r="M16" s="13" t="s">
        <v>238</v>
      </c>
      <c r="N16" s="15" t="s">
        <v>153</v>
      </c>
      <c r="O16" s="13" t="s">
        <v>164</v>
      </c>
      <c r="P16" s="13" t="s">
        <v>239</v>
      </c>
    </row>
    <row r="17" customFormat="false" ht="150" hidden="false" customHeight="true" outlineLevel="0" collapsed="false">
      <c r="A17" s="13" t="s">
        <v>240</v>
      </c>
      <c r="B17" s="13" t="s">
        <v>232</v>
      </c>
      <c r="C17" s="13" t="s">
        <v>241</v>
      </c>
      <c r="D17" s="13" t="s">
        <v>242</v>
      </c>
      <c r="E17" s="13" t="s">
        <v>243</v>
      </c>
      <c r="F17" s="13" t="s">
        <v>244</v>
      </c>
      <c r="G17" s="15" t="n">
        <v>1</v>
      </c>
      <c r="H17" s="15" t="n">
        <v>2</v>
      </c>
      <c r="I17" s="16" t="n">
        <f aca="false">H17-G17</f>
        <v>1</v>
      </c>
      <c r="J17" s="13" t="s">
        <v>191</v>
      </c>
      <c r="K17" s="13" t="s">
        <v>245</v>
      </c>
      <c r="L17" s="15" t="s">
        <v>104</v>
      </c>
      <c r="M17" s="13" t="s">
        <v>246</v>
      </c>
      <c r="N17" s="15" t="s">
        <v>106</v>
      </c>
      <c r="O17" s="13" t="s">
        <v>164</v>
      </c>
      <c r="P17" s="13" t="s">
        <v>247</v>
      </c>
    </row>
    <row r="18" customFormat="false" ht="150" hidden="false" customHeight="true" outlineLevel="0" collapsed="false">
      <c r="A18" s="13" t="s">
        <v>248</v>
      </c>
      <c r="B18" s="13" t="s">
        <v>249</v>
      </c>
      <c r="C18" s="13" t="s">
        <v>250</v>
      </c>
      <c r="D18" s="13" t="s">
        <v>251</v>
      </c>
      <c r="E18" s="13" t="s">
        <v>252</v>
      </c>
      <c r="F18" s="13" t="s">
        <v>253</v>
      </c>
      <c r="G18" s="15" t="n">
        <v>2</v>
      </c>
      <c r="H18" s="15" t="n">
        <v>3</v>
      </c>
      <c r="I18" s="16" t="n">
        <f aca="false">H18-G18</f>
        <v>1</v>
      </c>
      <c r="J18" s="13" t="s">
        <v>227</v>
      </c>
      <c r="K18" s="13" t="s">
        <v>254</v>
      </c>
      <c r="L18" s="15" t="s">
        <v>116</v>
      </c>
      <c r="M18" s="13" t="s">
        <v>255</v>
      </c>
      <c r="N18" s="15" t="s">
        <v>106</v>
      </c>
      <c r="O18" s="13" t="s">
        <v>136</v>
      </c>
      <c r="P18" s="13" t="s">
        <v>256</v>
      </c>
    </row>
    <row r="19" customFormat="false" ht="150" hidden="false" customHeight="true" outlineLevel="0" collapsed="false">
      <c r="A19" s="13" t="s">
        <v>257</v>
      </c>
      <c r="B19" s="13" t="s">
        <v>249</v>
      </c>
      <c r="C19" s="13" t="s">
        <v>258</v>
      </c>
      <c r="D19" s="13" t="s">
        <v>259</v>
      </c>
      <c r="E19" s="13" t="s">
        <v>260</v>
      </c>
      <c r="F19" s="13" t="s">
        <v>261</v>
      </c>
      <c r="G19" s="15" t="n">
        <v>1</v>
      </c>
      <c r="H19" s="15" t="n">
        <v>2</v>
      </c>
      <c r="I19" s="16" t="n">
        <f aca="false">H19-G19</f>
        <v>1</v>
      </c>
      <c r="J19" s="13" t="s">
        <v>262</v>
      </c>
      <c r="K19" s="13" t="s">
        <v>263</v>
      </c>
      <c r="L19" s="15" t="s">
        <v>104</v>
      </c>
      <c r="M19" s="13" t="s">
        <v>264</v>
      </c>
      <c r="N19" s="15" t="s">
        <v>106</v>
      </c>
      <c r="O19" s="13" t="s">
        <v>164</v>
      </c>
      <c r="P19" s="13" t="s">
        <v>265</v>
      </c>
    </row>
    <row r="20" customFormat="false" ht="150" hidden="false" customHeight="true" outlineLevel="0" collapsed="false">
      <c r="A20" s="13" t="s">
        <v>266</v>
      </c>
      <c r="B20" s="13" t="s">
        <v>249</v>
      </c>
      <c r="C20" s="13" t="s">
        <v>267</v>
      </c>
      <c r="D20" s="13" t="s">
        <v>268</v>
      </c>
      <c r="E20" s="13" t="s">
        <v>269</v>
      </c>
      <c r="F20" s="13" t="s">
        <v>270</v>
      </c>
      <c r="G20" s="15" t="n">
        <v>2</v>
      </c>
      <c r="H20" s="15" t="n">
        <v>3</v>
      </c>
      <c r="I20" s="16" t="n">
        <f aca="false">H20-G20</f>
        <v>1</v>
      </c>
      <c r="J20" s="13" t="s">
        <v>271</v>
      </c>
      <c r="K20" s="13" t="s">
        <v>272</v>
      </c>
      <c r="L20" s="15" t="s">
        <v>116</v>
      </c>
      <c r="M20" s="13" t="s">
        <v>273</v>
      </c>
      <c r="N20" s="15" t="s">
        <v>106</v>
      </c>
      <c r="O20" s="13" t="s">
        <v>274</v>
      </c>
      <c r="P20" s="13" t="s">
        <v>275</v>
      </c>
    </row>
    <row r="21" customFormat="false" ht="150" hidden="false" customHeight="true" outlineLevel="0" collapsed="false">
      <c r="A21" s="13" t="s">
        <v>276</v>
      </c>
      <c r="B21" s="13" t="s">
        <v>249</v>
      </c>
      <c r="C21" s="13" t="s">
        <v>277</v>
      </c>
      <c r="D21" s="13" t="s">
        <v>278</v>
      </c>
      <c r="E21" s="13" t="s">
        <v>279</v>
      </c>
      <c r="F21" s="13" t="s">
        <v>280</v>
      </c>
      <c r="G21" s="15" t="n">
        <v>1</v>
      </c>
      <c r="H21" s="15" t="n">
        <v>2</v>
      </c>
      <c r="I21" s="16" t="n">
        <f aca="false">H21-G21</f>
        <v>1</v>
      </c>
      <c r="J21" s="13" t="s">
        <v>133</v>
      </c>
      <c r="K21" s="13" t="s">
        <v>281</v>
      </c>
      <c r="L21" s="15" t="s">
        <v>104</v>
      </c>
      <c r="M21" s="13" t="s">
        <v>282</v>
      </c>
      <c r="N21" s="15" t="s">
        <v>106</v>
      </c>
      <c r="O21" s="13" t="s">
        <v>164</v>
      </c>
      <c r="P21" s="13" t="s">
        <v>283</v>
      </c>
    </row>
    <row r="22" customFormat="false" ht="150" hidden="false" customHeight="true" outlineLevel="0" collapsed="false">
      <c r="A22" s="13" t="s">
        <v>284</v>
      </c>
      <c r="B22" s="13" t="s">
        <v>285</v>
      </c>
      <c r="C22" s="13" t="s">
        <v>286</v>
      </c>
      <c r="D22" s="13" t="s">
        <v>287</v>
      </c>
      <c r="E22" s="13" t="s">
        <v>288</v>
      </c>
      <c r="F22" s="13" t="s">
        <v>289</v>
      </c>
      <c r="G22" s="15" t="n">
        <v>1</v>
      </c>
      <c r="H22" s="15" t="n">
        <v>3</v>
      </c>
      <c r="I22" s="16" t="n">
        <f aca="false">H22-G22</f>
        <v>2</v>
      </c>
      <c r="J22" s="13" t="s">
        <v>180</v>
      </c>
      <c r="K22" s="13" t="s">
        <v>290</v>
      </c>
      <c r="L22" s="15" t="s">
        <v>116</v>
      </c>
      <c r="M22" s="13" t="s">
        <v>291</v>
      </c>
      <c r="N22" s="15" t="s">
        <v>106</v>
      </c>
      <c r="O22" s="13" t="s">
        <v>164</v>
      </c>
      <c r="P22" s="13" t="s">
        <v>292</v>
      </c>
    </row>
    <row r="23" customFormat="false" ht="150" hidden="false" customHeight="true" outlineLevel="0" collapsed="false">
      <c r="A23" s="13" t="s">
        <v>293</v>
      </c>
      <c r="B23" s="13" t="s">
        <v>285</v>
      </c>
      <c r="C23" s="13" t="s">
        <v>294</v>
      </c>
      <c r="D23" s="13" t="s">
        <v>295</v>
      </c>
      <c r="E23" s="13" t="s">
        <v>296</v>
      </c>
      <c r="F23" s="13" t="s">
        <v>297</v>
      </c>
      <c r="G23" s="15" t="n">
        <v>0</v>
      </c>
      <c r="H23" s="15" t="n">
        <v>2</v>
      </c>
      <c r="I23" s="16" t="n">
        <f aca="false">H23-G23</f>
        <v>2</v>
      </c>
      <c r="J23" s="13" t="s">
        <v>227</v>
      </c>
      <c r="K23" s="13" t="s">
        <v>298</v>
      </c>
      <c r="L23" s="15" t="s">
        <v>104</v>
      </c>
      <c r="M23" s="13" t="s">
        <v>299</v>
      </c>
      <c r="N23" s="15" t="s">
        <v>106</v>
      </c>
      <c r="O23" s="13" t="s">
        <v>274</v>
      </c>
      <c r="P23" s="13" t="s">
        <v>300</v>
      </c>
    </row>
  </sheetData>
  <autoFilter ref="A1:P23"/>
  <conditionalFormatting sqref="G2:G23">
    <cfRule type="colorScale" priority="2">
      <colorScale>
        <cfvo type="num" val="0"/>
        <cfvo type="num" val="2"/>
        <cfvo type="num" val="4"/>
        <color rgb="FFF8696B"/>
        <color rgb="FFFFEB84"/>
        <color rgb="FF63BE7B"/>
      </colorScale>
    </cfRule>
  </conditionalFormatting>
  <conditionalFormatting sqref="I2:I23">
    <cfRule type="colorScale" priority="3">
      <colorScale>
        <cfvo type="num" val="0"/>
        <cfvo type="num" val="3"/>
        <color rgb="FF63BE7B"/>
        <color rgb="FFF8696B"/>
      </colorScale>
    </cfRule>
  </conditionalFormatting>
  <dataValidations count="3">
    <dataValidation allowBlank="true" error="Enter a whole number from 0 to 4." errorStyle="stop" errorTitle="Out of range" operator="between" showDropDown="false" showErrorMessage="true" showInputMessage="false" sqref="G2:H23" type="whole">
      <formula1>0</formula1>
      <formula2>4</formula2>
    </dataValidation>
    <dataValidation allowBlank="true" error="Pick a value from the dropdown." errorStyle="stop" errorTitle="Use a listed value" operator="between" showDropDown="false" showErrorMessage="true" showInputMessage="false" sqref="L2:L23" type="list">
      <formula1>"P1,P2,P3"</formula1>
      <formula2>0</formula2>
    </dataValidation>
    <dataValidation allowBlank="true" error="Pick a value from the dropdown." errorStyle="stop" errorTitle="Use a listed value" operator="between" showDropDown="false" showErrorMessage="true" showInputMessage="false" sqref="N2:N23" type="list">
      <formula1>"S,M,L"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5" min="2" style="0" width="12"/>
  </cols>
  <sheetData>
    <row r="1" customFormat="false" ht="18.55" hidden="false" customHeight="false" outlineLevel="0" collapsed="false">
      <c r="A1" s="11" t="s">
        <v>301</v>
      </c>
    </row>
    <row r="2" customFormat="false" ht="15" hidden="false" customHeight="false" outlineLevel="0" collapsed="false">
      <c r="A2" s="17" t="s">
        <v>302</v>
      </c>
    </row>
    <row r="4" customFormat="false" ht="33.75" hidden="false" customHeight="true" outlineLevel="0" collapsed="false">
      <c r="A4" s="12" t="s">
        <v>81</v>
      </c>
      <c r="B4" s="12" t="s">
        <v>303</v>
      </c>
      <c r="C4" s="12" t="s">
        <v>304</v>
      </c>
      <c r="D4" s="12" t="s">
        <v>71</v>
      </c>
      <c r="E4" s="12" t="s">
        <v>88</v>
      </c>
    </row>
    <row r="5" customFormat="false" ht="15" hidden="false" customHeight="false" outlineLevel="0" collapsed="false">
      <c r="A5" s="18" t="s">
        <v>97</v>
      </c>
      <c r="B5" s="16" t="n">
        <f aca="false">COUNTIF(02_Assessment!$B$2:$B$23,A5)</f>
        <v>6</v>
      </c>
      <c r="C5" s="19" t="n">
        <f aca="false">AVERAGEIF(02_Assessment!$B$2:$B$23,A5,02_Assessment!$G$2:$G$23)</f>
        <v>1.33333333333333</v>
      </c>
      <c r="D5" s="19" t="n">
        <f aca="false">AVERAGEIF(02_Assessment!$B$2:$B$23,A5,02_Assessment!$H$2:$H$23)</f>
        <v>2.66666666666667</v>
      </c>
      <c r="E5" s="19" t="n">
        <f aca="false">D5-C5</f>
        <v>1.33333333333333</v>
      </c>
    </row>
    <row r="6" customFormat="false" ht="15" hidden="false" customHeight="false" outlineLevel="0" collapsed="false">
      <c r="A6" s="18" t="s">
        <v>156</v>
      </c>
      <c r="B6" s="16" t="n">
        <f aca="false">COUNTIF(02_Assessment!$B$2:$B$23,A6)</f>
        <v>3</v>
      </c>
      <c r="C6" s="19" t="n">
        <f aca="false">AVERAGEIF(02_Assessment!$B$2:$B$23,A6,02_Assessment!$G$2:$G$23)</f>
        <v>1.66666666666667</v>
      </c>
      <c r="D6" s="19" t="n">
        <f aca="false">AVERAGEIF(02_Assessment!$B$2:$B$23,A6,02_Assessment!$H$2:$H$23)</f>
        <v>2.66666666666667</v>
      </c>
      <c r="E6" s="19" t="n">
        <f aca="false">D6-C6</f>
        <v>1</v>
      </c>
    </row>
    <row r="7" customFormat="false" ht="15" hidden="false" customHeight="false" outlineLevel="0" collapsed="false">
      <c r="A7" s="18" t="s">
        <v>186</v>
      </c>
      <c r="B7" s="16" t="n">
        <f aca="false">COUNTIF(02_Assessment!$B$2:$B$23,A7)</f>
        <v>5</v>
      </c>
      <c r="C7" s="19" t="n">
        <f aca="false">AVERAGEIF(02_Assessment!$B$2:$B$23,A7,02_Assessment!$G$2:$G$23)</f>
        <v>1</v>
      </c>
      <c r="D7" s="19" t="n">
        <f aca="false">AVERAGEIF(02_Assessment!$B$2:$B$23,A7,02_Assessment!$H$2:$H$23)</f>
        <v>3</v>
      </c>
      <c r="E7" s="19" t="n">
        <f aca="false">D7-C7</f>
        <v>2</v>
      </c>
    </row>
    <row r="8" customFormat="false" ht="15" hidden="false" customHeight="false" outlineLevel="0" collapsed="false">
      <c r="A8" s="18" t="s">
        <v>232</v>
      </c>
      <c r="B8" s="16" t="n">
        <f aca="false">COUNTIF(02_Assessment!$B$2:$B$23,A8)</f>
        <v>2</v>
      </c>
      <c r="C8" s="19" t="n">
        <f aca="false">AVERAGEIF(02_Assessment!$B$2:$B$23,A8,02_Assessment!$G$2:$G$23)</f>
        <v>1</v>
      </c>
      <c r="D8" s="19" t="n">
        <f aca="false">AVERAGEIF(02_Assessment!$B$2:$B$23,A8,02_Assessment!$H$2:$H$23)</f>
        <v>2.5</v>
      </c>
      <c r="E8" s="19" t="n">
        <f aca="false">D8-C8</f>
        <v>1.5</v>
      </c>
    </row>
    <row r="9" customFormat="false" ht="15" hidden="false" customHeight="false" outlineLevel="0" collapsed="false">
      <c r="A9" s="18" t="s">
        <v>249</v>
      </c>
      <c r="B9" s="16" t="n">
        <f aca="false">COUNTIF(02_Assessment!$B$2:$B$23,A9)</f>
        <v>4</v>
      </c>
      <c r="C9" s="19" t="n">
        <f aca="false">AVERAGEIF(02_Assessment!$B$2:$B$23,A9,02_Assessment!$G$2:$G$23)</f>
        <v>1.5</v>
      </c>
      <c r="D9" s="19" t="n">
        <f aca="false">AVERAGEIF(02_Assessment!$B$2:$B$23,A9,02_Assessment!$H$2:$H$23)</f>
        <v>2.5</v>
      </c>
      <c r="E9" s="19" t="n">
        <f aca="false">D9-C9</f>
        <v>1</v>
      </c>
    </row>
    <row r="10" customFormat="false" ht="15" hidden="false" customHeight="false" outlineLevel="0" collapsed="false">
      <c r="A10" s="18" t="s">
        <v>285</v>
      </c>
      <c r="B10" s="16" t="n">
        <f aca="false">COUNTIF(02_Assessment!$B$2:$B$23,A10)</f>
        <v>2</v>
      </c>
      <c r="C10" s="19" t="n">
        <f aca="false">AVERAGEIF(02_Assessment!$B$2:$B$23,A10,02_Assessment!$G$2:$G$23)</f>
        <v>0.5</v>
      </c>
      <c r="D10" s="19" t="n">
        <f aca="false">AVERAGEIF(02_Assessment!$B$2:$B$23,A10,02_Assessment!$H$2:$H$23)</f>
        <v>2.5</v>
      </c>
      <c r="E10" s="19" t="n">
        <f aca="false">D10-C10</f>
        <v>2</v>
      </c>
    </row>
    <row r="11" customFormat="false" ht="15" hidden="false" customHeight="false" outlineLevel="0" collapsed="false">
      <c r="A11" s="18" t="s">
        <v>305</v>
      </c>
      <c r="B11" s="20" t="n">
        <f aca="false">COUNTA(02_Assessment!A2:A23)</f>
        <v>22</v>
      </c>
      <c r="C11" s="21" t="n">
        <f aca="false">AVERAGE(02_Assessment!G2:G23)</f>
        <v>1.22727272727273</v>
      </c>
      <c r="D11" s="21" t="n">
        <f aca="false">AVERAGE(02_Assessment!H2:H23)</f>
        <v>2.68181818181818</v>
      </c>
      <c r="E11" s="21" t="n">
        <f aca="false">D11-C11</f>
        <v>1.45454545454545</v>
      </c>
    </row>
    <row r="13" customFormat="false" ht="15" hidden="false" customHeight="false" outlineLevel="0" collapsed="false">
      <c r="A13" s="14" t="s">
        <v>306</v>
      </c>
    </row>
    <row r="14" customFormat="false" ht="33.75" hidden="false" customHeight="true" outlineLevel="0" collapsed="false">
      <c r="A14" s="12" t="s">
        <v>42</v>
      </c>
      <c r="B14" s="12" t="s">
        <v>307</v>
      </c>
    </row>
    <row r="15" customFormat="false" ht="15" hidden="false" customHeight="false" outlineLevel="0" collapsed="false">
      <c r="A15" s="13" t="n">
        <v>0</v>
      </c>
      <c r="B15" s="16" t="n">
        <f aca="false">COUNTIF(02_Assessment!G2:G23,A15)</f>
        <v>4</v>
      </c>
    </row>
    <row r="16" customFormat="false" ht="15" hidden="false" customHeight="false" outlineLevel="0" collapsed="false">
      <c r="A16" s="13" t="n">
        <v>1</v>
      </c>
      <c r="B16" s="16" t="n">
        <f aca="false">COUNTIF(02_Assessment!G2:G23,A16)</f>
        <v>10</v>
      </c>
    </row>
    <row r="17" customFormat="false" ht="15" hidden="false" customHeight="false" outlineLevel="0" collapsed="false">
      <c r="A17" s="13" t="n">
        <v>2</v>
      </c>
      <c r="B17" s="16" t="n">
        <f aca="false">COUNTIF(02_Assessment!G2:G23,A17)</f>
        <v>7</v>
      </c>
    </row>
    <row r="18" customFormat="false" ht="15" hidden="false" customHeight="false" outlineLevel="0" collapsed="false">
      <c r="A18" s="13" t="n">
        <v>3</v>
      </c>
      <c r="B18" s="16" t="n">
        <f aca="false">COUNTIF(02_Assessment!G2:G23,A18)</f>
        <v>1</v>
      </c>
    </row>
    <row r="19" customFormat="false" ht="15" hidden="false" customHeight="false" outlineLevel="0" collapsed="false">
      <c r="A19" s="13" t="n">
        <v>4</v>
      </c>
      <c r="B19" s="16" t="n">
        <f aca="false">COUNTIF(02_Assessment!G2:G23,A19)</f>
        <v>0</v>
      </c>
    </row>
  </sheetData>
  <conditionalFormatting sqref="C5:C10">
    <cfRule type="colorScale" priority="2">
      <colorScale>
        <cfvo type="num" val="0"/>
        <cfvo type="num" val="2"/>
        <cfvo type="num" val="4"/>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0"/>
    <col collapsed="false" customWidth="true" hidden="false" outlineLevel="0" max="3" min="3" style="0" width="26"/>
    <col collapsed="false" customWidth="true" hidden="false" outlineLevel="0" max="4" min="4" style="0" width="16"/>
    <col collapsed="false" customWidth="true" hidden="false" outlineLevel="0" max="6" min="5" style="0" width="9"/>
    <col collapsed="false" customWidth="true" hidden="false" outlineLevel="0" max="7" min="7" style="0" width="10"/>
    <col collapsed="false" customWidth="true" hidden="false" outlineLevel="0" max="8" min="8" style="0" width="12"/>
    <col collapsed="false" customWidth="true" hidden="false" outlineLevel="0" max="9" min="9" style="0" width="26"/>
    <col collapsed="false" customWidth="true" hidden="false" outlineLevel="0" max="10" min="10" style="0" width="12"/>
    <col collapsed="false" customWidth="true" hidden="false" outlineLevel="0" max="11" min="11" style="0" width="30"/>
    <col collapsed="false" customWidth="true" hidden="false" outlineLevel="0" max="12" min="12" style="0" width="60"/>
  </cols>
  <sheetData>
    <row r="1" customFormat="false" ht="33.75" hidden="false" customHeight="true" outlineLevel="0" collapsed="false">
      <c r="A1" s="12" t="s">
        <v>308</v>
      </c>
      <c r="B1" s="12" t="s">
        <v>309</v>
      </c>
      <c r="C1" s="12" t="s">
        <v>310</v>
      </c>
      <c r="D1" s="12" t="s">
        <v>311</v>
      </c>
      <c r="E1" s="12" t="s">
        <v>312</v>
      </c>
      <c r="F1" s="12" t="s">
        <v>93</v>
      </c>
      <c r="G1" s="12" t="s">
        <v>313</v>
      </c>
      <c r="H1" s="12" t="s">
        <v>314</v>
      </c>
      <c r="I1" s="12" t="s">
        <v>94</v>
      </c>
      <c r="J1" s="12" t="s">
        <v>315</v>
      </c>
      <c r="K1" s="12" t="s">
        <v>316</v>
      </c>
      <c r="L1" s="12" t="s">
        <v>317</v>
      </c>
    </row>
    <row r="2" customFormat="false" ht="90" hidden="false" customHeight="true" outlineLevel="0" collapsed="false">
      <c r="A2" s="13" t="s">
        <v>318</v>
      </c>
      <c r="B2" s="13" t="s">
        <v>319</v>
      </c>
      <c r="C2" s="13" t="s">
        <v>320</v>
      </c>
      <c r="D2" s="13" t="s">
        <v>321</v>
      </c>
      <c r="E2" s="15" t="s">
        <v>116</v>
      </c>
      <c r="F2" s="15" t="s">
        <v>106</v>
      </c>
      <c r="G2" s="15" t="n">
        <v>4</v>
      </c>
      <c r="H2" s="19" t="n">
        <f aca="false">G2/IF(F2="S",1,IF(F2="M",2,3))</f>
        <v>4</v>
      </c>
      <c r="I2" s="13" t="s">
        <v>164</v>
      </c>
      <c r="J2" s="15" t="s">
        <v>322</v>
      </c>
      <c r="K2" s="13" t="s">
        <v>323</v>
      </c>
      <c r="L2" s="13" t="s">
        <v>324</v>
      </c>
    </row>
    <row r="3" customFormat="false" ht="90" hidden="false" customHeight="true" outlineLevel="0" collapsed="false">
      <c r="A3" s="13" t="s">
        <v>325</v>
      </c>
      <c r="B3" s="13" t="s">
        <v>326</v>
      </c>
      <c r="C3" s="13" t="s">
        <v>327</v>
      </c>
      <c r="D3" s="13" t="s">
        <v>321</v>
      </c>
      <c r="E3" s="15" t="s">
        <v>116</v>
      </c>
      <c r="F3" s="15" t="s">
        <v>106</v>
      </c>
      <c r="G3" s="15" t="n">
        <v>4</v>
      </c>
      <c r="H3" s="19" t="n">
        <f aca="false">G3/IF(F3="S",1,IF(F3="M",2,3))</f>
        <v>4</v>
      </c>
      <c r="I3" s="13" t="s">
        <v>164</v>
      </c>
      <c r="J3" s="15" t="s">
        <v>322</v>
      </c>
      <c r="K3" s="13" t="s">
        <v>328</v>
      </c>
      <c r="L3" s="13" t="s">
        <v>329</v>
      </c>
    </row>
    <row r="4" customFormat="false" ht="90" hidden="false" customHeight="true" outlineLevel="0" collapsed="false">
      <c r="A4" s="13" t="s">
        <v>330</v>
      </c>
      <c r="B4" s="13" t="s">
        <v>331</v>
      </c>
      <c r="C4" s="13" t="s">
        <v>332</v>
      </c>
      <c r="D4" s="13" t="s">
        <v>333</v>
      </c>
      <c r="E4" s="15" t="s">
        <v>116</v>
      </c>
      <c r="F4" s="15" t="s">
        <v>106</v>
      </c>
      <c r="G4" s="15" t="n">
        <v>4</v>
      </c>
      <c r="H4" s="19" t="n">
        <f aca="false">G4/IF(F4="S",1,IF(F4="M",2,3))</f>
        <v>4</v>
      </c>
      <c r="I4" s="13" t="s">
        <v>164</v>
      </c>
      <c r="J4" s="15" t="s">
        <v>322</v>
      </c>
      <c r="K4" s="13" t="s">
        <v>323</v>
      </c>
      <c r="L4" s="13" t="s">
        <v>334</v>
      </c>
    </row>
    <row r="5" customFormat="false" ht="90" hidden="false" customHeight="true" outlineLevel="0" collapsed="false">
      <c r="A5" s="13" t="s">
        <v>335</v>
      </c>
      <c r="B5" s="13" t="s">
        <v>336</v>
      </c>
      <c r="C5" s="13" t="s">
        <v>337</v>
      </c>
      <c r="D5" s="13" t="s">
        <v>338</v>
      </c>
      <c r="E5" s="15" t="s">
        <v>116</v>
      </c>
      <c r="F5" s="15" t="s">
        <v>106</v>
      </c>
      <c r="G5" s="15" t="n">
        <v>3</v>
      </c>
      <c r="H5" s="19" t="n">
        <f aca="false">G5/IF(F5="S",1,IF(F5="M",2,3))</f>
        <v>3</v>
      </c>
      <c r="I5" s="13" t="s">
        <v>203</v>
      </c>
      <c r="J5" s="15" t="s">
        <v>322</v>
      </c>
      <c r="K5" s="13" t="s">
        <v>323</v>
      </c>
      <c r="L5" s="13" t="s">
        <v>339</v>
      </c>
    </row>
    <row r="6" customFormat="false" ht="90" hidden="false" customHeight="true" outlineLevel="0" collapsed="false">
      <c r="A6" s="13" t="s">
        <v>340</v>
      </c>
      <c r="B6" s="13" t="s">
        <v>341</v>
      </c>
      <c r="C6" s="13" t="s">
        <v>342</v>
      </c>
      <c r="D6" s="13" t="s">
        <v>343</v>
      </c>
      <c r="E6" s="15" t="s">
        <v>116</v>
      </c>
      <c r="F6" s="15" t="s">
        <v>153</v>
      </c>
      <c r="G6" s="15" t="n">
        <v>4</v>
      </c>
      <c r="H6" s="19" t="n">
        <f aca="false">G6/IF(F6="S",1,IF(F6="M",2,3))</f>
        <v>2</v>
      </c>
      <c r="I6" s="13" t="s">
        <v>164</v>
      </c>
      <c r="J6" s="15" t="s">
        <v>344</v>
      </c>
      <c r="K6" s="13" t="s">
        <v>323</v>
      </c>
      <c r="L6" s="13" t="s">
        <v>345</v>
      </c>
    </row>
    <row r="7" customFormat="false" ht="90" hidden="false" customHeight="true" outlineLevel="0" collapsed="false">
      <c r="A7" s="13" t="s">
        <v>346</v>
      </c>
      <c r="B7" s="13" t="s">
        <v>347</v>
      </c>
      <c r="C7" s="13" t="s">
        <v>348</v>
      </c>
      <c r="D7" s="13" t="s">
        <v>349</v>
      </c>
      <c r="E7" s="15" t="s">
        <v>116</v>
      </c>
      <c r="F7" s="15" t="s">
        <v>153</v>
      </c>
      <c r="G7" s="15" t="n">
        <v>5</v>
      </c>
      <c r="H7" s="19" t="n">
        <f aca="false">G7/IF(F7="S",1,IF(F7="M",2,3))</f>
        <v>2.5</v>
      </c>
      <c r="I7" s="13" t="s">
        <v>136</v>
      </c>
      <c r="J7" s="15" t="s">
        <v>344</v>
      </c>
      <c r="K7" s="13" t="s">
        <v>323</v>
      </c>
      <c r="L7" s="13" t="s">
        <v>350</v>
      </c>
    </row>
    <row r="8" customFormat="false" ht="90" hidden="false" customHeight="true" outlineLevel="0" collapsed="false">
      <c r="A8" s="13" t="s">
        <v>351</v>
      </c>
      <c r="B8" s="13" t="s">
        <v>352</v>
      </c>
      <c r="C8" s="13" t="s">
        <v>353</v>
      </c>
      <c r="D8" s="13" t="s">
        <v>354</v>
      </c>
      <c r="E8" s="15" t="s">
        <v>116</v>
      </c>
      <c r="F8" s="15" t="s">
        <v>153</v>
      </c>
      <c r="G8" s="15" t="n">
        <v>5</v>
      </c>
      <c r="H8" s="19" t="n">
        <f aca="false">G8/IF(F8="S",1,IF(F8="M",2,3))</f>
        <v>2.5</v>
      </c>
      <c r="I8" s="13" t="s">
        <v>164</v>
      </c>
      <c r="J8" s="15" t="s">
        <v>344</v>
      </c>
      <c r="K8" s="13" t="s">
        <v>323</v>
      </c>
      <c r="L8" s="13" t="s">
        <v>355</v>
      </c>
    </row>
    <row r="9" customFormat="false" ht="90" hidden="false" customHeight="true" outlineLevel="0" collapsed="false">
      <c r="A9" s="13" t="s">
        <v>356</v>
      </c>
      <c r="B9" s="13" t="s">
        <v>357</v>
      </c>
      <c r="C9" s="13" t="s">
        <v>358</v>
      </c>
      <c r="D9" s="13" t="s">
        <v>359</v>
      </c>
      <c r="E9" s="15" t="s">
        <v>116</v>
      </c>
      <c r="F9" s="15" t="s">
        <v>153</v>
      </c>
      <c r="G9" s="15" t="n">
        <v>4</v>
      </c>
      <c r="H9" s="19" t="n">
        <f aca="false">G9/IF(F9="S",1,IF(F9="M",2,3))</f>
        <v>2</v>
      </c>
      <c r="I9" s="13" t="s">
        <v>136</v>
      </c>
      <c r="J9" s="15" t="s">
        <v>344</v>
      </c>
      <c r="K9" s="13" t="s">
        <v>323</v>
      </c>
      <c r="L9" s="13" t="s">
        <v>360</v>
      </c>
    </row>
    <row r="10" customFormat="false" ht="90" hidden="false" customHeight="true" outlineLevel="0" collapsed="false">
      <c r="A10" s="13" t="s">
        <v>361</v>
      </c>
      <c r="B10" s="13" t="s">
        <v>362</v>
      </c>
      <c r="C10" s="13" t="s">
        <v>363</v>
      </c>
      <c r="D10" s="13" t="s">
        <v>364</v>
      </c>
      <c r="E10" s="15" t="s">
        <v>116</v>
      </c>
      <c r="F10" s="15" t="s">
        <v>153</v>
      </c>
      <c r="G10" s="15" t="n">
        <v>4</v>
      </c>
      <c r="H10" s="19" t="n">
        <f aca="false">G10/IF(F10="S",1,IF(F10="M",2,3))</f>
        <v>2</v>
      </c>
      <c r="I10" s="13" t="s">
        <v>203</v>
      </c>
      <c r="J10" s="15" t="s">
        <v>344</v>
      </c>
      <c r="K10" s="13" t="s">
        <v>365</v>
      </c>
      <c r="L10" s="13" t="s">
        <v>366</v>
      </c>
    </row>
    <row r="11" customFormat="false" ht="90" hidden="false" customHeight="true" outlineLevel="0" collapsed="false">
      <c r="A11" s="13" t="s">
        <v>367</v>
      </c>
      <c r="B11" s="13" t="s">
        <v>368</v>
      </c>
      <c r="C11" s="13" t="s">
        <v>369</v>
      </c>
      <c r="D11" s="13" t="s">
        <v>370</v>
      </c>
      <c r="E11" s="15" t="s">
        <v>104</v>
      </c>
      <c r="F11" s="15" t="s">
        <v>106</v>
      </c>
      <c r="G11" s="15" t="n">
        <v>2</v>
      </c>
      <c r="H11" s="19" t="n">
        <f aca="false">G11/IF(F11="S",1,IF(F11="M",2,3))</f>
        <v>2</v>
      </c>
      <c r="I11" s="13" t="s">
        <v>107</v>
      </c>
      <c r="J11" s="15" t="s">
        <v>344</v>
      </c>
      <c r="K11" s="13" t="s">
        <v>323</v>
      </c>
      <c r="L11" s="13" t="s">
        <v>371</v>
      </c>
    </row>
    <row r="12" customFormat="false" ht="90" hidden="false" customHeight="true" outlineLevel="0" collapsed="false">
      <c r="A12" s="13" t="s">
        <v>372</v>
      </c>
      <c r="B12" s="13" t="s">
        <v>373</v>
      </c>
      <c r="C12" s="13" t="s">
        <v>374</v>
      </c>
      <c r="D12" s="13" t="s">
        <v>375</v>
      </c>
      <c r="E12" s="15" t="s">
        <v>116</v>
      </c>
      <c r="F12" s="15" t="s">
        <v>153</v>
      </c>
      <c r="G12" s="15" t="n">
        <v>5</v>
      </c>
      <c r="H12" s="19" t="n">
        <f aca="false">G12/IF(F12="S",1,IF(F12="M",2,3))</f>
        <v>2.5</v>
      </c>
      <c r="I12" s="13" t="s">
        <v>164</v>
      </c>
      <c r="J12" s="15" t="s">
        <v>376</v>
      </c>
      <c r="K12" s="13" t="s">
        <v>377</v>
      </c>
      <c r="L12" s="13" t="s">
        <v>378</v>
      </c>
    </row>
    <row r="13" customFormat="false" ht="90" hidden="false" customHeight="true" outlineLevel="0" collapsed="false">
      <c r="A13" s="13" t="s">
        <v>379</v>
      </c>
      <c r="B13" s="13" t="s">
        <v>380</v>
      </c>
      <c r="C13" s="13" t="s">
        <v>381</v>
      </c>
      <c r="D13" s="13" t="s">
        <v>382</v>
      </c>
      <c r="E13" s="15" t="s">
        <v>104</v>
      </c>
      <c r="F13" s="15" t="s">
        <v>106</v>
      </c>
      <c r="G13" s="15" t="n">
        <v>3</v>
      </c>
      <c r="H13" s="19" t="n">
        <f aca="false">G13/IF(F13="S",1,IF(F13="M",2,3))</f>
        <v>3</v>
      </c>
      <c r="I13" s="13" t="s">
        <v>136</v>
      </c>
      <c r="J13" s="15" t="s">
        <v>376</v>
      </c>
      <c r="K13" s="13" t="s">
        <v>383</v>
      </c>
      <c r="L13" s="13" t="s">
        <v>384</v>
      </c>
    </row>
    <row r="14" customFormat="false" ht="90" hidden="false" customHeight="true" outlineLevel="0" collapsed="false">
      <c r="A14" s="13" t="s">
        <v>385</v>
      </c>
      <c r="B14" s="13" t="s">
        <v>386</v>
      </c>
      <c r="C14" s="13" t="s">
        <v>387</v>
      </c>
      <c r="D14" s="13" t="s">
        <v>388</v>
      </c>
      <c r="E14" s="15" t="s">
        <v>104</v>
      </c>
      <c r="F14" s="15" t="s">
        <v>106</v>
      </c>
      <c r="G14" s="15" t="n">
        <v>2</v>
      </c>
      <c r="H14" s="19" t="n">
        <f aca="false">G14/IF(F14="S",1,IF(F14="M",2,3))</f>
        <v>2</v>
      </c>
      <c r="I14" s="13" t="s">
        <v>107</v>
      </c>
      <c r="J14" s="15" t="s">
        <v>376</v>
      </c>
      <c r="K14" s="13" t="s">
        <v>389</v>
      </c>
      <c r="L14" s="13" t="s">
        <v>390</v>
      </c>
    </row>
    <row r="15" customFormat="false" ht="90" hidden="false" customHeight="true" outlineLevel="0" collapsed="false">
      <c r="A15" s="13" t="s">
        <v>391</v>
      </c>
      <c r="B15" s="13" t="s">
        <v>392</v>
      </c>
      <c r="C15" s="13" t="s">
        <v>393</v>
      </c>
      <c r="D15" s="13" t="s">
        <v>394</v>
      </c>
      <c r="E15" s="15" t="s">
        <v>104</v>
      </c>
      <c r="F15" s="15" t="s">
        <v>106</v>
      </c>
      <c r="G15" s="15" t="n">
        <v>2</v>
      </c>
      <c r="H15" s="19" t="n">
        <f aca="false">G15/IF(F15="S",1,IF(F15="M",2,3))</f>
        <v>2</v>
      </c>
      <c r="I15" s="13" t="s">
        <v>274</v>
      </c>
      <c r="J15" s="15" t="s">
        <v>376</v>
      </c>
      <c r="K15" s="13" t="s">
        <v>395</v>
      </c>
      <c r="L15" s="13" t="s">
        <v>396</v>
      </c>
    </row>
    <row r="16" customFormat="false" ht="90" hidden="false" customHeight="true" outlineLevel="0" collapsed="false">
      <c r="A16" s="13" t="s">
        <v>397</v>
      </c>
      <c r="B16" s="13" t="s">
        <v>398</v>
      </c>
      <c r="C16" s="13" t="s">
        <v>399</v>
      </c>
      <c r="D16" s="13" t="s">
        <v>400</v>
      </c>
      <c r="E16" s="15" t="s">
        <v>116</v>
      </c>
      <c r="F16" s="15" t="s">
        <v>153</v>
      </c>
      <c r="G16" s="15" t="n">
        <v>3</v>
      </c>
      <c r="H16" s="19" t="n">
        <f aca="false">G16/IF(F16="S",1,IF(F16="M",2,3))</f>
        <v>1.5</v>
      </c>
      <c r="I16" s="13" t="s">
        <v>136</v>
      </c>
      <c r="J16" s="15" t="s">
        <v>376</v>
      </c>
      <c r="K16" s="13" t="s">
        <v>377</v>
      </c>
      <c r="L16" s="13" t="s">
        <v>401</v>
      </c>
      <c r="M16" s="13" t="s">
        <v>402</v>
      </c>
    </row>
    <row r="17" customFormat="false" ht="90" hidden="false" customHeight="true" outlineLevel="0" collapsed="false">
      <c r="A17" s="13" t="s">
        <v>403</v>
      </c>
      <c r="B17" s="13" t="s">
        <v>404</v>
      </c>
      <c r="C17" s="13" t="s">
        <v>405</v>
      </c>
      <c r="D17" s="13" t="s">
        <v>349</v>
      </c>
      <c r="E17" s="15" t="s">
        <v>104</v>
      </c>
      <c r="F17" s="15" t="s">
        <v>406</v>
      </c>
      <c r="G17" s="15" t="n">
        <v>5</v>
      </c>
      <c r="H17" s="19" t="n">
        <f aca="false">G17/IF(F17="S",1,IF(F17="M",2,3))</f>
        <v>1.66666666666667</v>
      </c>
      <c r="I17" s="13" t="s">
        <v>136</v>
      </c>
      <c r="J17" s="15" t="s">
        <v>407</v>
      </c>
      <c r="K17" s="13" t="s">
        <v>408</v>
      </c>
      <c r="L17" s="13" t="s">
        <v>409</v>
      </c>
    </row>
    <row r="18" customFormat="false" ht="90" hidden="false" customHeight="true" outlineLevel="0" collapsed="false">
      <c r="A18" s="13" t="s">
        <v>410</v>
      </c>
      <c r="B18" s="13" t="s">
        <v>411</v>
      </c>
      <c r="C18" s="13" t="s">
        <v>412</v>
      </c>
      <c r="D18" s="13" t="s">
        <v>413</v>
      </c>
      <c r="E18" s="15" t="s">
        <v>182</v>
      </c>
      <c r="F18" s="15" t="s">
        <v>153</v>
      </c>
      <c r="G18" s="15" t="n">
        <v>3</v>
      </c>
      <c r="H18" s="19" t="n">
        <f aca="false">G18/IF(F18="S",1,IF(F18="M",2,3))</f>
        <v>1.5</v>
      </c>
      <c r="I18" s="13" t="s">
        <v>136</v>
      </c>
      <c r="J18" s="15" t="s">
        <v>407</v>
      </c>
      <c r="K18" s="13" t="s">
        <v>414</v>
      </c>
      <c r="L18" s="13" t="s">
        <v>415</v>
      </c>
    </row>
    <row r="19" customFormat="false" ht="90" hidden="false" customHeight="true" outlineLevel="0" collapsed="false">
      <c r="A19" s="13" t="s">
        <v>416</v>
      </c>
      <c r="B19" s="13" t="s">
        <v>417</v>
      </c>
      <c r="C19" s="13" t="s">
        <v>418</v>
      </c>
      <c r="D19" s="13" t="s">
        <v>375</v>
      </c>
      <c r="E19" s="15" t="s">
        <v>182</v>
      </c>
      <c r="F19" s="15" t="s">
        <v>153</v>
      </c>
      <c r="G19" s="15" t="n">
        <v>3</v>
      </c>
      <c r="H19" s="19" t="n">
        <f aca="false">G19/IF(F19="S",1,IF(F19="M",2,3))</f>
        <v>1.5</v>
      </c>
      <c r="I19" s="13" t="s">
        <v>164</v>
      </c>
      <c r="J19" s="15" t="s">
        <v>419</v>
      </c>
      <c r="K19" s="13" t="s">
        <v>420</v>
      </c>
      <c r="L19" s="13" t="s">
        <v>421</v>
      </c>
    </row>
    <row r="21" customFormat="false" ht="15" hidden="false" customHeight="false" outlineLevel="0" collapsed="false">
      <c r="A21" s="14" t="s">
        <v>422</v>
      </c>
    </row>
    <row r="22" customFormat="false" ht="33.75" hidden="false" customHeight="true" outlineLevel="0" collapsed="false">
      <c r="A22" s="12" t="s">
        <v>423</v>
      </c>
      <c r="B22" s="12" t="s">
        <v>424</v>
      </c>
      <c r="C22" s="12" t="s">
        <v>425</v>
      </c>
      <c r="D22" s="12" t="s">
        <v>426</v>
      </c>
    </row>
    <row r="23" customFormat="false" ht="23.85" hidden="false" customHeight="false" outlineLevel="0" collapsed="false">
      <c r="A23" s="13" t="s">
        <v>427</v>
      </c>
      <c r="B23" s="13" t="s">
        <v>322</v>
      </c>
      <c r="C23" s="13" t="s">
        <v>428</v>
      </c>
      <c r="D23" s="16" t="n">
        <f aca="false">COUNTIF(J2:J19,"Q4 2026")</f>
        <v>4</v>
      </c>
    </row>
    <row r="24" customFormat="false" ht="23.85" hidden="false" customHeight="false" outlineLevel="0" collapsed="false">
      <c r="A24" s="13" t="s">
        <v>429</v>
      </c>
      <c r="B24" s="13" t="s">
        <v>344</v>
      </c>
      <c r="C24" s="13" t="s">
        <v>430</v>
      </c>
      <c r="D24" s="16" t="n">
        <f aca="false">COUNTIF(J2:J19,"Q1 2027")</f>
        <v>6</v>
      </c>
    </row>
    <row r="25" customFormat="false" ht="46.25" hidden="false" customHeight="false" outlineLevel="0" collapsed="false">
      <c r="A25" s="13" t="s">
        <v>431</v>
      </c>
      <c r="B25" s="13" t="s">
        <v>376</v>
      </c>
      <c r="C25" s="13" t="s">
        <v>432</v>
      </c>
      <c r="D25" s="16" t="n">
        <f aca="false">COUNTIF(J2:J19,"Q2 2027")</f>
        <v>5</v>
      </c>
    </row>
    <row r="26" customFormat="false" ht="35.05" hidden="false" customHeight="false" outlineLevel="0" collapsed="false">
      <c r="A26" s="13" t="s">
        <v>433</v>
      </c>
      <c r="B26" s="13" t="s">
        <v>434</v>
      </c>
      <c r="C26" s="13" t="s">
        <v>435</v>
      </c>
      <c r="D26" s="16" t="n">
        <f aca="false">COUNTIF(J2:J19,"Q3 2027")+COUNTIF(J2:J19,"Q4 2027")</f>
        <v>3</v>
      </c>
    </row>
  </sheetData>
  <autoFilter ref="A1:L19"/>
  <conditionalFormatting sqref="E2:E19">
    <cfRule type="cellIs" priority="2" operator="equal" aboveAverage="0" equalAverage="0" bottom="0" percent="0" rank="0" text="" dxfId="15">
      <formula>"P1"</formula>
    </cfRule>
    <cfRule type="cellIs" priority="3" operator="equal" aboveAverage="0" equalAverage="0" bottom="0" percent="0" rank="0" text="" dxfId="16">
      <formula>"P2"</formula>
    </cfRule>
  </conditionalFormatting>
  <dataValidations count="3">
    <dataValidation allowBlank="true" error="Pick a value from the dropdown." errorStyle="stop" errorTitle="Use a listed value" operator="between" showDropDown="false" showErrorMessage="true" showInputMessage="false" sqref="E2:E19" type="list">
      <formula1>"P1,P2,P3"</formula1>
      <formula2>0</formula2>
    </dataValidation>
    <dataValidation allowBlank="true" error="Pick a value from the dropdown." errorStyle="stop" errorTitle="Use a listed value" operator="between" showDropDown="false" showErrorMessage="true" showInputMessage="false" sqref="F2:F19" type="list">
      <formula1>"S,M,L"</formula1>
      <formula2>0</formula2>
    </dataValidation>
    <dataValidation allowBlank="true" error="Enter a whole number from 1 to 5." errorStyle="stop" errorTitle="Out of range" operator="between" showDropDown="false" showErrorMessage="true" showInputMessage="false" sqref="G2:G19"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3" min="2" style="0" width="14"/>
    <col collapsed="false" customWidth="true" hidden="false" outlineLevel="0" max="4" min="4" style="0" width="12"/>
  </cols>
  <sheetData>
    <row r="1" customFormat="false" ht="18.55" hidden="false" customHeight="false" outlineLevel="0" collapsed="false">
      <c r="A1" s="11" t="s">
        <v>436</v>
      </c>
    </row>
    <row r="2" customFormat="false" ht="15" hidden="false" customHeight="false" outlineLevel="0" collapsed="false">
      <c r="A2" s="17" t="s">
        <v>437</v>
      </c>
    </row>
    <row r="4" customFormat="false" ht="33.75" hidden="false" customHeight="true" outlineLevel="0" collapsed="false">
      <c r="A4" s="12" t="s">
        <v>438</v>
      </c>
      <c r="B4" s="12" t="s">
        <v>439</v>
      </c>
      <c r="C4" s="12" t="s">
        <v>440</v>
      </c>
      <c r="D4" s="12" t="s">
        <v>441</v>
      </c>
    </row>
    <row r="5" customFormat="false" ht="15" hidden="false" customHeight="false" outlineLevel="0" collapsed="false">
      <c r="A5" s="13" t="s">
        <v>442</v>
      </c>
      <c r="B5" s="16" t="n">
        <f aca="false">COUNTA(02_Assessment!A2:A23)</f>
        <v>22</v>
      </c>
      <c r="C5" s="13" t="n">
        <v>22</v>
      </c>
      <c r="D5" s="22" t="str">
        <f aca="false">IF(OR(ROW()=15,ROW()=16),IF(B5&lt;=1,"PASS","FAIL"),IF(B5=C5,"PASS","FAIL"))</f>
        <v>PASS</v>
      </c>
    </row>
    <row r="6" customFormat="false" ht="15" hidden="false" customHeight="false" outlineLevel="0" collapsed="false">
      <c r="A6" s="13" t="s">
        <v>443</v>
      </c>
      <c r="B6" s="16" t="n">
        <f aca="false">SUMPRODUCT((03_Heatmap!B5:B10&gt;0)*1)</f>
        <v>6</v>
      </c>
      <c r="C6" s="13" t="n">
        <v>6</v>
      </c>
      <c r="D6" s="22" t="str">
        <f aca="false">IF(OR(ROW()=15,ROW()=16),IF(B6&lt;=1,"PASS","FAIL"),IF(B6=C6,"PASS","FAIL"))</f>
        <v>PASS</v>
      </c>
    </row>
    <row r="7" customFormat="false" ht="15" hidden="false" customHeight="false" outlineLevel="0" collapsed="false">
      <c r="A7" s="13" t="s">
        <v>444</v>
      </c>
      <c r="B7" s="16" t="n">
        <f aca="false">SUM(02_Assessment!G2:G23)</f>
        <v>27</v>
      </c>
      <c r="C7" s="13" t="n">
        <v>27</v>
      </c>
      <c r="D7" s="22" t="str">
        <f aca="false">IF(OR(ROW()=15,ROW()=16),IF(B7&lt;=1,"PASS","FAIL"),IF(B7=C7,"PASS","FAIL"))</f>
        <v>PASS</v>
      </c>
    </row>
    <row r="8" customFormat="false" ht="15" hidden="false" customHeight="false" outlineLevel="0" collapsed="false">
      <c r="A8" s="13" t="s">
        <v>445</v>
      </c>
      <c r="B8" s="16" t="n">
        <f aca="false">SUM(02_Assessment!H2:H23)</f>
        <v>59</v>
      </c>
      <c r="C8" s="13" t="n">
        <v>59</v>
      </c>
      <c r="D8" s="22" t="str">
        <f aca="false">IF(OR(ROW()=15,ROW()=16),IF(B8&lt;=1,"PASS","FAIL"),IF(B8=C8,"PASS","FAIL"))</f>
        <v>PASS</v>
      </c>
    </row>
    <row r="9" customFormat="false" ht="15" hidden="false" customHeight="false" outlineLevel="0" collapsed="false">
      <c r="A9" s="13" t="s">
        <v>446</v>
      </c>
      <c r="B9" s="16" t="n">
        <f aca="false">COUNTIF(02_Assessment!H2:H23,3)</f>
        <v>15</v>
      </c>
      <c r="C9" s="13" t="n">
        <v>15</v>
      </c>
      <c r="D9" s="22" t="str">
        <f aca="false">IF(OR(ROW()=15,ROW()=16),IF(B9&lt;=1,"PASS","FAIL"),IF(B9=C9,"PASS","FAIL"))</f>
        <v>PASS</v>
      </c>
    </row>
    <row r="10" customFormat="false" ht="15" hidden="false" customHeight="false" outlineLevel="0" collapsed="false">
      <c r="A10" s="13" t="s">
        <v>447</v>
      </c>
      <c r="B10" s="16" t="n">
        <f aca="false">COUNTIF(02_Assessment!H2:H23,2)</f>
        <v>7</v>
      </c>
      <c r="C10" s="13" t="n">
        <v>7</v>
      </c>
      <c r="D10" s="22" t="str">
        <f aca="false">IF(OR(ROW()=15,ROW()=16),IF(B10&lt;=1,"PASS","FAIL"),IF(B10=C10,"PASS","FAIL"))</f>
        <v>PASS</v>
      </c>
    </row>
    <row r="11" customFormat="false" ht="15" hidden="false" customHeight="false" outlineLevel="0" collapsed="false">
      <c r="A11" s="13" t="s">
        <v>448</v>
      </c>
      <c r="B11" s="16" t="n">
        <f aca="false">COUNTIF(02_Assessment!H2:H23,4)</f>
        <v>0</v>
      </c>
      <c r="C11" s="13" t="n">
        <v>0</v>
      </c>
      <c r="D11" s="22" t="str">
        <f aca="false">IF(OR(ROW()=15,ROW()=16),IF(B11&lt;=1,"PASS","FAIL"),IF(B11=C11,"PASS","FAIL"))</f>
        <v>PASS</v>
      </c>
    </row>
    <row r="12" customFormat="false" ht="15" hidden="false" customHeight="false" outlineLevel="0" collapsed="false">
      <c r="A12" s="13" t="s">
        <v>449</v>
      </c>
      <c r="B12" s="16" t="n">
        <f aca="false">SUMPRODUCT((02_Assessment!H2:H23&lt;02_Assessment!G2:G23)*1)</f>
        <v>0</v>
      </c>
      <c r="C12" s="13" t="n">
        <v>0</v>
      </c>
      <c r="D12" s="22" t="str">
        <f aca="false">IF(OR(ROW()=15,ROW()=16),IF(B12&lt;=1,"PASS","FAIL"),IF(B12=C12,"PASS","FAIL"))</f>
        <v>PASS</v>
      </c>
    </row>
    <row r="13" customFormat="false" ht="15" hidden="false" customHeight="false" outlineLevel="0" collapsed="false">
      <c r="A13" s="13" t="s">
        <v>450</v>
      </c>
      <c r="B13" s="16" t="n">
        <f aca="false">SUMPRODUCT((02_Assessment!I2:I23&lt;&gt;02_Assessment!H2:H23-02_Assessment!G2:G23)*1)</f>
        <v>0</v>
      </c>
      <c r="C13" s="13" t="n">
        <v>0</v>
      </c>
      <c r="D13" s="22" t="str">
        <f aca="false">IF(OR(ROW()=15,ROW()=16),IF(B13&lt;=1,"PASS","FAIL"),IF(B13=C13,"PASS","FAIL"))</f>
        <v>PASS</v>
      </c>
    </row>
    <row r="14" customFormat="false" ht="23.85" hidden="false" customHeight="false" outlineLevel="0" collapsed="false">
      <c r="A14" s="13" t="s">
        <v>451</v>
      </c>
      <c r="B14" s="16" t="n">
        <f aca="false">SUMPRODUCT((02_Assessment!G2:G23&gt;=3)*((ISNUMBER(SEARCH("R-004",02_Assessment!J2:J23)))+(ISNUMBER(SEARCH("R-005",02_Assessment!J2:J23)))&gt;0))</f>
        <v>1</v>
      </c>
      <c r="C14" s="13" t="n">
        <v>1</v>
      </c>
      <c r="D14" s="22" t="str">
        <f aca="false">IF(OR(ROW()=15,ROW()=16),IF(B14&lt;=1,"PASS","FAIL"),IF(B14=C14,"PASS","FAIL"))</f>
        <v>PASS</v>
      </c>
    </row>
    <row r="15" customFormat="false" ht="15" hidden="false" customHeight="false" outlineLevel="0" collapsed="false">
      <c r="A15" s="13" t="s">
        <v>452</v>
      </c>
      <c r="B15" s="16" t="n">
        <f aca="false">INDEX(02_Assessment!G2:G23,MATCH("PR.PS*",02_Assessment!C2:C23,0))</f>
        <v>0</v>
      </c>
      <c r="C15" s="13" t="n">
        <v>0</v>
      </c>
      <c r="D15" s="22" t="str">
        <f aca="false">IF(OR(ROW()=15,ROW()=16),IF(B15&lt;=1,"PASS","FAIL"),IF(B15=C15,"PASS","FAIL"))</f>
        <v>PASS</v>
      </c>
    </row>
    <row r="16" customFormat="false" ht="15" hidden="false" customHeight="false" outlineLevel="0" collapsed="false">
      <c r="A16" s="13" t="s">
        <v>453</v>
      </c>
      <c r="B16" s="16" t="n">
        <f aca="false">INDEX(02_Assessment!G2:G23,MATCH("PR.IR*",02_Assessment!C2:C23,0))</f>
        <v>0</v>
      </c>
      <c r="C16" s="13" t="n">
        <v>0</v>
      </c>
      <c r="D16" s="22" t="str">
        <f aca="false">IF(OR(ROW()=15,ROW()=16),IF(B16&lt;=1,"PASS","FAIL"),IF(B16=C16,"PASS","FAIL"))</f>
        <v>PASS</v>
      </c>
    </row>
    <row r="17" customFormat="false" ht="15" hidden="false" customHeight="false" outlineLevel="0" collapsed="false">
      <c r="A17" s="13" t="s">
        <v>454</v>
      </c>
      <c r="B17" s="16" t="n">
        <f aca="false">COUNTIFS(02_Assessment!G2:G23,0,02_Assessment!F2:F23,"*fragment*")</f>
        <v>3</v>
      </c>
      <c r="C17" s="13" t="n">
        <v>3</v>
      </c>
      <c r="D17" s="22" t="str">
        <f aca="false">IF(OR(ROW()=15,ROW()=16),IF(B17&lt;=1,"PASS","FAIL"),IF(B17=C17,"PASS","FAIL"))</f>
        <v>PASS</v>
      </c>
    </row>
    <row r="18" customFormat="false" ht="15" hidden="false" customHeight="false" outlineLevel="0" collapsed="false">
      <c r="A18" s="13" t="s">
        <v>455</v>
      </c>
      <c r="B18" s="16" t="n">
        <f aca="false">COUNTA(04_Roadmap!A2:A19)</f>
        <v>18</v>
      </c>
      <c r="C18" s="13" t="n">
        <v>18</v>
      </c>
      <c r="D18" s="22" t="str">
        <f aca="false">IF(OR(ROW()=15,ROW()=16),IF(B18&lt;=1,"PASS","FAIL"),IF(B18=C18,"PASS","FAIL"))</f>
        <v>PASS</v>
      </c>
    </row>
    <row r="19" customFormat="false" ht="15" hidden="false" customHeight="false" outlineLevel="0" collapsed="false">
      <c r="A19" s="13" t="s">
        <v>456</v>
      </c>
      <c r="B19" s="16" t="n">
        <f aca="false">ROUND(03_Heatmap!C11,2)</f>
        <v>1.23</v>
      </c>
      <c r="C19" s="13" t="n">
        <v>1.23</v>
      </c>
      <c r="D19" s="22" t="str">
        <f aca="false">IF(OR(ROW()=15,ROW()=16),IF(B19&lt;=1,"PASS","FAIL"),IF(B19=C19,"PASS","FAIL"))</f>
        <v>PASS</v>
      </c>
    </row>
    <row r="20" customFormat="false" ht="15" hidden="false" customHeight="false" outlineLevel="0" collapsed="false">
      <c r="A20" s="13" t="s">
        <v>457</v>
      </c>
      <c r="B20" s="16" t="n">
        <f aca="false">ROUND(03_Heatmap!D11,2)</f>
        <v>2.68</v>
      </c>
      <c r="C20" s="13" t="n">
        <v>2.68</v>
      </c>
      <c r="D20" s="22" t="str">
        <f aca="false">IF(OR(ROW()=15,ROW()=16),IF(B20&lt;=1,"PASS","FAIL"),IF(B20=C20,"PASS","FAIL"))</f>
        <v>PASS</v>
      </c>
    </row>
    <row r="22" customFormat="false" ht="15" hidden="false" customHeight="false" outlineLevel="0" collapsed="false">
      <c r="A22" s="14" t="s">
        <v>458</v>
      </c>
    </row>
    <row r="23" customFormat="false" ht="33.75" hidden="false" customHeight="true" outlineLevel="0" collapsed="false">
      <c r="A23" s="12" t="s">
        <v>459</v>
      </c>
      <c r="B23" s="12" t="s">
        <v>460</v>
      </c>
      <c r="C23" s="12" t="s">
        <v>461</v>
      </c>
      <c r="D23" s="12" t="s">
        <v>42</v>
      </c>
      <c r="E23" s="12" t="s">
        <v>462</v>
      </c>
    </row>
    <row r="24" customFormat="false" ht="57.45" hidden="false" customHeight="false" outlineLevel="0" collapsed="false">
      <c r="A24" s="13" t="s">
        <v>463</v>
      </c>
      <c r="B24" s="13" t="s">
        <v>464</v>
      </c>
      <c r="C24" s="13" t="s">
        <v>465</v>
      </c>
      <c r="D24" s="13" t="s">
        <v>466</v>
      </c>
      <c r="E24" s="13" t="s">
        <v>330</v>
      </c>
    </row>
    <row r="25" customFormat="false" ht="91" hidden="false" customHeight="false" outlineLevel="0" collapsed="false">
      <c r="A25" s="13" t="s">
        <v>467</v>
      </c>
      <c r="B25" s="13" t="s">
        <v>468</v>
      </c>
      <c r="C25" s="13" t="s">
        <v>349</v>
      </c>
      <c r="D25" s="13" t="s">
        <v>46</v>
      </c>
      <c r="E25" s="13" t="s">
        <v>469</v>
      </c>
    </row>
    <row r="26" customFormat="false" ht="79.85" hidden="false" customHeight="false" outlineLevel="0" collapsed="false">
      <c r="A26" s="13" t="s">
        <v>470</v>
      </c>
      <c r="B26" s="13" t="s">
        <v>471</v>
      </c>
      <c r="C26" s="13" t="s">
        <v>472</v>
      </c>
      <c r="D26" s="13" t="s">
        <v>473</v>
      </c>
      <c r="E26" s="13" t="s">
        <v>474</v>
      </c>
    </row>
    <row r="27" customFormat="false" ht="79.85" hidden="false" customHeight="false" outlineLevel="0" collapsed="false">
      <c r="A27" s="13" t="s">
        <v>475</v>
      </c>
      <c r="B27" s="13" t="s">
        <v>476</v>
      </c>
      <c r="C27" s="13" t="s">
        <v>364</v>
      </c>
      <c r="D27" s="13" t="s">
        <v>50</v>
      </c>
      <c r="E27" s="13" t="s">
        <v>361</v>
      </c>
    </row>
    <row r="28" customFormat="false" ht="68.65" hidden="false" customHeight="false" outlineLevel="0" collapsed="false">
      <c r="A28" s="13" t="s">
        <v>477</v>
      </c>
      <c r="B28" s="13" t="s">
        <v>478</v>
      </c>
      <c r="C28" s="13" t="s">
        <v>479</v>
      </c>
      <c r="D28" s="13" t="s">
        <v>480</v>
      </c>
      <c r="E28" s="13" t="s">
        <v>481</v>
      </c>
    </row>
  </sheetData>
  <conditionalFormatting sqref="D5:D20">
    <cfRule type="cellIs" priority="2" operator="equal" aboveAverage="0" equalAverage="0" bottom="0" percent="0" rank="0" text="" dxfId="17">
      <formula>"PASS"</formula>
    </cfRule>
    <cfRule type="cellIs" priority="3" operator="equal" aboveAverage="0" equalAverage="0" bottom="0" percent="0" rank="0" text="" dxfId="15">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0"/>
    <col collapsed="false" customWidth="true" hidden="false" outlineLevel="0" max="4" min="4" style="0" width="50"/>
  </cols>
  <sheetData>
    <row r="1" customFormat="false" ht="33.75" hidden="false" customHeight="true" outlineLevel="0" collapsed="false">
      <c r="A1" s="12" t="s">
        <v>482</v>
      </c>
      <c r="B1" s="12" t="s">
        <v>438</v>
      </c>
      <c r="C1" s="12" t="s">
        <v>483</v>
      </c>
      <c r="D1" s="12" t="s">
        <v>484</v>
      </c>
    </row>
    <row r="2" customFormat="false" ht="15" hidden="false" customHeight="false" outlineLevel="0" collapsed="false">
      <c r="A2" s="13" t="n">
        <v>1</v>
      </c>
      <c r="B2" s="13" t="s">
        <v>485</v>
      </c>
      <c r="C2" s="15" t="s">
        <v>486</v>
      </c>
      <c r="D2" s="13"/>
    </row>
    <row r="3" customFormat="false" ht="15" hidden="false" customHeight="false" outlineLevel="0" collapsed="false">
      <c r="A3" s="13" t="n">
        <v>2</v>
      </c>
      <c r="B3" s="13" t="s">
        <v>487</v>
      </c>
      <c r="C3" s="15" t="s">
        <v>486</v>
      </c>
      <c r="D3" s="13"/>
    </row>
    <row r="4" customFormat="false" ht="15" hidden="false" customHeight="false" outlineLevel="0" collapsed="false">
      <c r="A4" s="13" t="n">
        <v>3</v>
      </c>
      <c r="B4" s="13" t="s">
        <v>488</v>
      </c>
      <c r="C4" s="15" t="s">
        <v>486</v>
      </c>
      <c r="D4" s="13"/>
    </row>
    <row r="5" customFormat="false" ht="15" hidden="false" customHeight="false" outlineLevel="0" collapsed="false">
      <c r="A5" s="13" t="n">
        <v>4</v>
      </c>
      <c r="B5" s="13" t="s">
        <v>489</v>
      </c>
      <c r="C5" s="15" t="s">
        <v>486</v>
      </c>
      <c r="D5" s="13"/>
    </row>
    <row r="6" customFormat="false" ht="15" hidden="false" customHeight="false" outlineLevel="0" collapsed="false">
      <c r="A6" s="13" t="n">
        <v>5</v>
      </c>
      <c r="B6" s="13" t="s">
        <v>490</v>
      </c>
      <c r="C6" s="15" t="s">
        <v>486</v>
      </c>
      <c r="D6" s="13"/>
    </row>
    <row r="7" customFormat="false" ht="15" hidden="false" customHeight="false" outlineLevel="0" collapsed="false">
      <c r="A7" s="13" t="n">
        <v>6</v>
      </c>
      <c r="B7" s="13" t="s">
        <v>491</v>
      </c>
      <c r="C7" s="15" t="s">
        <v>486</v>
      </c>
      <c r="D7" s="13"/>
    </row>
    <row r="8" customFormat="false" ht="15" hidden="false" customHeight="false" outlineLevel="0" collapsed="false">
      <c r="A8" s="13" t="n">
        <v>7</v>
      </c>
      <c r="B8" s="13" t="s">
        <v>492</v>
      </c>
      <c r="C8" s="15" t="s">
        <v>486</v>
      </c>
      <c r="D8" s="13"/>
    </row>
    <row r="9" customFormat="false" ht="15" hidden="false" customHeight="false" outlineLevel="0" collapsed="false">
      <c r="A9" s="13" t="n">
        <v>8</v>
      </c>
      <c r="B9" s="13" t="s">
        <v>493</v>
      </c>
      <c r="C9" s="15" t="s">
        <v>486</v>
      </c>
      <c r="D9" s="13"/>
    </row>
    <row r="10" customFormat="false" ht="15" hidden="false" customHeight="false" outlineLevel="0" collapsed="false">
      <c r="A10" s="13" t="n">
        <v>9</v>
      </c>
      <c r="B10" s="13" t="s">
        <v>494</v>
      </c>
      <c r="C10" s="15" t="s">
        <v>486</v>
      </c>
      <c r="D10" s="13"/>
    </row>
    <row r="11" customFormat="false" ht="15" hidden="false" customHeight="false" outlineLevel="0" collapsed="false">
      <c r="A11" s="13" t="n">
        <v>10</v>
      </c>
      <c r="B11" s="13" t="s">
        <v>495</v>
      </c>
      <c r="C11" s="15" t="s">
        <v>486</v>
      </c>
      <c r="D11" s="13"/>
    </row>
    <row r="12" customFormat="false" ht="15" hidden="false" customHeight="false" outlineLevel="0" collapsed="false">
      <c r="A12" s="13" t="n">
        <v>11</v>
      </c>
      <c r="B12" s="13" t="s">
        <v>496</v>
      </c>
      <c r="C12" s="15" t="s">
        <v>486</v>
      </c>
      <c r="D12" s="13"/>
    </row>
    <row r="13" customFormat="false" ht="15" hidden="false" customHeight="false" outlineLevel="0" collapsed="false">
      <c r="A13" s="13" t="n">
        <v>12</v>
      </c>
      <c r="B13" s="13" t="s">
        <v>497</v>
      </c>
      <c r="C13" s="15" t="s">
        <v>486</v>
      </c>
      <c r="D13" s="13"/>
    </row>
    <row r="14" customFormat="false" ht="15" hidden="false" customHeight="false" outlineLevel="0" collapsed="false">
      <c r="A14" s="13" t="n">
        <v>13</v>
      </c>
      <c r="B14" s="13" t="s">
        <v>498</v>
      </c>
      <c r="C14" s="15" t="s">
        <v>486</v>
      </c>
      <c r="D14" s="13"/>
    </row>
    <row r="15" customFormat="false" ht="15" hidden="false" customHeight="false" outlineLevel="0" collapsed="false">
      <c r="A15" s="13" t="n">
        <v>14</v>
      </c>
      <c r="B15" s="13" t="s">
        <v>499</v>
      </c>
      <c r="C15" s="15" t="s">
        <v>486</v>
      </c>
      <c r="D15" s="13"/>
    </row>
  </sheetData>
  <conditionalFormatting sqref="C2:C15">
    <cfRule type="cellIs" priority="2" operator="equal" aboveAverage="0" equalAverage="0" bottom="0" percent="0" rank="0" text="" dxfId="17">
      <formula>"Yes"</formula>
    </cfRule>
    <cfRule type="cellIs" priority="3" operator="equal" aboveAverage="0" equalAverage="0" bottom="0" percent="0" rank="0" text="" dxfId="15">
      <formula>"No"</formula>
    </cfRule>
  </conditionalFormatting>
  <dataValidations count="1">
    <dataValidation allowBlank="true" error="Pick a value from the dropdown." errorStyle="stop" errorTitle="Use a listed value" operator="between" showDropDown="false" showErrorMessage="true" showInputMessage="false" sqref="C2:C1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2026-10-13T14:22:46Z</dcterms:created>
  <dc:creator>openpyxl</dc:creator>
  <dc:description/>
  <dc:language>en-US</dc:language>
  <cp:lastModifiedBy/>
  <dcterms:modified xsi:type="dcterms:W3CDTF">2026-10-13T14:22:46Z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