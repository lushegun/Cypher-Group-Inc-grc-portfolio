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ME" sheetId="1" state="visible" r:id="rId3"/>
    <sheet name="01_Scope" sheetId="2" state="visible" r:id="rId4"/>
    <sheet name="02_SoA" sheetId="3" state="visible" r:id="rId5"/>
    <sheet name="03_SoA_Summary" sheetId="4" state="visible" r:id="rId6"/>
    <sheet name="04_Clauses" sheetId="5" state="visible" r:id="rId7"/>
    <sheet name="05_DocInfo" sheetId="6" state="visible" r:id="rId8"/>
    <sheet name="06_Readiness" sheetId="7" state="visible" r:id="rId9"/>
    <sheet name="07_Roadmap" sheetId="8" state="visible" r:id="rId10"/>
    <sheet name="08_REC_Reconciliation" sheetId="9" state="visible" r:id="rId11"/>
    <sheet name="09_GAP_Impact" sheetId="10" state="visible" r:id="rId12"/>
    <sheet name="10_Assumptions" sheetId="11" state="visible" r:id="rId13"/>
    <sheet name="11_Issue_Checklist" sheetId="12" state="visible" r:id="rId14"/>
    <sheet name="12_Lists" sheetId="13" state="visible" r:id="rId15"/>
  </sheets>
  <definedNames>
    <definedName function="false" hidden="true" localSheetId="2" name="_xlnm._FilterDatabase" vbProcedure="false">02_SoA!$A$4:$W$97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<sst xmlns="http://schemas.openxmlformats.org/spreadsheetml/2006/main" count="2673" uniqueCount="1312">
  <si>
    <t xml:space="preserve">CGI-ISO-001 — ISO/IEC 27001:2022 Readiness Assessment &amp; Statement of Applicability</t>
  </si>
  <si>
    <t xml:space="preserve">SIMULATED CASE STUDY - Cypher Group Inc. is a simulated company. CGI-ISO-001 v1.0, 16 Sep 2026. Prepared by O.S; for approval by Jerry Olugboye.</t>
  </si>
  <si>
    <t xml:space="preserve">Item</t>
  </si>
  <si>
    <t xml:space="preserve">Detail</t>
  </si>
  <si>
    <t xml:space="preserve">Purpose</t>
  </si>
  <si>
    <t xml:space="preserve">Readiness assessment and 93-control Statement of Applicability for Cypher Group Inc., tracing every control to CGI-RSK-001 v1.1, CGI-GAP-001 and CGI-TPR-001.</t>
  </si>
  <si>
    <t xml:space="preserve">Case-study notice</t>
  </si>
  <si>
    <t xml:space="preserve">All organisations, people, findings, scores, dates and costs are invented for a portfolio. Real product names are stand-ins; any assurance status attributed to them is invented. ISO wording is paraphrased.</t>
  </si>
  <si>
    <t xml:space="preserve">Sheets</t>
  </si>
  <si>
    <t xml:space="preserve">01_Scope · 02_SoA · 03_SoA_Summary · 04_Clauses · 05_DocInfo · 06_Readiness · 07_Roadmap · 08_REC_Reconciliation · 09_GAP_Impact · 10_Assumptions · 11_Issue_Checklist · 12_Lists</t>
  </si>
  <si>
    <t xml:space="preserve">How status works</t>
  </si>
  <si>
    <t xml:space="preserve">02_SoA column N (maturity 0-4, yellow) drives column F (status, grey formula): 0 = Not started; 1-2 = Partial; 3-4 = Implemented; Applicable = N gives N/A - excluded. Column S checks maturity is not above the highest related CGI-GAP-001 Category score (09_GAP_Impact).</t>
  </si>
  <si>
    <t xml:space="preserve">How the score works</t>
  </si>
  <si>
    <t xml:space="preserve">06_Readiness: 0.6 x clause score (04_Clauses) + 0.4 x Annex A score (03_SoA_Summary). Any failed gate (04_Clauses column K) forces NO-GO.</t>
  </si>
  <si>
    <t xml:space="preserve">Colour legend - yellow</t>
  </si>
  <si>
    <t xml:space="preserve">Input you may change (maturity, applicability, clause scores, weights, costs, document status)</t>
  </si>
  <si>
    <t xml:space="preserve">Colour legend - grey</t>
  </si>
  <si>
    <t xml:space="preserve">Formula - do not overwrite</t>
  </si>
  <si>
    <t xml:space="preserve">Colour legend - green</t>
  </si>
  <si>
    <t xml:space="preserve">Pass / met / implemented / worked example</t>
  </si>
  <si>
    <t xml:space="preserve">Colour legend - red</t>
  </si>
  <si>
    <t xml:space="preserve">Fail / absent / not started / zero</t>
  </si>
  <si>
    <t xml:space="preserve">Colour legend - amber</t>
  </si>
  <si>
    <t xml:space="preserve">Partial / condition</t>
  </si>
  <si>
    <t xml:space="preserve">GitHub upload</t>
  </si>
  <si>
    <t xml:space="preserve">Folder 05-iso27001-readiness-soa/ : this workbook, the .md, the .csv and data/*.csv. Create folders by typing the path in the file-name box (for example 05-iso27001-readiness-soa/data/05-clause-readiness.csv).</t>
  </si>
  <si>
    <t xml:space="preserve">Notion upload</t>
  </si>
  <si>
    <t xml:space="preserve">Import the CSVs, not this workbook: Settings &gt; Import &gt; CSV. Set Theme, Applicable, Status and Owner to Select; Maturity to Number.</t>
  </si>
  <si>
    <t xml:space="preserve">Verification</t>
  </si>
  <si>
    <t xml:space="preserve">Recalculated in LibreOffice before delivery with zero formula errors; counts cross-checked in code (see 11_Issue_Checklist).</t>
  </si>
  <si>
    <t xml:space="preserve">ISMS scope statement and boundary</t>
  </si>
  <si>
    <t xml:space="preserve">Certificate wording</t>
  </si>
  <si>
    <t xml:space="preserve">The information security management system supporting the development, operation, hosting and support of the Cypher Group Inc. cloud-based project-management software-as-a-service platform provided to business customers, including the people, processes and technology at its head office [address per assumption ISO-A01] and in its third-party cloud hosting environment, in accordance with the Statement of Applicability version 1.0.</t>
  </si>
  <si>
    <t xml:space="preserve">Dimension</t>
  </si>
  <si>
    <t xml:space="preserve">In scope</t>
  </si>
  <si>
    <t xml:space="preserve">Out of scope, and why</t>
  </si>
  <si>
    <t xml:space="preserve">Organisation</t>
  </si>
  <si>
    <t xml:space="preserve">All 50 employees and all six functions</t>
  </si>
  <si>
    <t xml:space="preserve">Nothing - at 50 people every function touches customer or platform data</t>
  </si>
  <si>
    <t xml:space="preserve">Locations</t>
  </si>
  <si>
    <t xml:space="preserve">Head office (ISO-A01); remote and home working under CGI-POL-001 section 4.4</t>
  </si>
  <si>
    <t xml:space="preserve">No data centre operated; production physical controls are AWS's, assured through A.5.23</t>
  </si>
  <si>
    <t xml:space="preserve">Technology</t>
  </si>
  <si>
    <t xml:space="preserve">AWS production (eu-central-1; backups us-east-1); GitHub; Google Workspace (IdP); Slack; Auth0; Datadog; Stripe integration; BYOD endpoints accessing company data</t>
  </si>
  <si>
    <t xml:space="preserve">Vendors' internal controls - managed as interfaces through A.5.19-A.5.23 and CGI-TPR-001</t>
  </si>
  <si>
    <t xml:space="preserve">Information</t>
  </si>
  <si>
    <t xml:space="preserve">Customer account data and project content (~200 customers); payment metadata; internal documents; employee data; limited personal data</t>
  </si>
  <si>
    <t xml:space="preserve">Cardholder numbers - none held (CGI-POL-004 section 4.1.4, AVD-001)</t>
  </si>
  <si>
    <t xml:space="preserve">Processes</t>
  </si>
  <si>
    <t xml:space="preserve">CGI-POL-001 to -005, CGI-RSK-001, CGI-TPR-001, CGI-ISO-001</t>
  </si>
  <si>
    <t xml:space="preserve">None</t>
  </si>
  <si>
    <t xml:space="preserve">Interfaces (4.3 c)</t>
  </si>
  <si>
    <t xml:space="preserve">17 vendors CGI-VEN-001 to -017 (Tier 1/2/3 = 7/6/4); AWS shared-responsibility boundary (ISO-02)</t>
  </si>
  <si>
    <t xml:space="preserve">-</t>
  </si>
  <si>
    <t xml:space="preserve">Statement of Applicability - all 93 Annex A controls</t>
  </si>
  <si>
    <t xml:space="preserve">Columns A-L are the mandated SoA columns in the required order; M onward are governance columns.</t>
  </si>
  <si>
    <t xml:space="preserve">Control</t>
  </si>
  <si>
    <t xml:space="preserve">Title</t>
  </si>
  <si>
    <t xml:space="preserve">Theme</t>
  </si>
  <si>
    <t xml:space="preserve">Applicable Y/N</t>
  </si>
  <si>
    <t xml:space="preserve">Justification for inclusion or exclusion</t>
  </si>
  <si>
    <t xml:space="preserve">Implementation status</t>
  </si>
  <si>
    <t xml:space="preserve">Evidence held or required</t>
  </si>
  <si>
    <t xml:space="preserve">Owner (job title)</t>
  </si>
  <si>
    <t xml:space="preserve">Related CGI-RSK-001 v1.1 risk ID</t>
  </si>
  <si>
    <t xml:space="preserve">Related CGI-GAP-001 Category</t>
  </si>
  <si>
    <t xml:space="preserve">Related CGI-TPR-001 finding</t>
  </si>
  <si>
    <t xml:space="preserve">Target date</t>
  </si>
  <si>
    <t xml:space="preserve">Basis for inclusion</t>
  </si>
  <si>
    <t xml:space="preserve">Control maturity (0-4)</t>
  </si>
  <si>
    <t xml:space="preserve">In CGI-GAP-001 mapping (Y/N)</t>
  </si>
  <si>
    <t xml:space="preserve">CGI-GAP-001 mapped under</t>
  </si>
  <si>
    <t xml:space="preserve">Roadmap link</t>
  </si>
  <si>
    <t xml:space="preserve">Status points (Annex A score)</t>
  </si>
  <si>
    <t xml:space="preserve">Maturity consistency check</t>
  </si>
  <si>
    <t xml:space="preserve">Related Cat 1</t>
  </si>
  <si>
    <t xml:space="preserve">Related Cat 2</t>
  </si>
  <si>
    <t xml:space="preserve">Related Cat 3</t>
  </si>
  <si>
    <t xml:space="preserve">Max related Category score</t>
  </si>
  <si>
    <t xml:space="preserve">A.5.1</t>
  </si>
  <si>
    <t xml:space="preserve">Policies for information security</t>
  </si>
  <si>
    <t xml:space="preserve">Organizational</t>
  </si>
  <si>
    <t xml:space="preserve">Y</t>
  </si>
  <si>
    <t xml:space="preserve">Required by every register risk that relies on a written rule. Five topic-specific policies are approved (GV.PO = 2) but there is no top-level ISMS policy, 40% of staff have not acknowledged the pack and no annual review has run.</t>
  </si>
  <si>
    <t xml:space="preserve">Held: CGI-POL-001 to -005 v1.0 approved; CGI-TRK-001 (60% acknowledged). Required: CEO-approved ISMS policy; first annual review record; 100% acknowledgement.</t>
  </si>
  <si>
    <t xml:space="preserve">Chief Executive Officer</t>
  </si>
  <si>
    <t xml:space="preserve">R-001; R-002</t>
  </si>
  <si>
    <t xml:space="preserve">GV.PO; GV.OC; GV.RM</t>
  </si>
  <si>
    <t xml:space="preserve">31 Oct 2026</t>
  </si>
  <si>
    <t xml:space="preserve">Risk + Maturity gap</t>
  </si>
  <si>
    <t xml:space="preserve">GV.OC; GV.RM; GV.PO</t>
  </si>
  <si>
    <t xml:space="preserve">ISO-03; REC-04</t>
  </si>
  <si>
    <t xml:space="preserve">GV.PO</t>
  </si>
  <si>
    <t xml:space="preserve">GV.OC</t>
  </si>
  <si>
    <t xml:space="preserve">GV.RM</t>
  </si>
  <si>
    <t xml:space="preserve">A.5.2</t>
  </si>
  <si>
    <t xml:space="preserve">Information security roles and responsibilities</t>
  </si>
  <si>
    <t xml:space="preserve">Accountability exists per document (GV.RR = 2) and CGI-POL-005 section 4 names response roles, but no ISMS role, security programme lead or RACI across the controls exists.</t>
  </si>
  <si>
    <t xml:space="preserve">Held: document control blocks; CGI-POL-005 section 4 roles; CGI-TPR-001 RACI. Required: ISMS RACI covering this SoA; written assignment of the security programme lead.</t>
  </si>
  <si>
    <t xml:space="preserve">R-003</t>
  </si>
  <si>
    <t xml:space="preserve">GV.RR</t>
  </si>
  <si>
    <t xml:space="preserve">ISO-04</t>
  </si>
  <si>
    <t xml:space="preserve">A.5.3</t>
  </si>
  <si>
    <t xml:space="preserve">Segregation of duties</t>
  </si>
  <si>
    <t xml:space="preserve">Policy approval is segregated (CGI-POL-002 approver moved to the CEO), but engineers can commit straight to production with no second person, which is the code-path duty conflict behind R-004.</t>
  </si>
  <si>
    <t xml:space="preserve">Held: CGI-POL-002 approval record. Required: segregation-of-duties matrix; GitHub branch protection requiring a second reviewer.</t>
  </si>
  <si>
    <t xml:space="preserve">Chief Technology Officer</t>
  </si>
  <si>
    <t xml:space="preserve">R-004; R-003</t>
  </si>
  <si>
    <t xml:space="preserve">31 Mar 2027</t>
  </si>
  <si>
    <t xml:space="preserve">REC-06</t>
  </si>
  <si>
    <t xml:space="preserve">A.5.4</t>
  </si>
  <si>
    <t xml:space="preserve">Management responsibilities</t>
  </si>
  <si>
    <t xml:space="preserve">Management must require staff to apply policy. CGI-TRK-001 shows 60% acknowledgement, so roughly 20 staff are bound by rules they have not read (GAP-004).</t>
  </si>
  <si>
    <t xml:space="preserve">Held: CGI-TRK-001. Required: onboarding acknowledgement gate; CEO communication requiring compliance.</t>
  </si>
  <si>
    <t xml:space="preserve">GV.RR; GV.RM; GV.OC</t>
  </si>
  <si>
    <t xml:space="preserve">31 Dec 2026</t>
  </si>
  <si>
    <t xml:space="preserve">GV.OC; GV.RM; GV.RR</t>
  </si>
  <si>
    <t xml:space="preserve">REC-04</t>
  </si>
  <si>
    <t xml:space="preserve">A.5.5</t>
  </si>
  <si>
    <t xml:space="preserve">Contact with authorities</t>
  </si>
  <si>
    <t xml:space="preserve">CGI-POL-005 section 5.6.3 commits to the GDPR 72-hour notification, but no lead supervisory authority or contact route is recorded (GAP-019), and F-002 shows the clock can start outside CGI's control.</t>
  </si>
  <si>
    <t xml:space="preserve">Held: CGI-POL-005 section 5.6.3. Required: authority contact register (supervisory authority, national CSIRT, police cyber unit).</t>
  </si>
  <si>
    <t xml:space="preserve">Head of Customer Success</t>
  </si>
  <si>
    <t xml:space="preserve">VR-004; R-005; R-003</t>
  </si>
  <si>
    <t xml:space="preserve">RS.CO; RC.CO</t>
  </si>
  <si>
    <t xml:space="preserve">F-002 (no vendor breach-notification clause)</t>
  </si>
  <si>
    <t xml:space="preserve">Risk + Maturity gap + Vendor finding</t>
  </si>
  <si>
    <t xml:space="preserve">ISO-01; REC-14</t>
  </si>
  <si>
    <t xml:space="preserve">RS.CO</t>
  </si>
  <si>
    <t xml:space="preserve">RC.CO</t>
  </si>
  <si>
    <t xml:space="preserve">A.5.6</t>
  </si>
  <si>
    <t xml:space="preserve">Contact with special interest groups</t>
  </si>
  <si>
    <t xml:space="preserve">Mapped by CGI-GAP-001 to RS.CO and RC.CO. No membership of any security community exists; also the practical feed for A.5.7.</t>
  </si>
  <si>
    <t xml:space="preserve">Held: none. Required: record of at least one membership (for example a national CERT advisory list or an OWASP chapter).</t>
  </si>
  <si>
    <t xml:space="preserve">30 Jun 2027</t>
  </si>
  <si>
    <t xml:space="preserve">Maturity gap</t>
  </si>
  <si>
    <t xml:space="preserve">REC-12</t>
  </si>
  <si>
    <t xml:space="preserve">A.5.7</t>
  </si>
  <si>
    <t xml:space="preserve">Threat intelligence</t>
  </si>
  <si>
    <t xml:space="preserve">ID.RA = 3 describes the register method, not threat intelligence. The register's coverage rests on workshop judgement with no technical or threat input (CG-02), so this control is Not started.</t>
  </si>
  <si>
    <t xml:space="preserve">Held: none. Required: named intelligence sources, a monthly review record and evidence that findings fed CGI-RSK-001.</t>
  </si>
  <si>
    <t xml:space="preserve">R-001; R-002; R-004</t>
  </si>
  <si>
    <t xml:space="preserve">ID.RA; PR.PS</t>
  </si>
  <si>
    <t xml:space="preserve">ID.RA</t>
  </si>
  <si>
    <t xml:space="preserve">REC-08</t>
  </si>
  <si>
    <t xml:space="preserve">PR.PS</t>
  </si>
  <si>
    <t xml:space="preserve">A.5.8</t>
  </si>
  <si>
    <t xml:space="preserve">Information security in project management</t>
  </si>
  <si>
    <t xml:space="preserve">Missed by CGI-GAP-001. Features reach production with no security requirement step (R-004), and two AI tools entered the business with no project review (VR-005).</t>
  </si>
  <si>
    <t xml:space="preserve">Held: none. Required: security requirements gate in CGI-POL-007; project intake checklist.</t>
  </si>
  <si>
    <t xml:space="preserve">R-004; VR-005</t>
  </si>
  <si>
    <t xml:space="preserve">CGI-VEN-012 and -013 adopted outside any project or procurement review</t>
  </si>
  <si>
    <t xml:space="preserve">N</t>
  </si>
  <si>
    <t xml:space="preserve">A.5.9</t>
  </si>
  <si>
    <t xml:space="preserve">Inventory of information and other associated assets</t>
  </si>
  <si>
    <t xml:space="preserve">ID.AM = 1. The CGI-TPR-001 vendor inventory is one input; no inventory of AWS data stores, repositories, drives or endpoints exists.</t>
  </si>
  <si>
    <t xml:space="preserve">Held: CGI-TPR-001 vendor inventory (17 rows). Required: asset and SaaS inventory with owner and CGI-POL-004 label per asset.</t>
  </si>
  <si>
    <t xml:space="preserve">IT Operations Manager</t>
  </si>
  <si>
    <t xml:space="preserve">R-003; R-005</t>
  </si>
  <si>
    <t xml:space="preserve">ID.AM</t>
  </si>
  <si>
    <t xml:space="preserve">17-vendor inventory (input only - not an asset inventory)</t>
  </si>
  <si>
    <t xml:space="preserve">REC-05</t>
  </si>
  <si>
    <t xml:space="preserve">A.5.10</t>
  </si>
  <si>
    <t xml:space="preserve">Acceptable use of information and other associated assets</t>
  </si>
  <si>
    <t xml:space="preserve">CGI-POL-001 is approved, including section 4.5 on AI use, but 40% of staff have not acknowledged it and Otter.ai shows it being bypassed (VR-006).</t>
  </si>
  <si>
    <t xml:space="preserve">Held: CGI-POL-001 v1.0. Required: 100% acknowledgement; AI-use briefing record.</t>
  </si>
  <si>
    <t xml:space="preserve">Head of People and Operations</t>
  </si>
  <si>
    <t xml:space="preserve">R-001; R-003; VR-006</t>
  </si>
  <si>
    <t xml:space="preserve">ID.AM; GV.PO</t>
  </si>
  <si>
    <t xml:space="preserve">CGI-VEN-012 Otter.ai used in breach of CGI-POL-001 section 4.5</t>
  </si>
  <si>
    <t xml:space="preserve">A.5.11</t>
  </si>
  <si>
    <t xml:space="preserve">Return of assets</t>
  </si>
  <si>
    <t xml:space="preserve">Missed by CGI-GAP-001. The rule is written: CGI-POL-001 section 4.11 requires devices, access cards and printed material back within five business days, and CGI-POL-003 section 4.5.9 requires a completed offboarding checklist for every leaver. Neither has been evidenced, and neither reaches company data held on BYOD devices or in non-federated vendor accounts.</t>
  </si>
  <si>
    <t xml:space="preserve">Held: CGI-POL-001 section 4.11; CGI-POL-003 sections 4.5.2 and 4.5.9. Required: completed offboarding checklists covering asset and data return and every non-federated vendor (CGI-TPR-001 Gate C).</t>
  </si>
  <si>
    <t xml:space="preserve">R-003; VR-008</t>
  </si>
  <si>
    <t xml:space="preserve">PR.AA</t>
  </si>
  <si>
    <t xml:space="preserve">F-003 (no SCIM on Slack; leaver removal manual)</t>
  </si>
  <si>
    <t xml:space="preserve">ISO-11; REC-02</t>
  </si>
  <si>
    <t xml:space="preserve">A.5.12</t>
  </si>
  <si>
    <t xml:space="preserve">Classification of information</t>
  </si>
  <si>
    <t xml:space="preserve">CGI-POL-004 defines four tiers (confirmed, VA-01), but the scheme has not been applied to any asset (ID.AM = 1).</t>
  </si>
  <si>
    <t xml:space="preserve">Held: CGI-POL-004 v1.0. Required: classification recorded against every inventory entry; approved section 4.2 amendment.</t>
  </si>
  <si>
    <t xml:space="preserve">ID.AM; PR.DS</t>
  </si>
  <si>
    <t xml:space="preserve">CGI-POL-004 section 4.2 named no third-party destinations (CGI-TPR-001 section 1.1)</t>
  </si>
  <si>
    <t xml:space="preserve">PR.DS</t>
  </si>
  <si>
    <t xml:space="preserve">A.5.13</t>
  </si>
  <si>
    <t xml:space="preserve">Labelling of information</t>
  </si>
  <si>
    <t xml:space="preserve">No asset carries a classification label, so the Handling Matrix cannot be enforced (GAP-007).</t>
  </si>
  <si>
    <t xml:space="preserve">Held: labelling rules in CGI-POL-004. Required: labels applied in Google Workspace, repositories and data stores.</t>
  </si>
  <si>
    <t xml:space="preserve">A.5.14</t>
  </si>
  <si>
    <t xml:space="preserve">Information transfer</t>
  </si>
  <si>
    <t xml:space="preserve">The CGI-POL-004 Handling Matrix governs transfer, but it named no permitted third-party destinations until the CGI-TPR-001 amendment, which is still awaiting approval.</t>
  </si>
  <si>
    <t xml:space="preserve">Held: CGI-POL-004 section 4.2. Required: CTO-approved amendment listing permitted destinations by classification.</t>
  </si>
  <si>
    <t xml:space="preserve">R-003; VR-001; VR-003; VR-006</t>
  </si>
  <si>
    <t xml:space="preserve">F-001; F-004; CGI-POL-004 section 4.2 named no third-party destinations</t>
  </si>
  <si>
    <t xml:space="preserve">ISO-09</t>
  </si>
  <si>
    <t xml:space="preserve">A.5.15</t>
  </si>
  <si>
    <t xml:space="preserve">Access control</t>
  </si>
  <si>
    <t xml:space="preserve">CGI-POL-003 is an approved access control policy (PR.AA = 2). It has never been evidenced operating, and the four-hour SLA cannot be met on non-federated vendors.</t>
  </si>
  <si>
    <t xml:space="preserve">Held: CGI-POL-003 v1.0. Required: first quarterly review record; SSO coverage list.</t>
  </si>
  <si>
    <t xml:space="preserve">R-001; R-003; VR-008</t>
  </si>
  <si>
    <t xml:space="preserve">F-003</t>
  </si>
  <si>
    <t xml:space="preserve">REC-02</t>
  </si>
  <si>
    <t xml:space="preserve">A.5.16</t>
  </si>
  <si>
    <t xml:space="preserve">Identity management</t>
  </si>
  <si>
    <t xml:space="preserve">Google Workspace is the identity provider (VRA addendum step 3), but Slack, Notion, Grammarly and Miro are not federated, so identity lifecycle is incomplete.</t>
  </si>
  <si>
    <t xml:space="preserve">Held: CGI-POL-003 JML process. Required: SSO/SCIM on Tier 1 vendors (Slack by 15 Nov 2026); KRI-V5 at 100%.</t>
  </si>
  <si>
    <t xml:space="preserve">F-003; KRI-V5</t>
  </si>
  <si>
    <t xml:space="preserve">REC-01; VRA-2026-002 R3</t>
  </si>
  <si>
    <t xml:space="preserve">A.5.17</t>
  </si>
  <si>
    <t xml:space="preserve">Authentication information</t>
  </si>
  <si>
    <t xml:space="preserve">CGI-POL-002 sections 4.3 and 4.5 are strong, but MFA enrolment is 80% and ACC-001 still accepts SMS until 03 Mar 2027.</t>
  </si>
  <si>
    <t xml:space="preserve">Held: CGI-POL-002; CGI-TRK-001 (80% MFA); ACC-001. Required: 100% enrolment report; ACC-001 retired.</t>
  </si>
  <si>
    <t xml:space="preserve">R-001</t>
  </si>
  <si>
    <t xml:space="preserve">F-010 (root-account MFA CUEC unaccepted)</t>
  </si>
  <si>
    <t xml:space="preserve">REC-01</t>
  </si>
  <si>
    <t xml:space="preserve">A.5.18</t>
  </si>
  <si>
    <t xml:space="preserve">Access rights</t>
  </si>
  <si>
    <t xml:space="preserve">The CGI-POL-003 section 4.7.1 quarterly privileged review is mandated but has never run; the AWS report assumes CGI performs this review (CUEC).</t>
  </si>
  <si>
    <t xml:space="preserve">Held: CGI-POL-003 section 4.7.1. Required: dated, signed quarterly review records (four by Stage 2).</t>
  </si>
  <si>
    <t xml:space="preserve">R-003; R-005; VR-008</t>
  </si>
  <si>
    <t xml:space="preserve">F-010 (least-privilege review CUEC); F-003</t>
  </si>
  <si>
    <t xml:space="preserve">REC-02; VRA-2026-001 C1</t>
  </si>
  <si>
    <t xml:space="preserve">A.5.19</t>
  </si>
  <si>
    <t xml:space="preserve">Information security in supplier relationships</t>
  </si>
  <si>
    <t xml:space="preserve">CGI-TPR-001 is the supplier process, so GV.SC = 2 (designed, owned, communicated). It is not 3: no review cycle has run on cadence, and the first Tier 1 re-reviews fall due Sep 2027.</t>
  </si>
  <si>
    <t xml:space="preserve">Held: CGI-TPR-001 v1.0; VRA-2026-001/-002/-003. Required for Implemented: seven Tier 1 review records; four quarterly shadow-IT reconciliations; KRI reports.</t>
  </si>
  <si>
    <t xml:space="preserve">VR-001; VR-002; VR-003; VR-004; VR-005; VR-006; VR-007; VR-008; VR-009; R-005</t>
  </si>
  <si>
    <t xml:space="preserve">GV.SC</t>
  </si>
  <si>
    <t xml:space="preserve">Estate 17 vendors vs 5 known; 2 AI tools found only through expense claims, with no company contract; 4 of 17 with no assurance artifact</t>
  </si>
  <si>
    <t xml:space="preserve">30 Sep 2027</t>
  </si>
  <si>
    <t xml:space="preserve">REC-15 (delivered)</t>
  </si>
  <si>
    <t xml:space="preserve">A.5.20</t>
  </si>
  <si>
    <t xml:space="preserve">Addressing information security within supplier agreements</t>
  </si>
  <si>
    <t xml:space="preserve">The 18-clause checklist and Gate B (no DPA, no onboarding) are designed. 6 of 17 vendors still have no executed DPA, which is a live GDPR Article 28 gap and a likely Stage 2 finding if still open.</t>
  </si>
  <si>
    <t xml:space="preserve">Held: CGI-TPR-001 section 7.4 checklist; 11 executed DPAs. Required: six outstanding DPAs executed; KRI-V1 at 100%.</t>
  </si>
  <si>
    <t xml:space="preserve">VR-001; VR-004; VR-006; VR-007</t>
  </si>
  <si>
    <t xml:space="preserve">F-001; F-002; F-004; F-005; F-009 (no audit right - accepted); KRI-V1 = 65% (6 of 17 vendors with no DPA)</t>
  </si>
  <si>
    <t xml:space="preserve">ISO-09; VRA-2026-002 R1-R2</t>
  </si>
  <si>
    <t xml:space="preserve">A.5.21</t>
  </si>
  <si>
    <t xml:space="preserve">Managing information security in the ICT supply chain</t>
  </si>
  <si>
    <t xml:space="preserve">Questionnaire domain 7 and clauses 4-5 design the ICT supply-chain control, but fourth parties behind carve-out reports have never been reconciled.</t>
  </si>
  <si>
    <t xml:space="preserve">Held: CGI-TPR-002 VQ-33 to VQ-36. Required: CSOC reconciliation records for AWS and Slack.</t>
  </si>
  <si>
    <t xml:space="preserve">VR-003; VR-004</t>
  </si>
  <si>
    <t xml:space="preserve">F-007; F-011 (CSOC lists never reconciled)</t>
  </si>
  <si>
    <t xml:space="preserve">VRA-2026-001 C2; VRA-2026-002 R6</t>
  </si>
  <si>
    <t xml:space="preserve">A.5.22</t>
  </si>
  <si>
    <t xml:space="preserve">Monitoring, review and change management of supplier services</t>
  </si>
  <si>
    <t xml:space="preserve">Review cadence is defined (12/18/24 months) and clause 9 treats assurance decay, but zero scheduled reviews have run and no change feed is monitored.</t>
  </si>
  <si>
    <t xml:space="preserve">Held: CGI-TPR-001 tiering model and KRIs. Required: dated review records; sub-processor change-feed subscriptions.</t>
  </si>
  <si>
    <t xml:space="preserve">VR-003; VR-009</t>
  </si>
  <si>
    <t xml:space="preserve">F-006 (stale Slack SOC 2); F-012 (sub-processor feed not subscribed)</t>
  </si>
  <si>
    <t xml:space="preserve">VRA-2026-001 C2; REC-15</t>
  </si>
  <si>
    <t xml:space="preserve">A.5.23</t>
  </si>
  <si>
    <t xml:space="preserve">Information security for use of cloud services</t>
  </si>
  <si>
    <t xml:space="preserve">Cloud acquisition is covered by CGI-TPR-001, but there is no cloud-specific process, no documented shared-responsibility boundary and no tested exit, and the four CUECs are unaccepted, so the AWS opinion does not yet cover CGI's use.</t>
  </si>
  <si>
    <t xml:space="preserve">Held: VRA-2026-001. Required: signed CUEC acceptance (C1); shared-responsibility statement; exit plan for Tier 1 cloud vendors (KRI-V7).</t>
  </si>
  <si>
    <t xml:space="preserve">R-005; VR-002; VR-004; VR-007</t>
  </si>
  <si>
    <t xml:space="preserve">GV.SC; PR.IR</t>
  </si>
  <si>
    <t xml:space="preserve">VRA-2026-001 AWS PASS WITH CONDITIONS (F-010 to F-013; all four conditions are CGI's)</t>
  </si>
  <si>
    <t xml:space="preserve">15 Dec 2026</t>
  </si>
  <si>
    <t xml:space="preserve">ISO-02; VRA-2026-001 C1-C4</t>
  </si>
  <si>
    <t xml:space="preserve">PR.IR</t>
  </si>
  <si>
    <t xml:space="preserve">A.5.24</t>
  </si>
  <si>
    <t xml:space="preserve">Information security incident management planning and preparation</t>
  </si>
  <si>
    <t xml:space="preserve">CGI-POL-005 is an approved plan with SEV1-SEV4, roles and targets (RS.MA = 2), but it has never been exercised and names no out-of-band channel.</t>
  </si>
  <si>
    <t xml:space="preserve">Held: CGI-POL-005 v1.0. Required: tabletop record; vendor incident contacts; out-of-band channel.</t>
  </si>
  <si>
    <t xml:space="preserve">R-002; R-005; VR-004</t>
  </si>
  <si>
    <t xml:space="preserve">RS.MA; RS.CO</t>
  </si>
  <si>
    <t xml:space="preserve">F-002; VR-002 (out-of-band incident channel needed)</t>
  </si>
  <si>
    <t xml:space="preserve">RS.MA</t>
  </si>
  <si>
    <t xml:space="preserve">A.5.25</t>
  </si>
  <si>
    <t xml:space="preserve">Assessment and decision on information security events</t>
  </si>
  <si>
    <t xml:space="preserve">SEV bands exist, but with no telemetry and no alert-to-incident escalation, there is nothing to assess (DE.AE = 1).</t>
  </si>
  <si>
    <t xml:space="preserve">Held: CGI-POL-005 SEV definitions. Required: written triage and escalation path; sample triage tickets.</t>
  </si>
  <si>
    <t xml:space="preserve">R-001; R-003</t>
  </si>
  <si>
    <t xml:space="preserve">DE.AE</t>
  </si>
  <si>
    <t xml:space="preserve">REC-07</t>
  </si>
  <si>
    <t xml:space="preserve">A.5.26</t>
  </si>
  <si>
    <t xml:space="preserve">Response to information security incidents</t>
  </si>
  <si>
    <t xml:space="preserve">The CGI-POL-005 section 5.5 response stages are written, but no containment runbooks exist and no response has ever been performed or rehearsed.</t>
  </si>
  <si>
    <t xml:space="preserve">Held: CGI-POL-005 section 5.5. Required: runbooks for the top three scenarios; exercise record.</t>
  </si>
  <si>
    <t xml:space="preserve">R-001; R-002; R-005; VR-004</t>
  </si>
  <si>
    <t xml:space="preserve">RS.MA; RS.MI</t>
  </si>
  <si>
    <t xml:space="preserve">F-002; F-008</t>
  </si>
  <si>
    <t xml:space="preserve">RS.MI</t>
  </si>
  <si>
    <t xml:space="preserve">A.5.27</t>
  </si>
  <si>
    <t xml:space="preserve">Learning from information security incidents</t>
  </si>
  <si>
    <t xml:space="preserve">The CGI-POL-005 sections 5.7 and 7.2 reviews and tabletop are written but have never run (ID.IM = 1).</t>
  </si>
  <si>
    <t xml:space="preserve">Held: CGI-POL-005 sections 5.7 and 7.2. Required: lessons-learned record from the first tabletop.</t>
  </si>
  <si>
    <t xml:space="preserve">R-002</t>
  </si>
  <si>
    <t xml:space="preserve">ID.IM; RS.AN</t>
  </si>
  <si>
    <t xml:space="preserve">ID.IM</t>
  </si>
  <si>
    <t xml:space="preserve">RS.AN</t>
  </si>
  <si>
    <t xml:space="preserve">A.5.28</t>
  </si>
  <si>
    <t xml:space="preserve">Collection of evidence</t>
  </si>
  <si>
    <t xml:space="preserve">CGI-POL-005 section 5.3.2 forbids deleting evidence, but no collection or chain-of-custody procedure or log retention standard sits beneath it.</t>
  </si>
  <si>
    <t xml:space="preserve">Held: CGI-POL-005 sections 5.3.2 and 5.7.3. Required: evidence-handling procedure; 12-month log retention standard.</t>
  </si>
  <si>
    <t xml:space="preserve">R-003; R-004; VR-004</t>
  </si>
  <si>
    <t xml:space="preserve">F-008 (no customer-accessible Slack audit log)</t>
  </si>
  <si>
    <t xml:space="preserve">A.5.29</t>
  </si>
  <si>
    <t xml:space="preserve">Information security during disruption</t>
  </si>
  <si>
    <t xml:space="preserve">There is no plan for maintaining security during disruption. Concentration means one AWS regional failure also removes monitoring, ticketing and runbooks.</t>
  </si>
  <si>
    <t xml:space="preserve">Held: AWS snapshots only. Required: disruption plan naming the out-of-band tools; status page (CGI-VEN-017) live.</t>
  </si>
  <si>
    <t xml:space="preserve">R-002; VR-002</t>
  </si>
  <si>
    <t xml:space="preserve">RC.RP; RC.CO</t>
  </si>
  <si>
    <t xml:space="preserve">VR-002 concentration: 5 vendors share AWS with the platform</t>
  </si>
  <si>
    <t xml:space="preserve">REC-03; REC-14</t>
  </si>
  <si>
    <t xml:space="preserve">RC.RP</t>
  </si>
  <si>
    <t xml:space="preserve">A.5.30</t>
  </si>
  <si>
    <t xml:space="preserve">ICT readiness for business continuity</t>
  </si>
  <si>
    <t xml:space="preserve">Backups exist but have never been restored, and no RTO or RPO is declared (CG-01). CGI-RSK-001 gives R-002 no backup credit until this closes.</t>
  </si>
  <si>
    <t xml:space="preserve">Held: AWS native snapshots. Required: CGI-POL-006 with RTO/RPO; dated restore test report.</t>
  </si>
  <si>
    <t xml:space="preserve">R-002; VR-002; VR-007</t>
  </si>
  <si>
    <t xml:space="preserve">F-013 (no RTO/RPO, no restore test, export never exercised)</t>
  </si>
  <si>
    <t xml:space="preserve">REC-03; VRA-2026-001 C4</t>
  </si>
  <si>
    <t xml:space="preserve">A.5.31</t>
  </si>
  <si>
    <t xml:space="preserve">Legal, statutory, regulatory and contractual requirements</t>
  </si>
  <si>
    <t xml:space="preserve">Obligations are scattered (GDPR processor role in assumption A-06, 72-hour duty in CGI-POL-005). No register of legal, regulatory and contractual requirements exists (GV.OC = 1).</t>
  </si>
  <si>
    <t xml:space="preserve">Held: CGI-RSK-001 assumptions A-01 to A-06. Required: CEO-approved obligations register.</t>
  </si>
  <si>
    <t xml:space="preserve">VR-001</t>
  </si>
  <si>
    <t xml:space="preserve">F-001 (GDPR Art. 28 non-conformity)</t>
  </si>
  <si>
    <t xml:space="preserve">ISO-01</t>
  </si>
  <si>
    <t xml:space="preserve">A.5.32</t>
  </si>
  <si>
    <t xml:space="preserve">Intellectual property rights</t>
  </si>
  <si>
    <t xml:space="preserve">No register risk covers this, and it is not in CGI-GAP-001. Included because a SaaS company ships third-party and open-source code under licence terms, and the inventory shows tools bought on personal expenses (CGI-VEN-013).</t>
  </si>
  <si>
    <t xml:space="preserve">Held: CGI-POL-001 section 4.6.2 bans unlicensed software on devices (a fragment). Required: software licence register; open-source licence rule in CGI-POL-007.</t>
  </si>
  <si>
    <t xml:space="preserve">Legal / regulatory - NOT risk-based</t>
  </si>
  <si>
    <t xml:space="preserve">ISO-11</t>
  </si>
  <si>
    <t xml:space="preserve">A.5.33</t>
  </si>
  <si>
    <t xml:space="preserve">Protection of records</t>
  </si>
  <si>
    <t xml:space="preserve">Missed by CGI-GAP-001, although CGI-POL-004 section 7 maps it. No retention standard exists for ISMS records or logs, and one Tier 1 vendor retains everything indefinitely.</t>
  </si>
  <si>
    <t xml:space="preserve">Held: retention periods by tier in CGI-POL-004 section 4.2, and two record-specific rules (CGI-POL-003 section 4.7.4; CGI-POL-005 section 5.7.5). These are fragments: no schedule covers ISMS records, logs or contracts. Required: records and retention schedule (ISMS records, logs, contracts).</t>
  </si>
  <si>
    <t xml:space="preserve">R-003; VR-004</t>
  </si>
  <si>
    <t xml:space="preserve">F-005 (Slack unlimited retention)</t>
  </si>
  <si>
    <t xml:space="preserve">REC-07; ISO-08</t>
  </si>
  <si>
    <t xml:space="preserve">A.5.34</t>
  </si>
  <si>
    <t xml:space="preserve">Privacy and protection of PII</t>
  </si>
  <si>
    <t xml:space="preserve">Missed by CGI-GAP-001, although CGI is a GDPR processor for ~200 customers. Classification and breach duties exist, but there is no GDPR Article 30 record of processing and 6 vendors have no DPA.</t>
  </si>
  <si>
    <t xml:space="preserve">Held: CGI-POL-004; CGI-POL-005 section 5.6.3. Required: GDPR Art. 30 record of processing; six DPAs; transfer register.</t>
  </si>
  <si>
    <t xml:space="preserve">VR-001; VR-003; VR-006; R-003</t>
  </si>
  <si>
    <t xml:space="preserve">GV.OC; PR.DS</t>
  </si>
  <si>
    <t xml:space="preserve">F-001; F-004; O-001; KRI-V1 = 65%</t>
  </si>
  <si>
    <t xml:space="preserve">A.5.35</t>
  </si>
  <si>
    <t xml:space="preserve">Independent review of information security</t>
  </si>
  <si>
    <t xml:space="preserve">No independent review has ever taken place (GV.OV = 1). This assessment is internal and does not count.</t>
  </si>
  <si>
    <t xml:space="preserve">Held: none. Required: independent internal audit report (ISO-12).</t>
  </si>
  <si>
    <t xml:space="preserve">R-004; R-005</t>
  </si>
  <si>
    <t xml:space="preserve">GV.OV</t>
  </si>
  <si>
    <t xml:space="preserve">31 May 2027</t>
  </si>
  <si>
    <t xml:space="preserve">ISO-12</t>
  </si>
  <si>
    <t xml:space="preserve">A.5.36</t>
  </si>
  <si>
    <t xml:space="preserve">Compliance with policies, rules and standards for information security</t>
  </si>
  <si>
    <t xml:space="preserve">No compliance check against policy has ever run. Acknowledgement is 60% and KRIs have never been reported.</t>
  </si>
  <si>
    <t xml:space="preserve">Held: CGI-TRK-001. Required: quarterly compliance check minuted at the REC-10 review.</t>
  </si>
  <si>
    <t xml:space="preserve">GV.PO; GV.OV</t>
  </si>
  <si>
    <t xml:space="preserve">REC-04; REC-10</t>
  </si>
  <si>
    <t xml:space="preserve">A.5.37</t>
  </si>
  <si>
    <t xml:space="preserve">Documented operating procedures</t>
  </si>
  <si>
    <t xml:space="preserve">Policies exist, but the procedures beneath them do not (GAP-017, GAP-020), and the planned runbook location shares AWS with the platform.</t>
  </si>
  <si>
    <t xml:space="preserve">Held: policy pack only. Required: runbooks, stored where they survive a platform outage.</t>
  </si>
  <si>
    <t xml:space="preserve">R-002; R-005; VR-002</t>
  </si>
  <si>
    <t xml:space="preserve">CGI-VEN-011 Notion holds runbooks: no DPA, public links enabled, AWS-hosted</t>
  </si>
  <si>
    <t xml:space="preserve">A.6.1</t>
  </si>
  <si>
    <t xml:space="preserve">Screening</t>
  </si>
  <si>
    <t xml:space="preserve">People</t>
  </si>
  <si>
    <t xml:space="preserve">Missed by CGI-GAP-001. CGI-POL-003 joiner steps exist (a weak mapping kept from Project 1), but no proportionate screening procedure is evidenced.</t>
  </si>
  <si>
    <t xml:space="preserve">Held: CGI-POL-003 joiner section. Required: screening procedure lawful under EU/German employment law; sample records.</t>
  </si>
  <si>
    <t xml:space="preserve">A.6.2</t>
  </si>
  <si>
    <t xml:space="preserve">Terms and conditions of employment</t>
  </si>
  <si>
    <t xml:space="preserve">Missed by CGI-GAP-001. No evidence that employment or contractor terms state information security responsibilities.</t>
  </si>
  <si>
    <t xml:space="preserve">Held: none. Required: contract clause referencing the ISMS policy and CGI-POL-001.</t>
  </si>
  <si>
    <t xml:space="preserve">A.6.3</t>
  </si>
  <si>
    <t xml:space="preserve">Information security awareness, education and training</t>
  </si>
  <si>
    <t xml:space="preserve">Induction only, 60% complete, with no recurring or role-based training and no phishing simulation (CG-04, PR.AT = 1).</t>
  </si>
  <si>
    <t xml:space="preserve">Held: CGI-POL-003 section 4.3.6; CGI-TRK-001. Required: annual curriculum; simulation results; AI-use module.</t>
  </si>
  <si>
    <t xml:space="preserve">R-001; VR-005; VR-006</t>
  </si>
  <si>
    <t xml:space="preserve">PR.AT</t>
  </si>
  <si>
    <t xml:space="preserve">VR-006: no staff instruction on CGI-POL-001 section 4.5 AI use</t>
  </si>
  <si>
    <t xml:space="preserve">REC-09</t>
  </si>
  <si>
    <t xml:space="preserve">A.6.4</t>
  </si>
  <si>
    <t xml:space="preserve">Disciplinary process</t>
  </si>
  <si>
    <t xml:space="preserve">Missed by CGI-GAP-001. No disciplinary procedure linked to policy breaches is on file, and unacknowledged policies are unenforceable (GAP-004).</t>
  </si>
  <si>
    <t xml:space="preserve">Held: the sanction statement in each policy's Enforcement section (a fragment: there is no procedure behind it). Required: HR procedure referencing the CGI-POL pack.</t>
  </si>
  <si>
    <t xml:space="preserve">R-003; R-001</t>
  </si>
  <si>
    <t xml:space="preserve">A.6.5</t>
  </si>
  <si>
    <t xml:space="preserve">Responsibilities after termination or change of employment</t>
  </si>
  <si>
    <t xml:space="preserve">Missed by CGI-GAP-001. Leaver access removal is written; continuing confidentiality duties and vendor-account removal are not evidenced.</t>
  </si>
  <si>
    <t xml:space="preserve">Held: CGI-POL-003 section 4.5.2. Required: leaver letter restating duties; vendor-account checklist.</t>
  </si>
  <si>
    <t xml:space="preserve">F-003; VR-008</t>
  </si>
  <si>
    <t xml:space="preserve">A.6.6</t>
  </si>
  <si>
    <t xml:space="preserve">Confidentiality or non-disclosure agreements</t>
  </si>
  <si>
    <t xml:space="preserve">Missed by CGI-GAP-001. No signed confidentiality agreements are on file for staff or contractors.</t>
  </si>
  <si>
    <t xml:space="preserve">Held: none. Required: signed NDAs, reviewed annually (the control's own wording requires them documented).</t>
  </si>
  <si>
    <t xml:space="preserve">R-003; VR-003</t>
  </si>
  <si>
    <t xml:space="preserve">A.6.7</t>
  </si>
  <si>
    <t xml:space="preserve">Remote working</t>
  </si>
  <si>
    <t xml:space="preserve">Missed by CGI-GAP-001. CGI-POL-001 section 4.4 (BYOD) is an approved remote-working rule set, but there is no device register behind it.</t>
  </si>
  <si>
    <t xml:space="preserve">Held: CGI-POL-001 section 4.4. Required: endpoint register; remote-working compliance check.</t>
  </si>
  <si>
    <t xml:space="preserve">GV.PO; PR.AA</t>
  </si>
  <si>
    <t xml:space="preserve">A.6.8</t>
  </si>
  <si>
    <t xml:space="preserve">Information security event reporting</t>
  </si>
  <si>
    <t xml:space="preserve">CGI-POL-005 section 5.2 reporting channels are approved, but no event has been reported or rehearsed.</t>
  </si>
  <si>
    <t xml:space="preserve">Held: CGI-POL-005 section 5.2. Required: incident register entries; tabletop record.</t>
  </si>
  <si>
    <t xml:space="preserve">R-001; R-003; VR-004</t>
  </si>
  <si>
    <t xml:space="preserve">PR.AT; RS.CO</t>
  </si>
  <si>
    <t xml:space="preserve">F-002</t>
  </si>
  <si>
    <t xml:space="preserve">A.7.1</t>
  </si>
  <si>
    <t xml:space="preserve">Physical security perimeters</t>
  </si>
  <si>
    <t xml:space="preserve">Physical</t>
  </si>
  <si>
    <t xml:space="preserve">No register risk covers physical intrusion, and physical security was out of CGI-GAP-001 scope. Applicable because the head office holds staff endpoints; enterprise questionnaires ask this (CGI asks it of vendors: VQ-64 to VQ-66). Candidate risk CR-03 is proposed rather than invented.</t>
  </si>
  <si>
    <t xml:space="preserve">Held: none. Required: landlord security schedule (assumption ISO-A03).</t>
  </si>
  <si>
    <t xml:space="preserve">Contractual / stakeholder - NOT risk-based</t>
  </si>
  <si>
    <t xml:space="preserve">A.7.2</t>
  </si>
  <si>
    <t xml:space="preserve">Physical entry</t>
  </si>
  <si>
    <t xml:space="preserve">As A.7.1. Building entry is assumed to be provided by the landlord and is not evidenced.</t>
  </si>
  <si>
    <t xml:space="preserve">Held: none. Required: access badge process; visitor log.</t>
  </si>
  <si>
    <t xml:space="preserve">A.7.3</t>
  </si>
  <si>
    <t xml:space="preserve">Securing offices, rooms and facilities</t>
  </si>
  <si>
    <t xml:space="preserve">As A.7.1. The office is in scope as a place where Confidential information is handled on screen.</t>
  </si>
  <si>
    <t xml:space="preserve">Held: none. Required: office security rules.</t>
  </si>
  <si>
    <t xml:space="preserve">A.7.4</t>
  </si>
  <si>
    <t xml:space="preserve">Physical security monitoring</t>
  </si>
  <si>
    <t xml:space="preserve">EXCLUDED. There are no secure areas or on-premises information processing facilities: production runs in AWS, whose physical monitoring is assured through A.5.23 (VRA-2026-001). The serviced office holds only portable endpoints. Re-include if servers, network equipment or Confidential paper records are kept on site.</t>
  </si>
  <si>
    <t xml:space="preserve">Held: VRA-2026-001 (AWS SOC 2 covers data-centre monitoring). Required: exclusion approved in SoA v1.0.</t>
  </si>
  <si>
    <t xml:space="preserve">N/A - re-evaluate at SoA review 30 Sep 2027</t>
  </si>
  <si>
    <t xml:space="preserve">Excluded</t>
  </si>
  <si>
    <t xml:space="preserve">A.7.5</t>
  </si>
  <si>
    <t xml:space="preserve">Protecting against physical and environmental threats</t>
  </si>
  <si>
    <t xml:space="preserve">No register risk covers this. It is applicable only to people and endpoints in the office (landlord fire and flood controls); production resilience is covered by A.5.23 and A.8.14.</t>
  </si>
  <si>
    <t xml:space="preserve">Held: none. Required: landlord fire-safety confirmation.</t>
  </si>
  <si>
    <t xml:space="preserve">A.7.6</t>
  </si>
  <si>
    <t xml:space="preserve">Working in secure areas</t>
  </si>
  <si>
    <t xml:space="preserve">EXCLUDED. No secure areas are defined, because there is no server or network room. Re-include if one is created.</t>
  </si>
  <si>
    <t xml:space="preserve">Held: n/a. Required: exclusion approved in SoA v1.0.</t>
  </si>
  <si>
    <t xml:space="preserve">A.7.7</t>
  </si>
  <si>
    <t xml:space="preserve">Clear desk and clear screen</t>
  </si>
  <si>
    <t xml:space="preserve">No register risk covers shoulder-surfing or unattended screens; included as a baseline expected by customers and auditors. The rule already exists: CGI-POL-001 sections 4.4.2 (automatic screen lock), 4.8.2 (no unattended Confidential printouts) and 4.9.3 (lock the device when stepping away), which CGI-POL-001 section 8 maps to A.7.7. It is approved but unevidenced, and 40% of staff have not acknowledged it.</t>
  </si>
  <si>
    <t xml:space="preserve">Held: CGI-POL-001 sections 4.4.2, 4.8.2 and 4.9.3. Required: 100% acknowledgement; screen-lock configuration evidence; clear-desk spot-check record.</t>
  </si>
  <si>
    <t xml:space="preserve">ISO-11; REC-04</t>
  </si>
  <si>
    <t xml:space="preserve">A.7.8</t>
  </si>
  <si>
    <t xml:space="preserve">Equipment siting and protection</t>
  </si>
  <si>
    <t xml:space="preserve">No register risk covers this. Applicable to endpoints in the office and at home; included on a baseline and stakeholder basis.</t>
  </si>
  <si>
    <t xml:space="preserve">Held: none. Required: guidance within the remote-working rules.</t>
  </si>
  <si>
    <t xml:space="preserve">A.7.9</t>
  </si>
  <si>
    <t xml:space="preserve">Security of assets off-premises</t>
  </si>
  <si>
    <t xml:space="preserve">Relates to ID.AM (no endpoint register, score 1). CGI-POL-001 section 4.4 covers device use off-site. Candidate risk CR-01 (lost or stolen endpoint) is recommended for the register.</t>
  </si>
  <si>
    <t xml:space="preserve">Held: CGI-POL-001 section 4.4. Required: endpoint register; full-disk encryption evidence.</t>
  </si>
  <si>
    <t xml:space="preserve">A.7.10</t>
  </si>
  <si>
    <t xml:space="preserve">Storage media</t>
  </si>
  <si>
    <t xml:space="preserve">Missed by CGI-GAP-001. The CGI-POL-004 section 4.2 Handling Matrix governs removable media, and EXC-003 records an approved exception, so the rule is designed and exercised through the exception process.</t>
  </si>
  <si>
    <t xml:space="preserve">Held: CGI-POL-004 section 4.2; EXC-003. Required: media usage record.</t>
  </si>
  <si>
    <t xml:space="preserve">A.7.11</t>
  </si>
  <si>
    <t xml:space="preserve">Supporting utilities</t>
  </si>
  <si>
    <t xml:space="preserve">EXCLUDED. No information processing facility is operated, so there are no utilities to protect. Power and cooling for production are AWS's responsibility, assured through A.5.23 (VRA-2026-001).</t>
  </si>
  <si>
    <t xml:space="preserve">Held: VRA-2026-001. Required: exclusion approved in SoA v1.0.</t>
  </si>
  <si>
    <t xml:space="preserve">A.7.12</t>
  </si>
  <si>
    <t xml:space="preserve">Cabling security</t>
  </si>
  <si>
    <t xml:space="preserve">EXCLUDED. There is no on-premises network cabling carrying production data. Office connectivity is the landlord's shared service, and platform networking is covered by A.8.20 to A.8.22.</t>
  </si>
  <si>
    <t xml:space="preserve">A.7.13</t>
  </si>
  <si>
    <t xml:space="preserve">Equipment maintenance</t>
  </si>
  <si>
    <t xml:space="preserve">No register risk covers this. Applicable to endpoints. The CGI-POL-001 section 4.4.3 patch rule is a software fragment, not maintenance, so it does not change the status.</t>
  </si>
  <si>
    <t xml:space="preserve">Held: none. Required: endpoint maintenance and repair rule (data wiped before third-party repair).</t>
  </si>
  <si>
    <t xml:space="preserve">A.7.14</t>
  </si>
  <si>
    <t xml:space="preserve">Secure disposal or re-use of equipment</t>
  </si>
  <si>
    <t xml:space="preserve">Relates to ID.AM (asset lifecycle, score 1). GDPR Article 32 requires secure disposal of personal data on retired devices. No procedure exists.</t>
  </si>
  <si>
    <t xml:space="preserve">Held: none. Required: wipe or destruction record per retired device.</t>
  </si>
  <si>
    <t xml:space="preserve">Maturity gap + Legal</t>
  </si>
  <si>
    <t xml:space="preserve">A.8.1</t>
  </si>
  <si>
    <t xml:space="preserve">User endpoint devices</t>
  </si>
  <si>
    <t xml:space="preserve">Technological</t>
  </si>
  <si>
    <t xml:space="preserve">CGI-POL-001 section 4.4 BYOD rules exist, but there is no register and no management tooling for the 50 staff devices (ID.AM = 1).</t>
  </si>
  <si>
    <t xml:space="preserve">Held: CGI-POL-001 section 4.4. Required: endpoint register; encryption and screen-lock compliance report.</t>
  </si>
  <si>
    <t xml:space="preserve">R-001; R-002; R-003</t>
  </si>
  <si>
    <t xml:space="preserve">A.8.2</t>
  </si>
  <si>
    <t xml:space="preserve">Privileged access rights</t>
  </si>
  <si>
    <t xml:space="preserve">CGI-POL-002 section 4.3.3 mandates phishing-resistant MFA for privileged accounts, but the CGI-POL-003 section 4.7.1 quarterly review has never run and the AWS root-account CUEC is unaccepted.</t>
  </si>
  <si>
    <t xml:space="preserve">Held: CGI-POL-002 section 4.3.3. Required: privileged account list; quarterly review records; root MFA evidence.</t>
  </si>
  <si>
    <t xml:space="preserve">R-005; R-003; R-001</t>
  </si>
  <si>
    <t xml:space="preserve">F-010 (root MFA and least-privilege CUECs)</t>
  </si>
  <si>
    <t xml:space="preserve">A.8.3</t>
  </si>
  <si>
    <t xml:space="preserve">Information access restriction</t>
  </si>
  <si>
    <t xml:space="preserve">Missed by CGI-GAP-001, and the most important omission: R-004 is an application authorisation flaw, which is this control. No authorisation design standard or test exists (PR.PS = 0). CGI asks vendors for tenant isolation (VQ-24) that it cannot yet evidence itself.</t>
  </si>
  <si>
    <t xml:space="preserve">Held: none. Required: authorisation and tenant-isolation design standard; test cases; REC-16 penetration test result.</t>
  </si>
  <si>
    <t xml:space="preserve">R-004</t>
  </si>
  <si>
    <t xml:space="preserve">PR.PS; PR.AA</t>
  </si>
  <si>
    <t xml:space="preserve">REC-06; REC-16</t>
  </si>
  <si>
    <t xml:space="preserve">A.8.4</t>
  </si>
  <si>
    <t xml:space="preserve">Access to source code</t>
  </si>
  <si>
    <t xml:space="preserve">Missed by CGI-GAP-001. CGI-POL-002 section 4.5.2 secret scanning is a recorded fragment, but repository access and write rights are uncontrolled. Kept at Not started to agree with PR.PS = 0.</t>
  </si>
  <si>
    <t xml:space="preserve">Held: CGI-POL-002 section 4.5.2 (fragment). Required: repository access review; branch protection configuration export.</t>
  </si>
  <si>
    <t xml:space="preserve">CGI-VEN-002 GitHub: Tier 1, inherent 15 Critical, no branch protection on the CGI side</t>
  </si>
  <si>
    <t xml:space="preserve">A.8.5</t>
  </si>
  <si>
    <t xml:space="preserve">Secure authentication</t>
  </si>
  <si>
    <t xml:space="preserve">MFA is mandated and 80% enrolled; ACC-001 accepts SMS until 03 Mar 2027. This is a brakes control: it acts before the break-in.</t>
  </si>
  <si>
    <t xml:space="preserve">Held: CGI-TRK-001 (80%). Required: 100% enrolment export; phishing-resistant MFA on all admins.</t>
  </si>
  <si>
    <t xml:space="preserve">F-003 (no SSO on Slack); F-010</t>
  </si>
  <si>
    <t xml:space="preserve">A.8.6</t>
  </si>
  <si>
    <t xml:space="preserve">Capacity management</t>
  </si>
  <si>
    <t xml:space="preserve">No register risk covers capacity exhaustion, and CGI-GAP-001 does not map it. Included because ~200 customers depend on platform availability (assumption ISO-A04); CGI already asks this of its own vendors (VQ-55). Candidate risk CR-02 is proposed rather than invented.</t>
  </si>
  <si>
    <t xml:space="preserve">Held: none. Required: capacity monitoring thresholds; quarterly capacity review.</t>
  </si>
  <si>
    <t xml:space="preserve">A.8.7</t>
  </si>
  <si>
    <t xml:space="preserve">Protection against malware</t>
  </si>
  <si>
    <t xml:space="preserve">No anti-malware standard covers the 50 BYOD endpoints (GAP-020).</t>
  </si>
  <si>
    <t xml:space="preserve">Held: CGI-POL-001 section 4.2.3 forbids disabling endpoint protection (a fragment: nothing requires it to be installed or checks that it is). Required: endpoint protection standard; coverage report.</t>
  </si>
  <si>
    <t xml:space="preserve">R-002; R-001</t>
  </si>
  <si>
    <t xml:space="preserve">A.8.8</t>
  </si>
  <si>
    <t xml:space="preserve">Management of technical vulnerabilities</t>
  </si>
  <si>
    <t xml:space="preserve">PR.PS = 0 and CG-02: no scanning, no remediation SLA, CGI-POL-008 unwritten. The endpoint patch rule (CGI-POL-001 section 4.4.3) is a fragment that does not cover the platform, so the status is Not started.</t>
  </si>
  <si>
    <t xml:space="preserve">Held: CGI-POL-001 section 4.4.3 (fragment). Required: CGI-POL-008; authenticated scan reports; remediation tickets within SLA.</t>
  </si>
  <si>
    <t xml:space="preserve">R-002; R-004</t>
  </si>
  <si>
    <t xml:space="preserve">PR.PS; ID.RA</t>
  </si>
  <si>
    <t xml:space="preserve">CG-02</t>
  </si>
  <si>
    <t xml:space="preserve">A.8.9</t>
  </si>
  <si>
    <t xml:space="preserve">Configuration management</t>
  </si>
  <si>
    <t xml:space="preserve">CG-03: there is no AWS configuration baseline and no drift detection (PR.IR = 0). This is the documented reason R-005 stays High.</t>
  </si>
  <si>
    <t xml:space="preserve">Held: none. Required: CIS AWS Foundations baseline; posture-monitoring reports.</t>
  </si>
  <si>
    <t xml:space="preserve">R-005; R-004</t>
  </si>
  <si>
    <t xml:space="preserve">PR.PS; PR.IR</t>
  </si>
  <si>
    <t xml:space="preserve">F-010; CG-03</t>
  </si>
  <si>
    <t xml:space="preserve">REC-11</t>
  </si>
  <si>
    <t xml:space="preserve">A.8.10</t>
  </si>
  <si>
    <t xml:space="preserve">Information deletion</t>
  </si>
  <si>
    <t xml:space="preserve">Deletion is designed for vendor exits (clause 12, VQ-73) but not for CGI's own systems: no retention or deletion schedule has been executed (GAP-012).</t>
  </si>
  <si>
    <t xml:space="preserve">Held: CGI-POL-004 section 4.2 retention limits and disposal methods (designed, never executed); CGI-TPR-001 clause 12. Required: retention and deletion schedule; deletion certificates.</t>
  </si>
  <si>
    <t xml:space="preserve">R-003; VR-001; VR-006</t>
  </si>
  <si>
    <t xml:space="preserve">F-005; clause 12 (certified deletion) in CGI-TPR-001 section 7.4</t>
  </si>
  <si>
    <t xml:space="preserve">REC-17; ISO-08</t>
  </si>
  <si>
    <t xml:space="preserve">A.8.11</t>
  </si>
  <si>
    <t xml:space="preserve">Data masking</t>
  </si>
  <si>
    <t xml:space="preserve">There is no masking of customer data in logs or lower environments; Project 1's mapping to the Handling Matrix was weak and is not credited.</t>
  </si>
  <si>
    <t xml:space="preserve">Held: none. Required: masking rule for logs and test data; Datadog scrubbing configuration.</t>
  </si>
  <si>
    <t xml:space="preserve">CGI-VEN-007 Datadog: log scrubbing rules not verified</t>
  </si>
  <si>
    <t xml:space="preserve">A.8.12</t>
  </si>
  <si>
    <t xml:space="preserve">Data leakage prevention</t>
  </si>
  <si>
    <t xml:space="preserve">CG-05: there is no data-loss prevention; monitoring is metadata-only.</t>
  </si>
  <si>
    <t xml:space="preserve">Held: CGI-POL-001 section 4.5.2, a behavioural rule against entering Confidential data into unapproved AI tools (a fragment, not leakage prevention). Required: egress and DLP rules on Google Workspace and GitHub; alert samples.</t>
  </si>
  <si>
    <t xml:space="preserve">PR.DS; DE.CM</t>
  </si>
  <si>
    <t xml:space="preserve">VR-006 (AI tools reading typed text)</t>
  </si>
  <si>
    <t xml:space="preserve">REC-17</t>
  </si>
  <si>
    <t xml:space="preserve">DE.CM</t>
  </si>
  <si>
    <t xml:space="preserve">A.8.13</t>
  </si>
  <si>
    <t xml:space="preserve">Information backup</t>
  </si>
  <si>
    <t xml:space="preserve">Seatbelt, not brakes: backup acts after the bang, limiting the impact of R-002 ransomware. Snapshots exist but have never been restored (CG-01), so no credit is taken.</t>
  </si>
  <si>
    <t xml:space="preserve">Held: AWS snapshot configuration. Required: CGI-POL-006; dated restore test to a clean environment; six-monthly repeat.</t>
  </si>
  <si>
    <t xml:space="preserve">PR.IR; RC.RP</t>
  </si>
  <si>
    <t xml:space="preserve">F-013; VRA-2026-001 C4</t>
  </si>
  <si>
    <t xml:space="preserve">REC-03</t>
  </si>
  <si>
    <t xml:space="preserve">A.8.14</t>
  </si>
  <si>
    <t xml:space="preserve">Redundancy of information processing facilities</t>
  </si>
  <si>
    <t xml:space="preserve">No redundancy design is documented for the platform. The status-page placement is a design-time fragment only.</t>
  </si>
  <si>
    <t xml:space="preserve">Held: none. Required: availability architecture record (zones and regions); failover test.</t>
  </si>
  <si>
    <t xml:space="preserve">VR-002; CGI-VEN-017 deliberately hosted off AWS</t>
  </si>
  <si>
    <t xml:space="preserve">A.8.15</t>
  </si>
  <si>
    <t xml:space="preserve">Logging</t>
  </si>
  <si>
    <t xml:space="preserve">Some logs exist ad hoc (application logs in Datadog), but organisation-wide CloudTrail is unverified and there is no central security log or retention (DE.CM = 1).</t>
  </si>
  <si>
    <t xml:space="preserve">Held: Datadog APM (engineering use). Required: CloudTrail with validation; central log account; retention standard.</t>
  </si>
  <si>
    <t xml:space="preserve">R-003; R-005; VR-004</t>
  </si>
  <si>
    <t xml:space="preserve">DE.CM; DE.AE; RS.AN</t>
  </si>
  <si>
    <t xml:space="preserve">F-008; F-010 (CloudTrail CUEC); CGI-VEN-007 not a security log source</t>
  </si>
  <si>
    <t xml:space="preserve">A.8.16</t>
  </si>
  <si>
    <t xml:space="preserve">Monitoring activities</t>
  </si>
  <si>
    <t xml:space="preserve">There is no alerting on root use, IAM change, public S3 or mass download (GAP-015).</t>
  </si>
  <si>
    <t xml:space="preserve">Held: CGI-POL-001 section 4.10 monitoring notice (a fragment: it tells staff monitoring may occur, but no alert exists). Required: alert rules; alert-handling records.</t>
  </si>
  <si>
    <t xml:space="preserve">DE.CM; DE.AE</t>
  </si>
  <si>
    <t xml:space="preserve">F-010</t>
  </si>
  <si>
    <t xml:space="preserve">A.8.17</t>
  </si>
  <si>
    <t xml:space="preserve">Clock synchronization</t>
  </si>
  <si>
    <t xml:space="preserve">Missed by CGI-GAP-001. A supporting control: logs without a common time source cannot support A.5.28 investigations. The provider time source is assumed but not verified.</t>
  </si>
  <si>
    <t xml:space="preserve">Held: none. Required: configuration evidence of a common time source.</t>
  </si>
  <si>
    <t xml:space="preserve">DE.CM; RS.AN</t>
  </si>
  <si>
    <t xml:space="preserve">A.8.18</t>
  </si>
  <si>
    <t xml:space="preserve">Use of privileged utility programs</t>
  </si>
  <si>
    <t xml:space="preserve">Missed by CGI-GAP-001. Administrative tooling with broad IAM rights is unrestricted and unrecorded.</t>
  </si>
  <si>
    <t xml:space="preserve">Held: none. Required: list of privileged tools and who may use them.</t>
  </si>
  <si>
    <t xml:space="preserve">R-005; R-003</t>
  </si>
  <si>
    <t xml:space="preserve">A.8.19</t>
  </si>
  <si>
    <t xml:space="preserve">Installation of software on operational systems</t>
  </si>
  <si>
    <t xml:space="preserve">Missed by CGI-GAP-001. Software reaches production with no controlled release process (PR.PS = 0).</t>
  </si>
  <si>
    <t xml:space="preserve">Held: CGI-POL-001 section 4.6.2 (an endpoint software rule; a fragment that does not reach production). Required: release procedure in CGI-POL-007; deployment pipeline records.</t>
  </si>
  <si>
    <t xml:space="preserve">R-004; R-002</t>
  </si>
  <si>
    <t xml:space="preserve">A.8.20</t>
  </si>
  <si>
    <t xml:space="preserve">Networks security</t>
  </si>
  <si>
    <t xml:space="preserve">There is no network security baseline (CG-03, PR.IR = 0).</t>
  </si>
  <si>
    <t xml:space="preserve">Held: none. Required: security-group and VPC baseline; review record.</t>
  </si>
  <si>
    <t xml:space="preserve">R-005</t>
  </si>
  <si>
    <t xml:space="preserve">A.8.21</t>
  </si>
  <si>
    <t xml:space="preserve">Security of network services</t>
  </si>
  <si>
    <t xml:space="preserve">Missed by CGI-GAP-001. Security requirements for the network services consumed (VPC, DNS, TLS endpoints) are not defined.</t>
  </si>
  <si>
    <t xml:space="preserve">Held: none. Required: network service requirements; provider evidence mapped.</t>
  </si>
  <si>
    <t xml:space="preserve">R-005; VR-004</t>
  </si>
  <si>
    <t xml:space="preserve">A.8.22</t>
  </si>
  <si>
    <t xml:space="preserve">Segregation of networks</t>
  </si>
  <si>
    <t xml:space="preserve">Segmentation is undocumented (GAP-014). The remediation stays at Q4 2027 in the risk treatment plan; the boundary documentation moves forward into ISO-02.</t>
  </si>
  <si>
    <t xml:space="preserve">Held: none. Required: segmentation diagram; production access boundary.</t>
  </si>
  <si>
    <t xml:space="preserve">31 Dec 2027</t>
  </si>
  <si>
    <t xml:space="preserve">REC-18 (split - see RC-04)</t>
  </si>
  <si>
    <t xml:space="preserve">A.8.23</t>
  </si>
  <si>
    <t xml:space="preserve">Web filtering</t>
  </si>
  <si>
    <t xml:space="preserve">Missed by CGI-GAP-001. There is no web filtering on BYOD endpoints; a DNS-filtering option is proposed.</t>
  </si>
  <si>
    <t xml:space="preserve">Held: none. Required: filtering configuration; coverage report.</t>
  </si>
  <si>
    <t xml:space="preserve">A.8.24</t>
  </si>
  <si>
    <t xml:space="preserve">Use of cryptography</t>
  </si>
  <si>
    <t xml:space="preserve">Seatbelt control: it reduces the impact of a stolen copy (VR-004). There is no encryption standard (GAP-012). Server-side encryption does NOT reduce the impact of a public-bucket misconfiguration (R-005), because the service decrypts for any request the misconfiguration allows.</t>
  </si>
  <si>
    <t xml:space="preserve">Held: CGI-POL-004 section 4.2 says where encryption is required and CGI-POL-001 section 4.4.1 requires disk encryption on devices (fragments: no algorithms, TLS minimum or key management are defined). Required: cryptography standard (algorithms, TLS minimum, key management); KMS configuration.</t>
  </si>
  <si>
    <t xml:space="preserve">VR-004; R-005</t>
  </si>
  <si>
    <t xml:space="preserve">F-010 (encryption-management CUEC)</t>
  </si>
  <si>
    <t xml:space="preserve">A.8.25</t>
  </si>
  <si>
    <t xml:space="preserve">Secure development life cycle</t>
  </si>
  <si>
    <t xml:space="preserve">PR.PS = 0 and CG-02: there is no secure development lifecycle and CGI-POL-007 is unwritten.</t>
  </si>
  <si>
    <t xml:space="preserve">Held: none. Required: CGI-POL-007 approved; SDLC evidence per release.</t>
  </si>
  <si>
    <t xml:space="preserve">A.8.26</t>
  </si>
  <si>
    <t xml:space="preserve">Application security requirements</t>
  </si>
  <si>
    <t xml:space="preserve">Missed by CGI-GAP-001. No application security requirements are defined for features, including authorisation rules.</t>
  </si>
  <si>
    <t xml:space="preserve">Held: none. Required: requirements template; sample completed per feature.</t>
  </si>
  <si>
    <t xml:space="preserve">A.8.27</t>
  </si>
  <si>
    <t xml:space="preserve">Secure system architecture and engineering principles</t>
  </si>
  <si>
    <t xml:space="preserve">Missed by CGI-GAP-001. No secure architecture principles are documented; concentration on one provider was found only by drawing the dependency graph.</t>
  </si>
  <si>
    <t xml:space="preserve">Held: CGI-TPR-001 section 2.5 dependency graph. Required: architecture principles; design review records.</t>
  </si>
  <si>
    <t xml:space="preserve">R-004; R-005; VR-002</t>
  </si>
  <si>
    <t xml:space="preserve">VR-002 concentration</t>
  </si>
  <si>
    <t xml:space="preserve">REC-18; ISO-02</t>
  </si>
  <si>
    <t xml:space="preserve">A.8.28</t>
  </si>
  <si>
    <t xml:space="preserve">Secure coding</t>
  </si>
  <si>
    <t xml:space="preserve">PR.PS = 0 and CG-02: there is no mandatory peer review, no branch protection and no coding standard. This is a brakes control: it stops the authorisation flaw being written in the first place.</t>
  </si>
  <si>
    <t xml:space="preserve">Held: CGI-POL-002 section 4.5.2 secret scanning (a fragment). Required: coding standard; branch-protection export; review records.</t>
  </si>
  <si>
    <t xml:space="preserve">A.8.29</t>
  </si>
  <si>
    <t xml:space="preserve">Security testing in development and acceptance</t>
  </si>
  <si>
    <t xml:space="preserve">PR.PS = 0 and CG-02: no SAST (static application security testing) and no penetration test.</t>
  </si>
  <si>
    <t xml:space="preserve">Held: none. Required: SAST results in CI; annual penetration test report.</t>
  </si>
  <si>
    <t xml:space="preserve">REC-16</t>
  </si>
  <si>
    <t xml:space="preserve">A.8.30</t>
  </si>
  <si>
    <t xml:space="preserve">Outsourced development</t>
  </si>
  <si>
    <t xml:space="preserve">EXCLUDED. All development is performed by CGI employees (assumption ISO-A02). Re-include before any contractor or agency writes code. Supplier assurance for development tools (GitHub) is covered by A.5.19 to A.5.22.</t>
  </si>
  <si>
    <t xml:space="preserve">A.8.31</t>
  </si>
  <si>
    <t xml:space="preserve">Separation of development, test and production environments</t>
  </si>
  <si>
    <t xml:space="preserve">PR.PS = 0 and CG-02: there is no recorded separation of development, test and production.</t>
  </si>
  <si>
    <t xml:space="preserve">Held: none. Required: environment diagram; access separation evidence.</t>
  </si>
  <si>
    <t xml:space="preserve">A.8.32</t>
  </si>
  <si>
    <t xml:space="preserve">Change management</t>
  </si>
  <si>
    <t xml:space="preserve">PR.PS = 0 and CG-02: there is no change management policy or approval record.</t>
  </si>
  <si>
    <t xml:space="preserve">Held: none. Required: CGI-POL-007 change section; change records.</t>
  </si>
  <si>
    <t xml:space="preserve">A.8.33</t>
  </si>
  <si>
    <t xml:space="preserve">Test information</t>
  </si>
  <si>
    <t xml:space="preserve">Missed by CGI-GAP-001. There is no rule preventing production customer data being used in lower environments.</t>
  </si>
  <si>
    <t xml:space="preserve">Held: none. Required: test-data rule; masked data set evidence.</t>
  </si>
  <si>
    <t xml:space="preserve">R-003; R-004</t>
  </si>
  <si>
    <t xml:space="preserve">A.8.34</t>
  </si>
  <si>
    <t xml:space="preserve">Protection of information systems during audit testing</t>
  </si>
  <si>
    <t xml:space="preserve">No register risk covers this. Included because the ISO-12 internal audit and the REC-16 penetration test will touch production; the rules must exist before either runs.</t>
  </si>
  <si>
    <t xml:space="preserve">Held: none. Required: audit and test rules of engagement.</t>
  </si>
  <si>
    <t xml:space="preserve">ISO-12; REC-16</t>
  </si>
  <si>
    <t xml:space="preserve">SoA summary (all formulas)</t>
  </si>
  <si>
    <t xml:space="preserve">Controls</t>
  </si>
  <si>
    <t xml:space="preserve">Applicable</t>
  </si>
  <si>
    <t xml:space="preserve">Implemented</t>
  </si>
  <si>
    <t xml:space="preserve">Partial</t>
  </si>
  <si>
    <t xml:space="preserve">Not started</t>
  </si>
  <si>
    <t xml:space="preserve">Check (sum = applicable)</t>
  </si>
  <si>
    <t xml:space="preserve">TOTAL</t>
  </si>
  <si>
    <t xml:space="preserve">Annex A points (Implemented x1 + Partial x0.5)</t>
  </si>
  <si>
    <t xml:space="preserve">Annex A score</t>
  </si>
  <si>
    <t xml:space="preserve">Maturity consistency FAILs</t>
  </si>
  <si>
    <t xml:space="preserve">Controls in CGI-GAP-001 mapping</t>
  </si>
  <si>
    <t xml:space="preserve">Controls CGI-GAP-001 missed</t>
  </si>
  <si>
    <t xml:space="preserve">Missed and applicable</t>
  </si>
  <si>
    <t xml:space="preserve">Applicable with a risk ID (risk-based)</t>
  </si>
  <si>
    <t xml:space="preserve">Applicable, NOT risk-based and untraced</t>
  </si>
  <si>
    <t xml:space="preserve">Maturity</t>
  </si>
  <si>
    <t xml:space="preserve">Applicable controls</t>
  </si>
  <si>
    <t xml:space="preserve">Applicable controls owned</t>
  </si>
  <si>
    <t xml:space="preserve">Finance Manager</t>
  </si>
  <si>
    <t xml:space="preserve">Clauses 4-10 readiness (score 0 absent / 1 partial / 2 met with evidence)</t>
  </si>
  <si>
    <t xml:space="preserve">Clause</t>
  </si>
  <si>
    <t xml:space="preserve">Requirement</t>
  </si>
  <si>
    <t xml:space="preserve">Stage 1 gate (Y/N)</t>
  </si>
  <si>
    <t xml:space="preserve">Score (0-2)</t>
  </si>
  <si>
    <t xml:space="preserve">Current state</t>
  </si>
  <si>
    <t xml:space="preserve">Gap</t>
  </si>
  <si>
    <t xml:space="preserve">Evidence needed</t>
  </si>
  <si>
    <t xml:space="preserve">Action</t>
  </si>
  <si>
    <t xml:space="preserve">Due</t>
  </si>
  <si>
    <t xml:space="preserve">Gate failed?</t>
  </si>
  <si>
    <t xml:space="preserve">Result</t>
  </si>
  <si>
    <t xml:space="preserve">4.1</t>
  </si>
  <si>
    <t xml:space="preserve">Understand the organisation and its context: internal and external issues, including whether climate change is relevant (Amd 1:2024)</t>
  </si>
  <si>
    <t xml:space="preserve">Context exists only as CGI-RSK-001 assumptions A-01 to A-06 (GV.OC = 1).</t>
  </si>
  <si>
    <t xml:space="preserve">No approved context statement; climate change not considered.</t>
  </si>
  <si>
    <t xml:space="preserve">Approved context and issues statement.</t>
  </si>
  <si>
    <t xml:space="preserve">4.2</t>
  </si>
  <si>
    <t xml:space="preserve">Interested parties, their relevant requirements, and which of those the ISMS addresses</t>
  </si>
  <si>
    <t xml:space="preserve">Customers, a GDPR supervisory authority and vendors are known across CGI-POL-005 and CGI-TPR-001.</t>
  </si>
  <si>
    <t xml:space="preserve">No interested-parties register; no decision on which requirements the ISMS addresses.</t>
  </si>
  <si>
    <t xml:space="preserve">Interested-parties and obligations register (with A.5.31).</t>
  </si>
  <si>
    <t xml:space="preserve">4.3</t>
  </si>
  <si>
    <t xml:space="preserve">Determine and document the ISMS scope, considering interfaces and dependencies with other organisations</t>
  </si>
  <si>
    <t xml:space="preserve">Drafted in CGI-ISO-001 section 2 (this document).</t>
  </si>
  <si>
    <t xml:space="preserve">Not approved by top management.</t>
  </si>
  <si>
    <t xml:space="preserve">CEO-approved scope statement v1.0.</t>
  </si>
  <si>
    <t xml:space="preserve">ISO-02</t>
  </si>
  <si>
    <t xml:space="preserve">4.4</t>
  </si>
  <si>
    <t xml:space="preserve">Establish, implement, maintain and continually improve the ISMS</t>
  </si>
  <si>
    <t xml:space="preserve">Components exist (policies, register, gap assessment, vendor programme) but do not run as one system.</t>
  </si>
  <si>
    <t xml:space="preserve">No ISMS manual or process map linking them.</t>
  </si>
  <si>
    <t xml:space="preserve">ISMS overview showing how the clauses 4-10 processes connect.</t>
  </si>
  <si>
    <t xml:space="preserve">ISO-08</t>
  </si>
  <si>
    <t xml:space="preserve">5.1</t>
  </si>
  <si>
    <t xml:space="preserve">Leadership and commitment</t>
  </si>
  <si>
    <t xml:space="preserve">The CEO approved CGI-POL-001 to -005, CGI-RSK-001, CGI-GAP-001 and CGI-TPR-001.</t>
  </si>
  <si>
    <t xml:space="preserve">The USD 32,100 year-one budget is costed but unapproved (GAP-003); no stated commitment to the ISMS.</t>
  </si>
  <si>
    <t xml:space="preserve">Approved budget; ISMS policy signed by the CEO.</t>
  </si>
  <si>
    <t xml:space="preserve">ISO-03</t>
  </si>
  <si>
    <t xml:space="preserve">5.2</t>
  </si>
  <si>
    <t xml:space="preserve">Information security policy: appropriate, provides a framework for objectives, commits to requirements and continual improvement; documented and communicated</t>
  </si>
  <si>
    <t xml:space="preserve">Five topic-specific policies are approved.</t>
  </si>
  <si>
    <t xml:space="preserve">No top-level ISMS policy meeting 5.2 a) to d).</t>
  </si>
  <si>
    <t xml:space="preserve">ISMS policy v1.0, communicated and acknowledged.</t>
  </si>
  <si>
    <t xml:space="preserve">5.3</t>
  </si>
  <si>
    <t xml:space="preserve">Roles, responsibilities and authorities, including for ISMS conformance and reporting to top management</t>
  </si>
  <si>
    <t xml:space="preserve">Document-level owners exist (GV.RR = 2).</t>
  </si>
  <si>
    <t xml:space="preserve">No one is assigned to ensure ISMS conformance or report its performance.</t>
  </si>
  <si>
    <t xml:space="preserve">Written assignment of an ISMS lead; RACI.</t>
  </si>
  <si>
    <t xml:space="preserve">6.1.1</t>
  </si>
  <si>
    <t xml:space="preserve">Determine risks and opportunities for the ISMS itself and plan actions</t>
  </si>
  <si>
    <t xml:space="preserve">None.</t>
  </si>
  <si>
    <t xml:space="preserve">ISMS-level risks and opportunities have never been considered (distinct from information security risks).</t>
  </si>
  <si>
    <t xml:space="preserve">Short ISMS risks and opportunities record.</t>
  </si>
  <si>
    <t xml:space="preserve">6.1.2</t>
  </si>
  <si>
    <t xml:space="preserve">Information security risk assessment process, including risk ACCEPTANCE criteria and criteria for performing assessments</t>
  </si>
  <si>
    <t xml:space="preserve">CGI-RSK-001 applies a documented NIST SP 800-30 5x5 method and has operated twice (v1.0, v1.1). ID.RA = 3.</t>
  </si>
  <si>
    <t xml:space="preserve">No risk acceptance criteria or appetite (GAP-002), so ACC-001 and ACC-V01 were accepted against nothing. No defined re-assessment cadence.</t>
  </si>
  <si>
    <t xml:space="preserve">CEO-approved risk acceptance criteria; assessment cadence.</t>
  </si>
  <si>
    <t xml:space="preserve">ISO-05 (REC-13 pulled forward)</t>
  </si>
  <si>
    <t xml:space="preserve">6.1.3</t>
  </si>
  <si>
    <t xml:space="preserve">Risk treatment: select options, determine controls, compare with Annex A, produce the SoA and a risk treatment plan, and obtain risk owners' approval and residual acceptance</t>
  </si>
  <si>
    <t xml:space="preserve">Four treatment options applied; TP-01 to TP-10 costed; SoA drafted here (93 controls).</t>
  </si>
  <si>
    <t xml:space="preserve">SoA and consolidated RTP not approved; residual High risks (R-004, R-005, VR-004) not formally accepted by their owners.</t>
  </si>
  <si>
    <t xml:space="preserve">Approved SoA v1.0; approved RTP; signed residual-risk acceptances.</t>
  </si>
  <si>
    <t xml:space="preserve">ISO-06</t>
  </si>
  <si>
    <t xml:space="preserve">30 Nov 2026</t>
  </si>
  <si>
    <t xml:space="preserve">6.2</t>
  </si>
  <si>
    <t xml:space="preserve">Information security objectives: measurable, monitored, communicated; plans to achieve them</t>
  </si>
  <si>
    <t xml:space="preserve">14 KRIs exist in CGI-RSK-001 v1.1.</t>
  </si>
  <si>
    <t xml:space="preserve">KRIs are indicators, not objectives. No objectives are set.</t>
  </si>
  <si>
    <t xml:space="preserve">Objectives with owners, targets and dates.</t>
  </si>
  <si>
    <t xml:space="preserve">ISO-07</t>
  </si>
  <si>
    <t xml:space="preserve">6.3</t>
  </si>
  <si>
    <t xml:space="preserve">Planning of changes to the ISMS</t>
  </si>
  <si>
    <t xml:space="preserve">No rule for making ISMS changes in a planned way.</t>
  </si>
  <si>
    <t xml:space="preserve">Change-planning step in the ISMS procedure.</t>
  </si>
  <si>
    <t xml:space="preserve">7.1</t>
  </si>
  <si>
    <t xml:space="preserve">Resources</t>
  </si>
  <si>
    <t xml:space="preserve">The budget is estimated in CGI-RSK-001.</t>
  </si>
  <si>
    <t xml:space="preserve">Not approved; no allocation of staff time to the ISMS.</t>
  </si>
  <si>
    <t xml:space="preserve">Approved budget and time allocation.</t>
  </si>
  <si>
    <t xml:space="preserve">7.2</t>
  </si>
  <si>
    <t xml:space="preserve">Competence, with documented evidence</t>
  </si>
  <si>
    <t xml:space="preserve">None on file.</t>
  </si>
  <si>
    <t xml:space="preserve">No competence requirements for ISMS roles and no evidence of competence.</t>
  </si>
  <si>
    <t xml:space="preserve">Role competence matrix; training and certificate records.</t>
  </si>
  <si>
    <t xml:space="preserve">ISO-10</t>
  </si>
  <si>
    <t xml:space="preserve">7.3</t>
  </si>
  <si>
    <t xml:space="preserve">Awareness of policy, contribution and implications of non-conformance</t>
  </si>
  <si>
    <t xml:space="preserve">Induction 60% complete; 60% acknowledgement.</t>
  </si>
  <si>
    <t xml:space="preserve">Not all staff reached; no recurring programme (CG-04).</t>
  </si>
  <si>
    <t xml:space="preserve">100% acknowledgement; REC-09 curriculum records.</t>
  </si>
  <si>
    <t xml:space="preserve">REC-04; REC-09</t>
  </si>
  <si>
    <t xml:space="preserve">7.4</t>
  </si>
  <si>
    <t xml:space="preserve">Internal and external communication</t>
  </si>
  <si>
    <t xml:space="preserve">Policies published; CGI-POL-005 defines incident communications.</t>
  </si>
  <si>
    <t xml:space="preserve">No ISMS communication plan (what, when, with whom, how).</t>
  </si>
  <si>
    <t xml:space="preserve">Communication plan.</t>
  </si>
  <si>
    <t xml:space="preserve">7.5</t>
  </si>
  <si>
    <t xml:space="preserve">Documented information: creation, updating and control</t>
  </si>
  <si>
    <t xml:space="preserve">Every CGI policy has a document control block (version, owner, review date).</t>
  </si>
  <si>
    <t xml:space="preserve">No procedure controlling records; no document register.</t>
  </si>
  <si>
    <t xml:space="preserve">Document and record control procedure; ISMS document register.</t>
  </si>
  <si>
    <t xml:space="preserve">8.1</t>
  </si>
  <si>
    <t xml:space="preserve">Operational planning and control, including control of externally provided processes</t>
  </si>
  <si>
    <t xml:space="preserve">The CGI-TPR-001 workflow controls externally provided services.</t>
  </si>
  <si>
    <t xml:space="preserve">Other operational processes are not planned or evidenced.</t>
  </si>
  <si>
    <t xml:space="preserve">Operating records for the RTP actions.</t>
  </si>
  <si>
    <t xml:space="preserve">8.2</t>
  </si>
  <si>
    <t xml:space="preserve">Perform risk assessments at planned intervals or on significant change; retain results</t>
  </si>
  <si>
    <t xml:space="preserve">Performed September 2026 (v1.0) and again on change (v1.1 vendor addendum); results retained.</t>
  </si>
  <si>
    <t xml:space="preserve">The planned interval is not yet defined (recorded under 6.1.2).</t>
  </si>
  <si>
    <t xml:space="preserve">Next scheduled assessment record.</t>
  </si>
  <si>
    <t xml:space="preserve">ISO-05</t>
  </si>
  <si>
    <t xml:space="preserve">8.3</t>
  </si>
  <si>
    <t xml:space="preserve">Implement the risk treatment plan; retain results</t>
  </si>
  <si>
    <t xml:space="preserve">CGI-TPR-001 executed (CG-06 closed); AVD-001 and ACC-001 in force.</t>
  </si>
  <si>
    <t xml:space="preserve">Most RTP actions not started (Wave 1 due Q4 2026).</t>
  </si>
  <si>
    <t xml:space="preserve">Treatment status tracker with evidence per action.</t>
  </si>
  <si>
    <t xml:space="preserve">9.1</t>
  </si>
  <si>
    <t xml:space="preserve">Monitoring, measurement, analysis and evaluation; retain results</t>
  </si>
  <si>
    <t xml:space="preserve">14 KRIs defined; KRI-V1 measured once (65%).</t>
  </si>
  <si>
    <t xml:space="preserve">No monitoring programme; results not reported (GV.OV = 1).</t>
  </si>
  <si>
    <t xml:space="preserve">Quarterly KRI and objective report.</t>
  </si>
  <si>
    <t xml:space="preserve">ISO-07; REC-10</t>
  </si>
  <si>
    <t xml:space="preserve">9.2.1</t>
  </si>
  <si>
    <t xml:space="preserve">Internal audit at planned intervals</t>
  </si>
  <si>
    <t xml:space="preserve">No internal audit has ever been performed. There is no REC for it in CGI-GAP-001 (see RC-03).</t>
  </si>
  <si>
    <t xml:space="preserve">Completed internal audit of all clauses and applicable controls before Stage 1.</t>
  </si>
  <si>
    <t xml:space="preserve">9.2.2</t>
  </si>
  <si>
    <t xml:space="preserve">Internal audit programme: frequency, methods, responsibilities, criteria and scope; auditor objectivity; results reported</t>
  </si>
  <si>
    <t xml:space="preserve">No programme; no independent auditor identified.</t>
  </si>
  <si>
    <t xml:space="preserve">Audit programme; audit plan; audit report.</t>
  </si>
  <si>
    <t xml:space="preserve">9.3.1</t>
  </si>
  <si>
    <t xml:space="preserve">Management review at planned intervals</t>
  </si>
  <si>
    <t xml:space="preserve">None. No security item has appeared on a leadership agenda (GAP-005).</t>
  </si>
  <si>
    <t xml:space="preserve">Never held.</t>
  </si>
  <si>
    <t xml:space="preserve">Minutes of management review #1 (Mar 2027) and #2 (Jun 2027).</t>
  </si>
  <si>
    <t xml:space="preserve">ISO-13; REC-10</t>
  </si>
  <si>
    <t xml:space="preserve">9.3.2</t>
  </si>
  <si>
    <t xml:space="preserve">Management review inputs a) to g), including changes in interested parties' needs</t>
  </si>
  <si>
    <t xml:space="preserve">The REC-10 agenda (KRIs, scorecard, TP status) omits several 9.3.2 inputs (see RC-02).</t>
  </si>
  <si>
    <t xml:space="preserve">Agenda template covering 9.3.2 a) to g).</t>
  </si>
  <si>
    <t xml:space="preserve">ISO-13</t>
  </si>
  <si>
    <t xml:space="preserve">9.3.3</t>
  </si>
  <si>
    <t xml:space="preserve">Management review results: improvement decisions and changes; documented</t>
  </si>
  <si>
    <t xml:space="preserve">Minutes with decisions and actions.</t>
  </si>
  <si>
    <t xml:space="preserve">10.1</t>
  </si>
  <si>
    <t xml:space="preserve">Continual improvement</t>
  </si>
  <si>
    <t xml:space="preserve">Improvement happens through commissioned projects (ID.IM = 1).</t>
  </si>
  <si>
    <t xml:space="preserve">No routine improvement loop.</t>
  </si>
  <si>
    <t xml:space="preserve">Improvement log fed by audits, KRIs, incidents and exceptions.</t>
  </si>
  <si>
    <t xml:space="preserve">10.2</t>
  </si>
  <si>
    <t xml:space="preserve">Nonconformity and corrective action (correction, root cause, action, effectiveness review); retained</t>
  </si>
  <si>
    <t xml:space="preserve">CGI-POL-005 section 5.7 covers incident corrective actions only (a fragment).</t>
  </si>
  <si>
    <t xml:space="preserve">No nonconformity process; exceptions (EXC-001 to -003) are not nonconformities.</t>
  </si>
  <si>
    <t xml:space="preserve">NC and corrective action procedure and log.</t>
  </si>
  <si>
    <t xml:space="preserve">Points</t>
  </si>
  <si>
    <t xml:space="preserve">Maximum</t>
  </si>
  <si>
    <t xml:space="preserve">Clause score</t>
  </si>
  <si>
    <t xml:space="preserve">Gates</t>
  </si>
  <si>
    <t xml:space="preserve">Gates failed</t>
  </si>
  <si>
    <t xml:space="preserve">Mandatory documented information checklist</t>
  </si>
  <si>
    <t xml:space="preserve">Ref</t>
  </si>
  <si>
    <t xml:space="preserve">Documented information</t>
  </si>
  <si>
    <t xml:space="preserve">Required by</t>
  </si>
  <si>
    <t xml:space="preserve">Status (Have/Partial/Missing)</t>
  </si>
  <si>
    <t xml:space="preserve">What Cypher Group Inc. already has</t>
  </si>
  <si>
    <t xml:space="preserve">What is missing</t>
  </si>
  <si>
    <t xml:space="preserve">DI-01</t>
  </si>
  <si>
    <t xml:space="preserve">ISMS scope</t>
  </si>
  <si>
    <t xml:space="preserve">Clause 4.3</t>
  </si>
  <si>
    <t xml:space="preserve">CGI-ISO-001 section 2 (draft)</t>
  </si>
  <si>
    <t xml:space="preserve">CEO approval</t>
  </si>
  <si>
    <t xml:space="preserve">DI-02</t>
  </si>
  <si>
    <t xml:space="preserve">Information security policy</t>
  </si>
  <si>
    <t xml:space="preserve">Clause 5.2</t>
  </si>
  <si>
    <t xml:space="preserve">Missing</t>
  </si>
  <si>
    <t xml:space="preserve">None at ISMS level (CGI-POL-001 to -005 are topic-specific)</t>
  </si>
  <si>
    <t xml:space="preserve">Top-level ISMS policy</t>
  </si>
  <si>
    <t xml:space="preserve">DI-03</t>
  </si>
  <si>
    <t xml:space="preserve">Risk assessment process, including acceptance criteria</t>
  </si>
  <si>
    <t xml:space="preserve">Clause 6.1.2</t>
  </si>
  <si>
    <t xml:space="preserve">CGI-RSK-001 methodology and thresholds</t>
  </si>
  <si>
    <t xml:space="preserve">Risk acceptance criteria and appetite (GAP-002)</t>
  </si>
  <si>
    <t xml:space="preserve">DI-04</t>
  </si>
  <si>
    <t xml:space="preserve">Risk treatment process</t>
  </si>
  <si>
    <t xml:space="preserve">Clause 6.1.3</t>
  </si>
  <si>
    <t xml:space="preserve">CGI-RSK-001 treatment strategies (Mitigate, Transfer, Accept, Avoid)</t>
  </si>
  <si>
    <t xml:space="preserve">Link to SoA and residual-acceptance step</t>
  </si>
  <si>
    <t xml:space="preserve">DI-05</t>
  </si>
  <si>
    <t xml:space="preserve">Statement of Applicability</t>
  </si>
  <si>
    <t xml:space="preserve">Clause 6.1.3 d)</t>
  </si>
  <si>
    <t xml:space="preserve">CGI-ISO-001 section 3 (draft v1.0, 93 controls)</t>
  </si>
  <si>
    <t xml:space="preserve">DI-06</t>
  </si>
  <si>
    <t xml:space="preserve">Risk treatment plan</t>
  </si>
  <si>
    <t xml:space="preserve">Clause 6.1.3 e); 8.3</t>
  </si>
  <si>
    <t xml:space="preserve">CGI-RSK-001 TP-01 to TP-10; CGI-GAP-001 REC-01 to REC-18; CGI-TPR-001 R1-R8 and C1-C4; CGI-ISO-001 section 7</t>
  </si>
  <si>
    <t xml:space="preserve">One consolidated plan approved by the risk owners</t>
  </si>
  <si>
    <t xml:space="preserve">DI-07</t>
  </si>
  <si>
    <t xml:space="preserve">Information security objectives</t>
  </si>
  <si>
    <t xml:space="preserve">Clause 6.2</t>
  </si>
  <si>
    <t xml:space="preserve">None (the KRIs are inputs)</t>
  </si>
  <si>
    <t xml:space="preserve">Objectives with measures and dates</t>
  </si>
  <si>
    <t xml:space="preserve">DI-08</t>
  </si>
  <si>
    <t xml:space="preserve">Evidence of competence</t>
  </si>
  <si>
    <t xml:space="preserve">Clause 7.2 d)</t>
  </si>
  <si>
    <t xml:space="preserve">Competence matrix and records</t>
  </si>
  <si>
    <t xml:space="preserve">DI-09</t>
  </si>
  <si>
    <t xml:space="preserve">Documented information the organisation decides is necessary</t>
  </si>
  <si>
    <t xml:space="preserve">Clause 7.5.1 b)</t>
  </si>
  <si>
    <t xml:space="preserve">CGI policy document control blocks</t>
  </si>
  <si>
    <t xml:space="preserve">Document register and control procedure</t>
  </si>
  <si>
    <t xml:space="preserve">DI-10</t>
  </si>
  <si>
    <t xml:space="preserve">Operational planning and control records</t>
  </si>
  <si>
    <t xml:space="preserve">Clause 8.1</t>
  </si>
  <si>
    <t xml:space="preserve">CGI-TPR-001 workflow and records</t>
  </si>
  <si>
    <t xml:space="preserve">Records for the other RTP processes</t>
  </si>
  <si>
    <t xml:space="preserve">DI-11</t>
  </si>
  <si>
    <t xml:space="preserve">Results of risk assessments</t>
  </si>
  <si>
    <t xml:space="preserve">Clause 8.2</t>
  </si>
  <si>
    <t xml:space="preserve">Have</t>
  </si>
  <si>
    <t xml:space="preserve">CGI-RSK-001 v1.0 and v1.1 (VR-001 to VR-009 addendum)</t>
  </si>
  <si>
    <t xml:space="preserve">Next scheduled run</t>
  </si>
  <si>
    <t xml:space="preserve">DI-12</t>
  </si>
  <si>
    <t xml:space="preserve">Results of risk treatment</t>
  </si>
  <si>
    <t xml:space="preserve">Clause 8.3</t>
  </si>
  <si>
    <t xml:space="preserve">CGI-TPR-001 (CG-06 closed); ACC-001; ACC-V01; AVD-001</t>
  </si>
  <si>
    <t xml:space="preserve">Evidence for each RTP action</t>
  </si>
  <si>
    <t xml:space="preserve">DI-13</t>
  </si>
  <si>
    <t xml:space="preserve">Monitoring and measurement results</t>
  </si>
  <si>
    <t xml:space="preserve">Clause 9.1</t>
  </si>
  <si>
    <t xml:space="preserve">KRI-V1 measured once (65%)</t>
  </si>
  <si>
    <t xml:space="preserve">Quarterly results for all KRIs and objectives</t>
  </si>
  <si>
    <t xml:space="preserve">DI-14</t>
  </si>
  <si>
    <t xml:space="preserve">Audit programme and audit results</t>
  </si>
  <si>
    <t xml:space="preserve">Clause 9.2.2</t>
  </si>
  <si>
    <t xml:space="preserve">Programme, plan and report</t>
  </si>
  <si>
    <t xml:space="preserve">DI-15</t>
  </si>
  <si>
    <t xml:space="preserve">Management review results</t>
  </si>
  <si>
    <t xml:space="preserve">Clause 9.3.3</t>
  </si>
  <si>
    <t xml:space="preserve">Minutes of two reviews before Stage 1</t>
  </si>
  <si>
    <t xml:space="preserve">DI-16</t>
  </si>
  <si>
    <t xml:space="preserve">Nonconformities, actions taken and corrective action results</t>
  </si>
  <si>
    <t xml:space="preserve">Clause 10.2</t>
  </si>
  <si>
    <t xml:space="preserve">None (EXC register is not an NC log)</t>
  </si>
  <si>
    <t xml:space="preserve">NC and corrective action log</t>
  </si>
  <si>
    <t xml:space="preserve">DI-17</t>
  </si>
  <si>
    <t xml:space="preserve">Topic-specific policies</t>
  </si>
  <si>
    <t xml:space="preserve">CGI-POL-001 to -005</t>
  </si>
  <si>
    <t xml:space="preserve">CGI-POL-006 Backup, -007 Secure Development, -008 Vulnerability Management; cryptography standard</t>
  </si>
  <si>
    <t xml:space="preserve">DI-18</t>
  </si>
  <si>
    <t xml:space="preserve">CGI-TPR-001 vendor inventory (17)</t>
  </si>
  <si>
    <t xml:space="preserve">Asset and SaaS inventory (REC-05)</t>
  </si>
  <si>
    <t xml:space="preserve">DI-19</t>
  </si>
  <si>
    <t xml:space="preserve">Rules for acceptable use</t>
  </si>
  <si>
    <t xml:space="preserve">A.5.10 (control text says documented)</t>
  </si>
  <si>
    <t xml:space="preserve">CGI-POL-001 v1.0</t>
  </si>
  <si>
    <t xml:space="preserve">Acknowledgement to 100%</t>
  </si>
  <si>
    <t xml:space="preserve">DI-20</t>
  </si>
  <si>
    <t xml:space="preserve">A.5.31 (control text says documented)</t>
  </si>
  <si>
    <t xml:space="preserve">Obligations register</t>
  </si>
  <si>
    <t xml:space="preserve">DI-21</t>
  </si>
  <si>
    <t xml:space="preserve">A.5.37 (control text says documented)</t>
  </si>
  <si>
    <t xml:space="preserve">None beneath the policies</t>
  </si>
  <si>
    <t xml:space="preserve">Runbooks (REC-12)</t>
  </si>
  <si>
    <t xml:space="preserve">DI-22</t>
  </si>
  <si>
    <t xml:space="preserve">A.6.6 (control text says documented)</t>
  </si>
  <si>
    <t xml:space="preserve">None on file</t>
  </si>
  <si>
    <t xml:space="preserve">Signed NDAs</t>
  </si>
  <si>
    <t xml:space="preserve">DI-23</t>
  </si>
  <si>
    <t xml:space="preserve">Configurations, including security configurations</t>
  </si>
  <si>
    <t xml:space="preserve">A.8.9 (control text says documented)</t>
  </si>
  <si>
    <t xml:space="preserve">CIS-based baseline (REC-11)</t>
  </si>
  <si>
    <t xml:space="preserve">DI-24</t>
  </si>
  <si>
    <t xml:space="preserve">Incident management plan and procedures</t>
  </si>
  <si>
    <t xml:space="preserve">A.5.24 / A.5.26 (auditor-expected)</t>
  </si>
  <si>
    <t xml:space="preserve">CGI-POL-005 v1.0</t>
  </si>
  <si>
    <t xml:space="preserve">Exercise record; runbooks</t>
  </si>
  <si>
    <t xml:space="preserve">DI-25</t>
  </si>
  <si>
    <t xml:space="preserve">ICT continuity plan with RTO and RPO</t>
  </si>
  <si>
    <t xml:space="preserve">A.5.30 (auditor-expected)</t>
  </si>
  <si>
    <t xml:space="preserve">CGI-POL-006 and restore test (REC-03)</t>
  </si>
  <si>
    <t xml:space="preserve">DI-26</t>
  </si>
  <si>
    <t xml:space="preserve">Supplier security procedure and supplier register</t>
  </si>
  <si>
    <t xml:space="preserve">A.5.19 to A.5.22 (auditor-expected)</t>
  </si>
  <si>
    <t xml:space="preserve">CGI-TPR-001 v1.0; CGI-TPR-002</t>
  </si>
  <si>
    <t xml:space="preserve">Review records on cadence</t>
  </si>
  <si>
    <t xml:space="preserve">DI-27</t>
  </si>
  <si>
    <t xml:space="preserve">Record of processing activities</t>
  </si>
  <si>
    <t xml:space="preserve">GDPR Art. 30 (legal, via A.5.34)</t>
  </si>
  <si>
    <t xml:space="preserve">None (out of scope in CGI-GAP-001)</t>
  </si>
  <si>
    <t xml:space="preserve">Article 30 record</t>
  </si>
  <si>
    <t xml:space="preserve">Total</t>
  </si>
  <si>
    <t xml:space="preserve">Certification readiness score and Stage 1 go/no-go</t>
  </si>
  <si>
    <t xml:space="preserve">Element</t>
  </si>
  <si>
    <t xml:space="preserve">Value</t>
  </si>
  <si>
    <t xml:space="preserve">Note</t>
  </si>
  <si>
    <t xml:space="preserve">Clause score (04_Clauses)</t>
  </si>
  <si>
    <t xml:space="preserve">Sum of 0-2 scores / maximum</t>
  </si>
  <si>
    <t xml:space="preserve">Annex A score (03_SoA_Summary)</t>
  </si>
  <si>
    <t xml:space="preserve">(Implemented x1 + Partial x0.5) / applicable</t>
  </si>
  <si>
    <t xml:space="preserve">Weight - clauses</t>
  </si>
  <si>
    <t xml:space="preserve">Input. Clauses cannot be excluded and carry most first-certification majors</t>
  </si>
  <si>
    <t xml:space="preserve">Weight - Annex A</t>
  </si>
  <si>
    <t xml:space="preserve">Input</t>
  </si>
  <si>
    <t xml:space="preserve">Weights check</t>
  </si>
  <si>
    <t xml:space="preserve">Weights must sum to 100%</t>
  </si>
  <si>
    <t xml:space="preserve">Weighted readiness</t>
  </si>
  <si>
    <t xml:space="preserve">Gate requirements</t>
  </si>
  <si>
    <t xml:space="preserve">4.3, 6.1.2, 6.1.3, 9.2.1, 9.2.2, 9.3.1, 9.3.2, 9.3.3</t>
  </si>
  <si>
    <t xml:space="preserve">Any failed gate forces NO-GO</t>
  </si>
  <si>
    <t xml:space="preserve">Band threshold - ready</t>
  </si>
  <si>
    <t xml:space="preserve">Band threshold - within 90 days</t>
  </si>
  <si>
    <t xml:space="preserve">Band</t>
  </si>
  <si>
    <t xml:space="preserve">Stage 1 decision today</t>
  </si>
  <si>
    <t xml:space="preserve">Gate override applied first</t>
  </si>
  <si>
    <t xml:space="preserve">Realistic certification date</t>
  </si>
  <si>
    <t xml:space="preserve">Nov 2027</t>
  </si>
  <si>
    <t xml:space="preserve">Stage 1 Jul 2027 -&gt; Stage 2 Oct 2027 -&gt; certificate Nov 2027 (see 07_Roadmap)</t>
  </si>
  <si>
    <t xml:space="preserve">Prioritised roadmap to certification (costs are planning estimates, ISO-A05)</t>
  </si>
  <si>
    <t xml:space="preserve">ID</t>
  </si>
  <si>
    <t xml:space="preserve">Clause / control</t>
  </si>
  <si>
    <t xml:space="preserve">Start</t>
  </si>
  <si>
    <t xml:space="preserve">Phase</t>
  </si>
  <si>
    <t xml:space="preserve">Est. cost (USD)</t>
  </si>
  <si>
    <t xml:space="preserve">Dependency</t>
  </si>
  <si>
    <t xml:space="preserve">Notes</t>
  </si>
  <si>
    <t xml:space="preserve">Context, interested parties and obligations register (including the climate-change relevance decision)</t>
  </si>
  <si>
    <t xml:space="preserve">4.1; 4.2; A.5.31</t>
  </si>
  <si>
    <t xml:space="preserve">01 Oct 2026</t>
  </si>
  <si>
    <t xml:space="preserve">Phase 0 - Foundation</t>
  </si>
  <si>
    <t xml:space="preserve">Would support GV.OC 1 -&gt; 2 once approved</t>
  </si>
  <si>
    <t xml:space="preserve">Approve the ISMS scope and boundary, including the AWS shared-responsibility statement</t>
  </si>
  <si>
    <t xml:space="preserve">4.3; A.5.23; A.8.27</t>
  </si>
  <si>
    <t xml:space="preserve">Takes the documentation half of REC-18 forward (RC-04)</t>
  </si>
  <si>
    <t xml:space="preserve">ISMS policy v1.0; approve the USD 32,100 year-one budget and ISMS time allocation</t>
  </si>
  <si>
    <t xml:space="preserve">5.1; 5.2; 7.1</t>
  </si>
  <si>
    <t xml:space="preserve">One page, signed by the CEO</t>
  </si>
  <si>
    <t xml:space="preserve">Assign the ISMS lead (CTO) and publish the ISMS RACI</t>
  </si>
  <si>
    <t xml:space="preserve">5.3; A.5.2</t>
  </si>
  <si>
    <t xml:space="preserve">Implements the GAP-003 recommended action</t>
  </si>
  <si>
    <t xml:space="preserve">Risk acceptance criteria and appetite; annual plus event-driven assessment cadence</t>
  </si>
  <si>
    <t xml:space="preserve">6.1.2; 8.2</t>
  </si>
  <si>
    <t xml:space="preserve">Same work as REC-13, pulled forward from Q2 2027 (RC-01)</t>
  </si>
  <si>
    <t xml:space="preserve">Approve SoA v1.0 and one consolidated risk treatment plan; risk owners sign residual acceptance for R-004, R-005 and VR-004</t>
  </si>
  <si>
    <t xml:space="preserve">6.1.3; 8.1; 8.3</t>
  </si>
  <si>
    <t xml:space="preserve">01 Nov 2026</t>
  </si>
  <si>
    <t xml:space="preserve">Phase 1 - Plan</t>
  </si>
  <si>
    <t xml:space="preserve">Without ISO-05 these acceptances have no criteria to be made against</t>
  </si>
  <si>
    <t xml:space="preserve">ISMS objectives and measurement plan built on the 14 KRIs</t>
  </si>
  <si>
    <t xml:space="preserve">6.2; 9.1</t>
  </si>
  <si>
    <t xml:space="preserve">Example objective: KRI-V1 (DPA coverage) at 100% and held there every quarter</t>
  </si>
  <si>
    <t xml:space="preserve">ISMS procedures: document and record control, change planning, communication, ISMS risks and opportunities, NC and corrective action, improvement log</t>
  </si>
  <si>
    <t xml:space="preserve">4.4; 6.1.1; 6.3; 7.4; 7.5; 10.1; 10.2</t>
  </si>
  <si>
    <t xml:space="preserve">One short procedure document</t>
  </si>
  <si>
    <t xml:space="preserve">Execute the six outstanding DPAs; approve the CGI-POL-004 section 4.2 amendment; build the GDPR Art. 30 record of processing</t>
  </si>
  <si>
    <t xml:space="preserve">A.5.14; A.5.20; A.5.34</t>
  </si>
  <si>
    <t xml:space="preserve">DPAs by 31 Oct 2026 (CGI-TPR-001 30-day ask); record of processing by 31 Dec 2026</t>
  </si>
  <si>
    <t xml:space="preserve">Competence matrix and records; CTO completes ISO/IEC 27001 Lead Implementer training</t>
  </si>
  <si>
    <t xml:space="preserve">01 Jan 2027</t>
  </si>
  <si>
    <t xml:space="preserve">Phase 2 - Build</t>
  </si>
  <si>
    <t xml:space="preserve">Training cost is a planning estimate</t>
  </si>
  <si>
    <t xml:space="preserve">People, physical and residual technical baseline: screening, terms, disciplinary, NDAs, office rules, malware, masking, web filtering, cryptography, capacity, licences, audit-testing rules</t>
  </si>
  <si>
    <t xml:space="preserve">A.6.1-A.6.6; A.7.x; A.8.6; A.8.7; A.8.11; A.8.14; A.8.23; A.8.24; A.5.32; A.8.34</t>
  </si>
  <si>
    <t xml:space="preserve">Staff time; owners per SoA row</t>
  </si>
  <si>
    <t xml:space="preserve">Internal audit programme; independent internal audit of clauses 4-10 and all applicable controls</t>
  </si>
  <si>
    <t xml:space="preserve">9.2; A.5.35</t>
  </si>
  <si>
    <t xml:space="preserve">01 Mar 2027</t>
  </si>
  <si>
    <t xml:space="preserve">Phase 3 - Check</t>
  </si>
  <si>
    <t xml:space="preserve">Planning estimate for ~4-5 external auditor days; auditor must not audit their own work</t>
  </si>
  <si>
    <t xml:space="preserve">Management review #1 (Mar 2027) and #2 (Jun 2027, after the internal audit), using the REC-10 forum with the full 9.3.2 agenda</t>
  </si>
  <si>
    <t xml:space="preserve">9.3</t>
  </si>
  <si>
    <t xml:space="preserve">ISO-07; ISO-12</t>
  </si>
  <si>
    <t xml:space="preserve">Same forum as REC-10, with an extended agenda (RC-02)</t>
  </si>
  <si>
    <t xml:space="preserve">ISO-14</t>
  </si>
  <si>
    <t xml:space="preserve">Select an accredited certification body (check the DAkkS/UKAS mark and scope); fix audit days; book Stage 1 and Stage 2</t>
  </si>
  <si>
    <t xml:space="preserve">Certification</t>
  </si>
  <si>
    <t xml:space="preserve">Selection itself is free; fees in ISO-17</t>
  </si>
  <si>
    <t xml:space="preserve">ISO-15</t>
  </si>
  <si>
    <t xml:space="preserve">Corrective actions from the internal audit and Stage 1</t>
  </si>
  <si>
    <t xml:space="preserve">01 Jun 2027</t>
  </si>
  <si>
    <t xml:space="preserve">31 Aug 2027</t>
  </si>
  <si>
    <t xml:space="preserve">Phase 4 - Audit</t>
  </si>
  <si>
    <t xml:space="preserve">Staff time</t>
  </si>
  <si>
    <t xml:space="preserve">ISO-16</t>
  </si>
  <si>
    <t xml:space="preserve">Purchase ISO/IEC 27001:2022 (+Amd 1) and ISO/IEC 27002:2022</t>
  </si>
  <si>
    <t xml:space="preserve">Support</t>
  </si>
  <si>
    <t xml:space="preserve">15 Oct 2026</t>
  </si>
  <si>
    <t xml:space="preserve">Planning estimate</t>
  </si>
  <si>
    <t xml:space="preserve">ISO-17</t>
  </si>
  <si>
    <t xml:space="preserve">Certification audit: Stage 1 (Jul 2027) and Stage 2 (Oct 2027, after the Tier 1 vendor re-reviews due Sep 2027)</t>
  </si>
  <si>
    <t xml:space="preserve">01 Jul 2027</t>
  </si>
  <si>
    <t xml:space="preserve">31 Oct 2027</t>
  </si>
  <si>
    <t xml:space="preserve">ISO-12; ISO-13; ISO-14</t>
  </si>
  <si>
    <t xml:space="preserve">Planning estimate for a 50-person single-site scope; certificate expected Nov 2027</t>
  </si>
  <si>
    <t xml:space="preserve">ISO-specific cost to certificate</t>
  </si>
  <si>
    <t xml:space="preserve">Year-one security budget already costed (CGI-RSK-001)</t>
  </si>
  <si>
    <t xml:space="preserve">Programme cost to certificate</t>
  </si>
  <si>
    <t xml:space="preserve">ARR (CGI-RSK-001 assumption A-01)</t>
  </si>
  <si>
    <t xml:space="preserve">Programme cost as % of ARR</t>
  </si>
  <si>
    <t xml:space="preserve">Annual surveillance audit from 2028 (estimate)</t>
  </si>
  <si>
    <t xml:space="preserve">CGI-GAP-001 REC-01 to REC-18 reconciled against the certification plan</t>
  </si>
  <si>
    <t xml:space="preserve">REC</t>
  </si>
  <si>
    <t xml:space="preserve">Recommendation (CGI-GAP-001)</t>
  </si>
  <si>
    <t xml:space="preserve">GAP quarter</t>
  </si>
  <si>
    <t xml:space="preserve">ISO clause / control served</t>
  </si>
  <si>
    <t xml:space="preserve">Latest date ISO needs it</t>
  </si>
  <si>
    <t xml:space="preserve">Conflict?</t>
  </si>
  <si>
    <t xml:space="preserve">Resolution</t>
  </si>
  <si>
    <t xml:space="preserve">MFA to 100%; retire ACC-001</t>
  </si>
  <si>
    <t xml:space="preserve">Q4 2026</t>
  </si>
  <si>
    <t xml:space="preserve">A.5.17; A.8.5</t>
  </si>
  <si>
    <t xml:space="preserve">Before Stage 1</t>
  </si>
  <si>
    <t xml:space="preserve">No</t>
  </si>
  <si>
    <t xml:space="preserve">Keep.</t>
  </si>
  <si>
    <t xml:space="preserve">First quarterly privileged access review</t>
  </si>
  <si>
    <t xml:space="preserve">A.5.18; A.8.2</t>
  </si>
  <si>
    <t xml:space="preserve">4 quarterly records by Stage 2</t>
  </si>
  <si>
    <t xml:space="preserve">Keep; the Dec 2026, Mar, Jun and Sep 2027 reviews give four samples.</t>
  </si>
  <si>
    <t xml:space="preserve">Restore test; CGI-POL-006 with RTO/RPO</t>
  </si>
  <si>
    <t xml:space="preserve">A.8.13; A.5.30</t>
  </si>
  <si>
    <t xml:space="preserve">Keep; same work as VRA-2026-001 C4 (15 Dec 2026) - do not run it twice.</t>
  </si>
  <si>
    <t xml:space="preserve">Acknowledgement 60% -&gt; 100%; joiner gate</t>
  </si>
  <si>
    <t xml:space="preserve">A.5.1; A.5.4; 7.3</t>
  </si>
  <si>
    <t xml:space="preserve">Asset and SaaS inventory</t>
  </si>
  <si>
    <t xml:space="preserve">Q1 2027</t>
  </si>
  <si>
    <t xml:space="preserve">A.5.9; A.5.12; A.5.13; A.8.1</t>
  </si>
  <si>
    <t xml:space="preserve">Keep. Note: REC-15 was delivered before its REC-05 dependency; the vendor inventory is an input, not a substitute.</t>
  </si>
  <si>
    <t xml:space="preserve">CGI-POL-007; branch protection with peer review</t>
  </si>
  <si>
    <t xml:space="preserve">A.8.25; A.8.28; A.8.31; A.8.32; A.8.3; A.8.4</t>
  </si>
  <si>
    <t xml:space="preserve">Operating for 2+ quarters before Stage 2</t>
  </si>
  <si>
    <t xml:space="preserve">No - but a hard deadline</t>
  </si>
  <si>
    <t xml:space="preserve">Keep Q1 2027 and treat it as immovable: any slip moves the certificate date.</t>
  </si>
  <si>
    <t xml:space="preserve">CloudTrail, central logs, alerting</t>
  </si>
  <si>
    <t xml:space="preserve">A.8.15; A.8.16; A.8.17; A.5.28</t>
  </si>
  <si>
    <t xml:space="preserve">CGI-POL-008; authenticated scanning</t>
  </si>
  <si>
    <t xml:space="preserve">A.8.8; A.5.7</t>
  </si>
  <si>
    <t xml:space="preserve">Awareness curriculum; phishing simulation</t>
  </si>
  <si>
    <t xml:space="preserve">A.6.3; 7.3</t>
  </si>
  <si>
    <t xml:space="preserve">REC-10</t>
  </si>
  <si>
    <t xml:space="preserve">Quarterly security review with the CEO</t>
  </si>
  <si>
    <t xml:space="preserve">9.3; 9.1</t>
  </si>
  <si>
    <t xml:space="preserve">MR #1 by Mar 2027</t>
  </si>
  <si>
    <t xml:space="preserve">PARTIAL (RC-02)</t>
  </si>
  <si>
    <t xml:space="preserve">The REC-10 agenda (KRIs, scorecard, TP status) is not a full clause 9.3 review. Extend it to the 9.3.2 a) to g) inputs and minute it as the management review.</t>
  </si>
  <si>
    <t xml:space="preserve">CIS AWS baseline; posture monitoring</t>
  </si>
  <si>
    <t xml:space="preserve">Q2 2027</t>
  </si>
  <si>
    <t xml:space="preserve">A.8.9; A.8.20; A.8.21</t>
  </si>
  <si>
    <t xml:space="preserve">Before Stage 2</t>
  </si>
  <si>
    <t xml:space="preserve">No - tight</t>
  </si>
  <si>
    <t xml:space="preserve">Keep Q2 2027; it gives only one quarter of evidence before Stage 2. Start in April, not June.</t>
  </si>
  <si>
    <t xml:space="preserve">SEV1 tabletop; lessons learned</t>
  </si>
  <si>
    <t xml:space="preserve">A.5.24; A.5.26; A.5.27; A.6.8</t>
  </si>
  <si>
    <t xml:space="preserve">Keep; schedule the tabletop in April 2027 so lessons feed MR #2.</t>
  </si>
  <si>
    <t xml:space="preserve">REC-13</t>
  </si>
  <si>
    <t xml:space="preserve">Risk appetite; assessment cadence</t>
  </si>
  <si>
    <t xml:space="preserve">6.1.2 a) acceptance criteria</t>
  </si>
  <si>
    <t xml:space="preserve">Before SoA and RTP approval (Nov 2026)</t>
  </si>
  <si>
    <t xml:space="preserve">YES (RC-01)</t>
  </si>
  <si>
    <t xml:space="preserve">Pull forward to 31 Oct 2026 as ISO-05. Remove the REC-10 dependency: the CEO approves directly, and the approval is ratified at MR #1.</t>
  </si>
  <si>
    <t xml:space="preserve">REC-14</t>
  </si>
  <si>
    <t xml:space="preserve">Customer recovery communication pack; status page</t>
  </si>
  <si>
    <t xml:space="preserve">A.5.29; A.5.5</t>
  </si>
  <si>
    <t xml:space="preserve">Keep; CGI-VEN-017 onboarding under way.</t>
  </si>
  <si>
    <t xml:space="preserve">REC-15</t>
  </si>
  <si>
    <t xml:space="preserve">Tiered vendor inventory; DPAs; section 4.2 amendment</t>
  </si>
  <si>
    <t xml:space="preserve">A.5.19 to A.5.23</t>
  </si>
  <si>
    <t xml:space="preserve">Delivered</t>
  </si>
  <si>
    <t xml:space="preserve">STATUS CHANGE (RC-05)</t>
  </si>
  <si>
    <t xml:space="preserve">Delivered 15 Sep 2026 by CGI-TPR-001, three quarters early. The outstanding DPAs and section 4.2 approval move to ISO-09.</t>
  </si>
  <si>
    <t xml:space="preserve">SAST in CI; annual penetration test</t>
  </si>
  <si>
    <t xml:space="preserve">Q3 2027</t>
  </si>
  <si>
    <t xml:space="preserve">A.8.29; A.8.3</t>
  </si>
  <si>
    <t xml:space="preserve">RTP-dated at Stage 2 is acceptable</t>
  </si>
  <si>
    <t xml:space="preserve">Keep; run the test in Aug 2027 so the report is available at Stage 2.</t>
  </si>
  <si>
    <t xml:space="preserve">Data egress and DLP monitoring</t>
  </si>
  <si>
    <t xml:space="preserve">A.8.12; A.8.10</t>
  </si>
  <si>
    <t xml:space="preserve">REC-18</t>
  </si>
  <si>
    <t xml:space="preserve">Segmentation; production boundary; shared-responsibility boundary</t>
  </si>
  <si>
    <t xml:space="preserve">Q4 2027</t>
  </si>
  <si>
    <t xml:space="preserve">A.8.22; A.8.27; A.5.23</t>
  </si>
  <si>
    <t xml:space="preserve">Boundary needed for scope (Oct 2026)</t>
  </si>
  <si>
    <t xml:space="preserve">YES (RC-04)</t>
  </si>
  <si>
    <t xml:space="preserve">Split: the shared-responsibility boundary moves to ISO-02 (Oct 2026); segmentation remediation stays in Q4 2027 in the RTP, with R-005 residual accepted under ISO-05.</t>
  </si>
  <si>
    <t xml:space="preserve">Conflict</t>
  </si>
  <si>
    <t xml:space="preserve">Why it matters</t>
  </si>
  <si>
    <t xml:space="preserve">RC-01</t>
  </si>
  <si>
    <t xml:space="preserve">REC-13 (Q2 2027) versus clause 6.1.2 a)</t>
  </si>
  <si>
    <t xml:space="preserve">Risk acceptance criteria are a prerequisite of the SoA and RTP approval, not a Q2 2027 improvement.</t>
  </si>
  <si>
    <t xml:space="preserve">REC-13 becomes ISO-05, due 31 Oct 2026.</t>
  </si>
  <si>
    <t xml:space="preserve">RC-02</t>
  </si>
  <si>
    <t xml:space="preserve">REC-10 versus clause 9.3.2</t>
  </si>
  <si>
    <t xml:space="preserve">A quarterly security review is not automatically a management review.</t>
  </si>
  <si>
    <t xml:space="preserve">Extend the agenda to inputs a) to g); minute it as the management review (ISO-13).</t>
  </si>
  <si>
    <t xml:space="preserve">RC-03</t>
  </si>
  <si>
    <t xml:space="preserve">No internal audit anywhere in REC-01 to REC-18</t>
  </si>
  <si>
    <t xml:space="preserve">An omission in CGI-GAP-001, not a contradiction. Clause 9.2 cannot be excluded.</t>
  </si>
  <si>
    <t xml:space="preserve">New action ISO-12.</t>
  </si>
  <si>
    <t xml:space="preserve">RC-04</t>
  </si>
  <si>
    <t xml:space="preserve">REC-18 (Q4 2027) falls after Stage 2</t>
  </si>
  <si>
    <t xml:space="preserve">The scope statement needs the AWS boundary now.</t>
  </si>
  <si>
    <t xml:space="preserve">Split: documentation to ISO-02 (Oct 2026); segmentation remains Q4 2027 in the RTP.</t>
  </si>
  <si>
    <t xml:space="preserve">RC-05</t>
  </si>
  <si>
    <t xml:space="preserve">REC-15 shows Q2 2027 but was delivered Sep 2026</t>
  </si>
  <si>
    <t xml:space="preserve">A stale status, not a contradiction.</t>
  </si>
  <si>
    <t xml:space="preserve">Mark delivered; leftovers to ISO-09.</t>
  </si>
  <si>
    <t xml:space="preserve">RC-06</t>
  </si>
  <si>
    <t xml:space="preserve">Which control-gap ID sits behind PR.PS</t>
  </si>
  <si>
    <t xml:space="preserve">Citing the wrong gap ID breaks the trace from the SoA back to the register.</t>
  </si>
  <si>
    <t xml:space="preserve">CGI-RSK-001 section 4.3: CG-02 is secure development and vulnerability management, CG-04 is awareness training. CG-02 is used throughout.</t>
  </si>
  <si>
    <t xml:space="preserve">Conflicts flagged YES</t>
  </si>
  <si>
    <t xml:space="preserve">Effect on CGI-GAP-001 maturity - no Category moves in Project 5</t>
  </si>
  <si>
    <t xml:space="preserve">Column F (after Project 5) is what 02_SoA uses for the maturity consistency check.</t>
  </si>
  <si>
    <t xml:space="preserve">Category</t>
  </si>
  <si>
    <t xml:space="preserve">Name</t>
  </si>
  <si>
    <t xml:space="preserve">v1.0 (15 Sep 2026)</t>
  </si>
  <si>
    <t xml:space="preserve">After Project 4</t>
  </si>
  <si>
    <t xml:space="preserve">After Project 5</t>
  </si>
  <si>
    <t xml:space="preserve">Target</t>
  </si>
  <si>
    <t xml:space="preserve">Gap (target - after P5)</t>
  </si>
  <si>
    <t xml:space="preserve">Moved in P5?</t>
  </si>
  <si>
    <t xml:space="preserve">GAP-001</t>
  </si>
  <si>
    <t xml:space="preserve">Organizational Context</t>
  </si>
  <si>
    <t xml:space="preserve">GAP-002</t>
  </si>
  <si>
    <t xml:space="preserve">Risk Management Strategy</t>
  </si>
  <si>
    <t xml:space="preserve">GAP-003</t>
  </si>
  <si>
    <t xml:space="preserve">Roles, Responsibilities and Authorities</t>
  </si>
  <si>
    <t xml:space="preserve">GAP-004</t>
  </si>
  <si>
    <t xml:space="preserve">Policy</t>
  </si>
  <si>
    <t xml:space="preserve">GAP-005</t>
  </si>
  <si>
    <t xml:space="preserve">Oversight</t>
  </si>
  <si>
    <t xml:space="preserve">GAP-006</t>
  </si>
  <si>
    <t xml:space="preserve">Cybersecurity Supply Chain Risk Management</t>
  </si>
  <si>
    <t xml:space="preserve">GAP-007</t>
  </si>
  <si>
    <t xml:space="preserve">Asset Management</t>
  </si>
  <si>
    <t xml:space="preserve">GAP-008</t>
  </si>
  <si>
    <t xml:space="preserve">Risk Assessment</t>
  </si>
  <si>
    <t xml:space="preserve">GAP-009</t>
  </si>
  <si>
    <t xml:space="preserve">Improvement</t>
  </si>
  <si>
    <t xml:space="preserve">GAP-010</t>
  </si>
  <si>
    <t xml:space="preserve">Identity Management, Authentication and Access Control</t>
  </si>
  <si>
    <t xml:space="preserve">GAP-011</t>
  </si>
  <si>
    <t xml:space="preserve">Awareness and Training</t>
  </si>
  <si>
    <t xml:space="preserve">GAP-012</t>
  </si>
  <si>
    <t xml:space="preserve">Data Security</t>
  </si>
  <si>
    <t xml:space="preserve">GAP-013</t>
  </si>
  <si>
    <t xml:space="preserve">Platform Security</t>
  </si>
  <si>
    <t xml:space="preserve">GAP-014</t>
  </si>
  <si>
    <t xml:space="preserve">Technology Infrastructure Resilience</t>
  </si>
  <si>
    <t xml:space="preserve">GAP-015</t>
  </si>
  <si>
    <t xml:space="preserve">Continuous Monitoring</t>
  </si>
  <si>
    <t xml:space="preserve">GAP-016</t>
  </si>
  <si>
    <t xml:space="preserve">Adverse Event Analysis</t>
  </si>
  <si>
    <t xml:space="preserve">GAP-017</t>
  </si>
  <si>
    <t xml:space="preserve">Incident Management</t>
  </si>
  <si>
    <t xml:space="preserve">GAP-018</t>
  </si>
  <si>
    <t xml:space="preserve">Incident Analysis</t>
  </si>
  <si>
    <t xml:space="preserve">GAP-019</t>
  </si>
  <si>
    <t xml:space="preserve">Incident Response Reporting and Communication</t>
  </si>
  <si>
    <t xml:space="preserve">GAP-020</t>
  </si>
  <si>
    <t xml:space="preserve">Incident Mitigation</t>
  </si>
  <si>
    <t xml:space="preserve">GAP-021</t>
  </si>
  <si>
    <t xml:space="preserve">Incident Recovery Plan Execution</t>
  </si>
  <si>
    <t xml:space="preserve">GAP-022</t>
  </si>
  <si>
    <t xml:space="preserve">Incident Recovery Communication</t>
  </si>
  <si>
    <t xml:space="preserve">SUM</t>
  </si>
  <si>
    <t xml:space="preserve">OVERALL AVERAGE (/22)</t>
  </si>
  <si>
    <t xml:space="preserve">Categories moved in Project 5</t>
  </si>
  <si>
    <t xml:space="preserve">Projection: GV.OC 1 -&gt; 2 when ISO-01/ISO-02 are approved</t>
  </si>
  <si>
    <t xml:space="preserve">Assumptions and candidate risks</t>
  </si>
  <si>
    <t xml:space="preserve">Assumption</t>
  </si>
  <si>
    <t xml:space="preserve">ISO-A01</t>
  </si>
  <si>
    <t xml:space="preserve">Cypher Group Inc. operates from a single head office. Its address is not defined in Projects 1-4, so the certificate line carries a bracketed address field.</t>
  </si>
  <si>
    <t xml:space="preserve">Projects 1-4 never state a location; a real certificate must.</t>
  </si>
  <si>
    <t xml:space="preserve">ISO-A02</t>
  </si>
  <si>
    <t xml:space="preserve">All software development is performed by CGI employees; no contractor or agency writes code.</t>
  </si>
  <si>
    <t xml:space="preserve">Basis for excluding A.8.30. Re-include before any outsourcing.</t>
  </si>
  <si>
    <t xml:space="preserve">ISO-A03</t>
  </si>
  <si>
    <t xml:space="preserve">The head office is a leased serviced office whose landlord operates building entry control and fire safety; there is no server or network room.</t>
  </si>
  <si>
    <t xml:space="preserve">Basis for excluding A.7.4, A.7.6, A.7.11 and A.7.12.</t>
  </si>
  <si>
    <t xml:space="preserve">ISO-A04</t>
  </si>
  <si>
    <t xml:space="preserve">Customers depend on platform availability commercially; no contractual SLA figure is recorded in Projects 1-4.</t>
  </si>
  <si>
    <t xml:space="preserve">Basis for including A.8.6 on a stakeholder rather than a risk basis.</t>
  </si>
  <si>
    <t xml:space="preserve">ISO-A05</t>
  </si>
  <si>
    <t xml:space="preserve">ISO-specific costs are planning estimates for a 50-person single-site scope, not quotes.</t>
  </si>
  <si>
    <t xml:space="preserve">Obtain three certification-body quotes in ISO-14.</t>
  </si>
  <si>
    <t xml:space="preserve">ISO-A06</t>
  </si>
  <si>
    <t xml:space="preserve">The Project 4 approval of CGI-TPR-001 by the CEO is treated as the approval of the supplier procedure.</t>
  </si>
  <si>
    <t xml:space="preserve">Required for GV.SC = 2 and for A.5.19 to A.5.22 at maturity 2.</t>
  </si>
  <si>
    <t xml:space="preserve">Candidate risk (for next CGI-RSK-001 review - NOT added)</t>
  </si>
  <si>
    <t xml:space="preserve">Controls it would justify</t>
  </si>
  <si>
    <t xml:space="preserve">Why only a candidate</t>
  </si>
  <si>
    <t xml:space="preserve">CR-01</t>
  </si>
  <si>
    <t xml:space="preserve">Lost or stolen endpoint exposes Confidential data</t>
  </si>
  <si>
    <t xml:space="preserve">A.7.9; A.8.1; A.8.24</t>
  </si>
  <si>
    <t xml:space="preserve">No CGI-RSK-001 risk covers device loss on a BYOD estate of 50.</t>
  </si>
  <si>
    <t xml:space="preserve">CR-02</t>
  </si>
  <si>
    <t xml:space="preserve">Platform capacity exhaustion causes a customer-facing outage</t>
  </si>
  <si>
    <t xml:space="preserve">A.8.6; A.8.14</t>
  </si>
  <si>
    <t xml:space="preserve">Availability is covered only for ransomware (R-002) and vendor concentration (VR-002).</t>
  </si>
  <si>
    <t xml:space="preserve">CR-03</t>
  </si>
  <si>
    <t xml:space="preserve">Unauthorised physical access to the office</t>
  </si>
  <si>
    <t xml:space="preserve">A.7.1; A.7.2; A.7.3</t>
  </si>
  <si>
    <t xml:space="preserve">Physical security was out of scope in CGI-GAP-001.</t>
  </si>
  <si>
    <t xml:space="preserve">Issue checklist - quality gates</t>
  </si>
  <si>
    <t xml:space="preserve">#</t>
  </si>
  <si>
    <t xml:space="preserve">Check</t>
  </si>
  <si>
    <t xml:space="preserve">How verified</t>
  </si>
  <si>
    <t xml:space="preserve">93 controls in 02_SoA</t>
  </si>
  <si>
    <t xml:space="preserve">Formula</t>
  </si>
  <si>
    <t xml:space="preserve">Theme counts 37/8/14/34</t>
  </si>
  <si>
    <t xml:space="preserve">Implemented + Partial + Not started = applicable</t>
  </si>
  <si>
    <t xml:space="preserve">No control maturity above its highest related Category</t>
  </si>
  <si>
    <t xml:space="preserve">Formula (02_SoA column S)</t>
  </si>
  <si>
    <t xml:space="preserve">Seven PR.PS-linked controls (A.5.7, A.8.8, A.8.25, A.8.28, A.8.29, A.8.31, A.8.32) Not started</t>
  </si>
  <si>
    <t xml:space="preserve">A.5.19 to A.5.23 not Implemented (GV.SC = 2)</t>
  </si>
  <si>
    <t xml:space="preserve">Readiness weights sum to 100%</t>
  </si>
  <si>
    <t xml:space="preserve">Document checklist totals 27</t>
  </si>
  <si>
    <t xml:space="preserve">Every applicable control traced to a risk, Category or finding, or labelled NOT risk-based</t>
  </si>
  <si>
    <t xml:space="preserve">PASS</t>
  </si>
  <si>
    <t xml:space="preserve">Python check</t>
  </si>
  <si>
    <t xml:space="preserve">All 14 risk IDs and findings F-001 to F-013 and O-001 referenced</t>
  </si>
  <si>
    <t xml:space="preserve">REC-01 to REC-18 all reconciled</t>
  </si>
  <si>
    <t xml:space="preserve">CGI-GAP-001 sums 27 / 29 / 29, target 59; averages 1.23 / 1.32 / 1.32 / 2.68</t>
  </si>
  <si>
    <t xml:space="preserve">Owners are job titles, never named individuals</t>
  </si>
  <si>
    <t xml:space="preserve">Target dates all after 16 Sep 2026</t>
  </si>
  <si>
    <t xml:space="preserve">Case-study notice on every sheet</t>
  </si>
  <si>
    <t xml:space="preserve">Row 2 of every sheet</t>
  </si>
  <si>
    <t xml:space="preserve">No merged cells; one value per cell</t>
  </si>
  <si>
    <t xml:space="preserve">Build script</t>
  </si>
  <si>
    <t xml:space="preserve">Zero formula errors after LibreOffice recalculation</t>
  </si>
  <si>
    <t xml:space="preserve">LibreOffice recalculation before delivery</t>
  </si>
  <si>
    <t xml:space="preserve">Every control the CGI-POL pack maps in its own framework tables (38) is credited or named as a fragment</t>
  </si>
  <si>
    <t xml:space="preserve">Validation lists</t>
  </si>
  <si>
    <t xml:space="preserve">Status</t>
  </si>
  <si>
    <t xml:space="preserve">Doc status</t>
  </si>
  <si>
    <t xml:space="preserve">N/A - excluded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</si>
</sst>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%"/>
    <numFmt numFmtId="167" formatCode="0%"/>
    <numFmt numFmtId="168" formatCode="#,##0"/>
    <numFmt numFmtId="169" formatCode="0.00%"/>
    <numFmt numFmtId="170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FFCC"/>
      </patternFill>
    </fill>
    <fill>
      <patternFill patternType="solid">
        <fgColor rgb="FFD9D9D9"/>
        <bgColor rgb="FFC6EFCE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FFE0B2"/>
      </patternFill>
    </fill>
    <fill>
      <patternFill patternType="solid">
        <fgColor rgb="FFFFE0B2"/>
        <bgColor rgb="FFFFC7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0B2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C7CE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</row>
    <row r="5" customFormat="false" ht="23.25" hidden="false" customHeight="true" outlineLevel="0" collapsed="false">
      <c r="A5" s="5" t="s">
        <v>4</v>
      </c>
      <c r="B5" s="6" t="s">
        <v>5</v>
      </c>
    </row>
    <row r="6" customFormat="false" ht="23.25" hidden="false" customHeight="true" outlineLevel="0" collapsed="false">
      <c r="A6" s="5" t="s">
        <v>6</v>
      </c>
      <c r="B6" s="6" t="s">
        <v>7</v>
      </c>
    </row>
    <row r="7" customFormat="false" ht="23.25" hidden="false" customHeight="true" outlineLevel="0" collapsed="false">
      <c r="A7" s="5" t="s">
        <v>8</v>
      </c>
      <c r="B7" s="6" t="s">
        <v>9</v>
      </c>
    </row>
    <row r="8" customFormat="false" ht="23.25" hidden="false" customHeight="true" outlineLevel="0" collapsed="false">
      <c r="A8" s="5" t="s">
        <v>10</v>
      </c>
      <c r="B8" s="6" t="s">
        <v>11</v>
      </c>
    </row>
    <row r="9" customFormat="false" ht="15" hidden="false" customHeight="true" outlineLevel="0" collapsed="false">
      <c r="A9" s="5" t="s">
        <v>12</v>
      </c>
      <c r="B9" s="6" t="s">
        <v>13</v>
      </c>
    </row>
    <row r="10" customFormat="false" ht="15" hidden="false" customHeight="true" outlineLevel="0" collapsed="false">
      <c r="A10" s="5" t="s">
        <v>14</v>
      </c>
      <c r="B10" s="7" t="s">
        <v>15</v>
      </c>
    </row>
    <row r="11" customFormat="false" ht="15" hidden="false" customHeight="true" outlineLevel="0" collapsed="false">
      <c r="A11" s="5" t="s">
        <v>16</v>
      </c>
      <c r="B11" s="8" t="s">
        <v>17</v>
      </c>
    </row>
    <row r="12" customFormat="false" ht="15" hidden="false" customHeight="true" outlineLevel="0" collapsed="false">
      <c r="A12" s="5" t="s">
        <v>18</v>
      </c>
      <c r="B12" s="9" t="s">
        <v>19</v>
      </c>
    </row>
    <row r="13" customFormat="false" ht="15" hidden="false" customHeight="true" outlineLevel="0" collapsed="false">
      <c r="A13" s="5" t="s">
        <v>20</v>
      </c>
      <c r="B13" s="10" t="s">
        <v>21</v>
      </c>
    </row>
    <row r="14" customFormat="false" ht="15" hidden="false" customHeight="true" outlineLevel="0" collapsed="false">
      <c r="A14" s="5" t="s">
        <v>22</v>
      </c>
      <c r="B14" s="11" t="s">
        <v>23</v>
      </c>
    </row>
    <row r="15" customFormat="false" ht="23.25" hidden="false" customHeight="true" outlineLevel="0" collapsed="false">
      <c r="A15" s="5" t="s">
        <v>24</v>
      </c>
      <c r="B15" s="6" t="s">
        <v>25</v>
      </c>
    </row>
    <row r="16" customFormat="false" ht="15" hidden="false" customHeight="true" outlineLevel="0" collapsed="false">
      <c r="A16" s="5" t="s">
        <v>26</v>
      </c>
      <c r="B16" s="6" t="s">
        <v>27</v>
      </c>
    </row>
    <row r="17" customFormat="false" ht="15" hidden="false" customHeight="true" outlineLevel="0" collapsed="false">
      <c r="A17" s="5" t="s">
        <v>28</v>
      </c>
      <c r="B17" s="6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70"/>
  </cols>
  <sheetData>
    <row r="1" customFormat="false" ht="17.25" hidden="false" customHeight="true" outlineLevel="0" collapsed="false">
      <c r="A1" s="2" t="s">
        <v>30</v>
      </c>
    </row>
    <row r="2" customFormat="false" ht="15" hidden="false" customHeight="true" outlineLevel="0" collapsed="false">
      <c r="A2" s="3" t="s">
        <v>1</v>
      </c>
    </row>
    <row r="4" customFormat="false" ht="75" hidden="false" customHeight="true" outlineLevel="0" collapsed="false">
      <c r="A4" s="5" t="s">
        <v>31</v>
      </c>
      <c r="B4" s="6" t="s">
        <v>32</v>
      </c>
    </row>
    <row r="6" customFormat="false" ht="15" hidden="false" customHeight="true" outlineLevel="0" collapsed="false">
      <c r="A6" s="4" t="s">
        <v>33</v>
      </c>
      <c r="B6" s="4" t="s">
        <v>34</v>
      </c>
      <c r="C6" s="4" t="s">
        <v>35</v>
      </c>
    </row>
    <row r="7" customFormat="false" ht="15" hidden="false" customHeight="true" outlineLevel="0" collapsed="false">
      <c r="A7" s="6" t="s">
        <v>36</v>
      </c>
      <c r="B7" s="6" t="s">
        <v>37</v>
      </c>
      <c r="C7" s="6" t="s">
        <v>38</v>
      </c>
    </row>
    <row r="8" customFormat="false" ht="23.25" hidden="false" customHeight="true" outlineLevel="0" collapsed="false">
      <c r="A8" s="6" t="s">
        <v>39</v>
      </c>
      <c r="B8" s="6" t="s">
        <v>40</v>
      </c>
      <c r="C8" s="6" t="s">
        <v>41</v>
      </c>
    </row>
    <row r="9" customFormat="false" ht="23.25" hidden="false" customHeight="true" outlineLevel="0" collapsed="false">
      <c r="A9" s="6" t="s">
        <v>42</v>
      </c>
      <c r="B9" s="6" t="s">
        <v>43</v>
      </c>
      <c r="C9" s="6" t="s">
        <v>44</v>
      </c>
    </row>
    <row r="10" customFormat="false" ht="23.25" hidden="false" customHeight="true" outlineLevel="0" collapsed="false">
      <c r="A10" s="6" t="s">
        <v>45</v>
      </c>
      <c r="B10" s="6" t="s">
        <v>46</v>
      </c>
      <c r="C10" s="6" t="s">
        <v>47</v>
      </c>
    </row>
    <row r="11" customFormat="false" ht="15" hidden="false" customHeight="true" outlineLevel="0" collapsed="false">
      <c r="A11" s="6" t="s">
        <v>48</v>
      </c>
      <c r="B11" s="6" t="s">
        <v>49</v>
      </c>
      <c r="C11" s="6" t="s">
        <v>50</v>
      </c>
    </row>
    <row r="12" customFormat="false" ht="23.25" hidden="false" customHeight="true" outlineLevel="0" collapsed="false">
      <c r="A12" s="6" t="s">
        <v>51</v>
      </c>
      <c r="B12" s="6" t="s">
        <v>52</v>
      </c>
      <c r="C12" s="6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60"/>
    <col collapsed="false" customWidth="true" hidden="false" outlineLevel="0" max="6" min="6" style="1" width="14"/>
    <col collapsed="false" customWidth="true" hidden="false" outlineLevel="0" max="7" min="7" style="1" width="48"/>
    <col collapsed="false" customWidth="true" hidden="false" outlineLevel="0" max="8" min="8" style="1" width="22"/>
    <col collapsed="false" customWidth="true" hidden="false" outlineLevel="0" max="9" min="9" style="1" width="20"/>
    <col collapsed="false" customWidth="true" hidden="false" outlineLevel="0" max="10" min="10" style="1" width="16"/>
    <col collapsed="false" customWidth="true" hidden="false" outlineLevel="0" max="11" min="11" style="1" width="34"/>
    <col collapsed="false" customWidth="true" hidden="false" outlineLevel="0" max="12" min="12" style="1" width="14"/>
    <col collapsed="false" customWidth="true" hidden="false" outlineLevel="0" max="13" min="13" style="1" width="26"/>
    <col collapsed="false" customWidth="true" hidden="false" outlineLevel="0" max="15" min="14" style="1" width="10"/>
    <col collapsed="false" customWidth="true" hidden="false" outlineLevel="0" max="16" min="16" style="1" width="18"/>
    <col collapsed="false" customWidth="true" hidden="false" outlineLevel="0" max="17" min="17" style="1" width="20"/>
    <col collapsed="false" customWidth="true" hidden="false" outlineLevel="0" max="18" min="18" style="1" width="10"/>
    <col collapsed="false" customWidth="true" hidden="false" outlineLevel="0" max="19" min="19" style="1" width="14"/>
    <col collapsed="false" customWidth="true" hidden="false" outlineLevel="0" max="22" min="20" style="1" width="9"/>
    <col collapsed="false" customWidth="true" hidden="false" outlineLevel="0" max="23" min="23" style="1" width="10"/>
  </cols>
  <sheetData>
    <row r="1" customFormat="false" ht="17.25" hidden="false" customHeight="true" outlineLevel="0" collapsed="false">
      <c r="A1" s="2" t="s">
        <v>54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12" t="s">
        <v>55</v>
      </c>
    </row>
    <row r="4" customFormat="false" ht="90" hidden="false" customHeight="true" outlineLevel="0" collapsed="false">
      <c r="A4" s="4" t="s">
        <v>56</v>
      </c>
      <c r="B4" s="4" t="s">
        <v>57</v>
      </c>
      <c r="C4" s="4" t="s">
        <v>58</v>
      </c>
      <c r="D4" s="4" t="s">
        <v>59</v>
      </c>
      <c r="E4" s="4" t="s">
        <v>60</v>
      </c>
      <c r="F4" s="4" t="s">
        <v>61</v>
      </c>
      <c r="G4" s="4" t="s">
        <v>62</v>
      </c>
      <c r="H4" s="4" t="s">
        <v>63</v>
      </c>
      <c r="I4" s="4" t="s">
        <v>64</v>
      </c>
      <c r="J4" s="4" t="s">
        <v>65</v>
      </c>
      <c r="K4" s="4" t="s">
        <v>66</v>
      </c>
      <c r="L4" s="4" t="s">
        <v>67</v>
      </c>
      <c r="M4" s="4" t="s">
        <v>68</v>
      </c>
      <c r="N4" s="4" t="s">
        <v>69</v>
      </c>
      <c r="O4" s="4" t="s">
        <v>70</v>
      </c>
      <c r="P4" s="4" t="s">
        <v>71</v>
      </c>
      <c r="Q4" s="4" t="s">
        <v>72</v>
      </c>
      <c r="R4" s="4" t="s">
        <v>73</v>
      </c>
      <c r="S4" s="4" t="s">
        <v>74</v>
      </c>
      <c r="T4" s="4" t="s">
        <v>75</v>
      </c>
      <c r="U4" s="4" t="s">
        <v>76</v>
      </c>
      <c r="V4" s="4" t="s">
        <v>77</v>
      </c>
      <c r="W4" s="4" t="s">
        <v>78</v>
      </c>
    </row>
    <row r="5" customFormat="false" ht="45.75" hidden="false" customHeight="true" outlineLevel="0" collapsed="false">
      <c r="A5" s="6" t="s">
        <v>79</v>
      </c>
      <c r="B5" s="6" t="s">
        <v>80</v>
      </c>
      <c r="C5" s="6" t="s">
        <v>81</v>
      </c>
      <c r="D5" s="7" t="s">
        <v>82</v>
      </c>
      <c r="E5" s="6" t="s">
        <v>83</v>
      </c>
      <c r="F5" s="8" t="str">
        <f aca="false">IF(D5="N","N/A - excluded",IF(N5&gt;=3,"Implemented",IF(N5&gt;=1,"Partial","Not started")))</f>
        <v>Partial</v>
      </c>
      <c r="G5" s="6" t="s">
        <v>84</v>
      </c>
      <c r="H5" s="6" t="s">
        <v>85</v>
      </c>
      <c r="I5" s="6" t="s">
        <v>86</v>
      </c>
      <c r="J5" s="6" t="s">
        <v>87</v>
      </c>
      <c r="K5" s="6" t="s">
        <v>53</v>
      </c>
      <c r="L5" s="6" t="s">
        <v>88</v>
      </c>
      <c r="M5" s="6" t="s">
        <v>89</v>
      </c>
      <c r="N5" s="7" t="n">
        <v>2</v>
      </c>
      <c r="O5" s="6" t="s">
        <v>82</v>
      </c>
      <c r="P5" s="6" t="s">
        <v>90</v>
      </c>
      <c r="Q5" s="6" t="s">
        <v>91</v>
      </c>
      <c r="R5" s="8" t="n">
        <f aca="false">IF(D5="N","",IF(F5="Implemented",1,IF(F5="Partial",0.5,0)))</f>
        <v>0.5</v>
      </c>
      <c r="S5" s="8" t="str">
        <f aca="false">IF(D5="N","N/A",IF(T5="","No category",IF(N5&lt;=W5,"PASS","FAIL")))</f>
        <v>PASS</v>
      </c>
      <c r="T5" s="6" t="s">
        <v>92</v>
      </c>
      <c r="U5" s="6" t="s">
        <v>93</v>
      </c>
      <c r="V5" s="6" t="s">
        <v>94</v>
      </c>
      <c r="W5" s="8" t="n">
        <f aca="false">MAX(IF(T5="",0,IFERROR(INDEX(09_GAP_Impact!$F$6:$F$27,MATCH(T5,09_GAP_Impact!$B$6:$B$27,0)),0)),IF(U5="",0,IFERROR(INDEX(09_GAP_Impact!$F$6:$F$27,MATCH(U5,09_GAP_Impact!$B$6:$B$27,0)),0)),IF(V5="",0,IFERROR(INDEX(09_GAP_Impact!$F$6:$F$27,MATCH(V5,09_GAP_Impact!$B$6:$B$27,0)),0)))</f>
        <v>2</v>
      </c>
    </row>
    <row r="6" customFormat="false" ht="45.75" hidden="false" customHeight="true" outlineLevel="0" collapsed="false">
      <c r="A6" s="6" t="s">
        <v>95</v>
      </c>
      <c r="B6" s="6" t="s">
        <v>96</v>
      </c>
      <c r="C6" s="6" t="s">
        <v>81</v>
      </c>
      <c r="D6" s="7" t="s">
        <v>82</v>
      </c>
      <c r="E6" s="6" t="s">
        <v>97</v>
      </c>
      <c r="F6" s="8" t="str">
        <f aca="false">IF(D6="N","N/A - excluded",IF(N6&gt;=3,"Implemented",IF(N6&gt;=1,"Partial","Not started")))</f>
        <v>Partial</v>
      </c>
      <c r="G6" s="6" t="s">
        <v>98</v>
      </c>
      <c r="H6" s="6" t="s">
        <v>85</v>
      </c>
      <c r="I6" s="6" t="s">
        <v>99</v>
      </c>
      <c r="J6" s="6" t="s">
        <v>100</v>
      </c>
      <c r="K6" s="6" t="s">
        <v>53</v>
      </c>
      <c r="L6" s="6" t="s">
        <v>88</v>
      </c>
      <c r="M6" s="6" t="s">
        <v>89</v>
      </c>
      <c r="N6" s="7" t="n">
        <v>2</v>
      </c>
      <c r="O6" s="6" t="s">
        <v>82</v>
      </c>
      <c r="P6" s="6" t="s">
        <v>100</v>
      </c>
      <c r="Q6" s="6" t="s">
        <v>101</v>
      </c>
      <c r="R6" s="8" t="n">
        <f aca="false">IF(D6="N","",IF(F6="Implemented",1,IF(F6="Partial",0.5,0)))</f>
        <v>0.5</v>
      </c>
      <c r="S6" s="8" t="str">
        <f aca="false">IF(D6="N","N/A",IF(T6="","No category",IF(N6&lt;=W6,"PASS","FAIL")))</f>
        <v>PASS</v>
      </c>
      <c r="T6" s="6" t="s">
        <v>100</v>
      </c>
      <c r="U6" s="6"/>
      <c r="V6" s="6"/>
      <c r="W6" s="8" t="n">
        <f aca="false">MAX(IF(T6="",0,IFERROR(INDEX(09_GAP_Impact!$F$6:$F$27,MATCH(T6,09_GAP_Impact!$B$6:$B$27,0)),0)),IF(U6="",0,IFERROR(INDEX(09_GAP_Impact!$F$6:$F$27,MATCH(U6,09_GAP_Impact!$B$6:$B$27,0)),0)),IF(V6="",0,IFERROR(INDEX(09_GAP_Impact!$F$6:$F$27,MATCH(V6,09_GAP_Impact!$B$6:$B$27,0)),0)))</f>
        <v>2</v>
      </c>
    </row>
    <row r="7" customFormat="false" ht="34.5" hidden="false" customHeight="true" outlineLevel="0" collapsed="false">
      <c r="A7" s="6" t="s">
        <v>102</v>
      </c>
      <c r="B7" s="6" t="s">
        <v>103</v>
      </c>
      <c r="C7" s="6" t="s">
        <v>81</v>
      </c>
      <c r="D7" s="7" t="s">
        <v>82</v>
      </c>
      <c r="E7" s="6" t="s">
        <v>104</v>
      </c>
      <c r="F7" s="8" t="str">
        <f aca="false">IF(D7="N","N/A - excluded",IF(N7&gt;=3,"Implemented",IF(N7&gt;=1,"Partial","Not started")))</f>
        <v>Partial</v>
      </c>
      <c r="G7" s="6" t="s">
        <v>105</v>
      </c>
      <c r="H7" s="6" t="s">
        <v>106</v>
      </c>
      <c r="I7" s="6" t="s">
        <v>107</v>
      </c>
      <c r="J7" s="6" t="s">
        <v>100</v>
      </c>
      <c r="K7" s="6" t="s">
        <v>53</v>
      </c>
      <c r="L7" s="6" t="s">
        <v>108</v>
      </c>
      <c r="M7" s="6" t="s">
        <v>89</v>
      </c>
      <c r="N7" s="7" t="n">
        <v>1</v>
      </c>
      <c r="O7" s="6" t="s">
        <v>82</v>
      </c>
      <c r="P7" s="6" t="s">
        <v>100</v>
      </c>
      <c r="Q7" s="6" t="s">
        <v>109</v>
      </c>
      <c r="R7" s="8" t="n">
        <f aca="false">IF(D7="N","",IF(F7="Implemented",1,IF(F7="Partial",0.5,0)))</f>
        <v>0.5</v>
      </c>
      <c r="S7" s="8" t="str">
        <f aca="false">IF(D7="N","N/A",IF(T7="","No category",IF(N7&lt;=W7,"PASS","FAIL")))</f>
        <v>PASS</v>
      </c>
      <c r="T7" s="6" t="s">
        <v>100</v>
      </c>
      <c r="U7" s="6"/>
      <c r="V7" s="6"/>
      <c r="W7" s="8" t="n">
        <f aca="false">MAX(IF(T7="",0,IFERROR(INDEX(09_GAP_Impact!$F$6:$F$27,MATCH(T7,09_GAP_Impact!$B$6:$B$27,0)),0)),IF(U7="",0,IFERROR(INDEX(09_GAP_Impact!$F$6:$F$27,MATCH(U7,09_GAP_Impact!$B$6:$B$27,0)),0)),IF(V7="",0,IFERROR(INDEX(09_GAP_Impact!$F$6:$F$27,MATCH(V7,09_GAP_Impact!$B$6:$B$27,0)),0)))</f>
        <v>2</v>
      </c>
    </row>
    <row r="8" customFormat="false" ht="34.5" hidden="false" customHeight="true" outlineLevel="0" collapsed="false">
      <c r="A8" s="6" t="s">
        <v>110</v>
      </c>
      <c r="B8" s="6" t="s">
        <v>111</v>
      </c>
      <c r="C8" s="6" t="s">
        <v>81</v>
      </c>
      <c r="D8" s="7" t="s">
        <v>82</v>
      </c>
      <c r="E8" s="6" t="s">
        <v>112</v>
      </c>
      <c r="F8" s="8" t="str">
        <f aca="false">IF(D8="N","N/A - excluded",IF(N8&gt;=3,"Implemented",IF(N8&gt;=1,"Partial","Not started")))</f>
        <v>Partial</v>
      </c>
      <c r="G8" s="6" t="s">
        <v>113</v>
      </c>
      <c r="H8" s="6" t="s">
        <v>85</v>
      </c>
      <c r="I8" s="6" t="s">
        <v>86</v>
      </c>
      <c r="J8" s="6" t="s">
        <v>114</v>
      </c>
      <c r="K8" s="6" t="s">
        <v>53</v>
      </c>
      <c r="L8" s="6" t="s">
        <v>115</v>
      </c>
      <c r="M8" s="6" t="s">
        <v>89</v>
      </c>
      <c r="N8" s="7" t="n">
        <v>1</v>
      </c>
      <c r="O8" s="6" t="s">
        <v>82</v>
      </c>
      <c r="P8" s="6" t="s">
        <v>116</v>
      </c>
      <c r="Q8" s="6" t="s">
        <v>117</v>
      </c>
      <c r="R8" s="8" t="n">
        <f aca="false">IF(D8="N","",IF(F8="Implemented",1,IF(F8="Partial",0.5,0)))</f>
        <v>0.5</v>
      </c>
      <c r="S8" s="8" t="str">
        <f aca="false">IF(D8="N","N/A",IF(T8="","No category",IF(N8&lt;=W8,"PASS","FAIL")))</f>
        <v>PASS</v>
      </c>
      <c r="T8" s="6" t="s">
        <v>100</v>
      </c>
      <c r="U8" s="6" t="s">
        <v>94</v>
      </c>
      <c r="V8" s="6" t="s">
        <v>93</v>
      </c>
      <c r="W8" s="8" t="n">
        <f aca="false">MAX(IF(T8="",0,IFERROR(INDEX(09_GAP_Impact!$F$6:$F$27,MATCH(T8,09_GAP_Impact!$B$6:$B$27,0)),0)),IF(U8="",0,IFERROR(INDEX(09_GAP_Impact!$F$6:$F$27,MATCH(U8,09_GAP_Impact!$B$6:$B$27,0)),0)),IF(V8="",0,IFERROR(INDEX(09_GAP_Impact!$F$6:$F$27,MATCH(V8,09_GAP_Impact!$B$6:$B$27,0)),0)))</f>
        <v>2</v>
      </c>
    </row>
    <row r="9" customFormat="false" ht="34.5" hidden="false" customHeight="true" outlineLevel="0" collapsed="false">
      <c r="A9" s="6" t="s">
        <v>118</v>
      </c>
      <c r="B9" s="6" t="s">
        <v>119</v>
      </c>
      <c r="C9" s="6" t="s">
        <v>81</v>
      </c>
      <c r="D9" s="7" t="s">
        <v>82</v>
      </c>
      <c r="E9" s="6" t="s">
        <v>120</v>
      </c>
      <c r="F9" s="8" t="str">
        <f aca="false">IF(D9="N","N/A - excluded",IF(N9&gt;=3,"Implemented",IF(N9&gt;=1,"Partial","Not started")))</f>
        <v>Partial</v>
      </c>
      <c r="G9" s="6" t="s">
        <v>121</v>
      </c>
      <c r="H9" s="6" t="s">
        <v>122</v>
      </c>
      <c r="I9" s="6" t="s">
        <v>123</v>
      </c>
      <c r="J9" s="6" t="s">
        <v>124</v>
      </c>
      <c r="K9" s="6" t="s">
        <v>125</v>
      </c>
      <c r="L9" s="6" t="s">
        <v>115</v>
      </c>
      <c r="M9" s="6" t="s">
        <v>126</v>
      </c>
      <c r="N9" s="7" t="n">
        <v>1</v>
      </c>
      <c r="O9" s="6" t="s">
        <v>82</v>
      </c>
      <c r="P9" s="6" t="s">
        <v>124</v>
      </c>
      <c r="Q9" s="6" t="s">
        <v>127</v>
      </c>
      <c r="R9" s="8" t="n">
        <f aca="false">IF(D9="N","",IF(F9="Implemented",1,IF(F9="Partial",0.5,0)))</f>
        <v>0.5</v>
      </c>
      <c r="S9" s="8" t="str">
        <f aca="false">IF(D9="N","N/A",IF(T9="","No category",IF(N9&lt;=W9,"PASS","FAIL")))</f>
        <v>PASS</v>
      </c>
      <c r="T9" s="6" t="s">
        <v>128</v>
      </c>
      <c r="U9" s="6" t="s">
        <v>129</v>
      </c>
      <c r="V9" s="6"/>
      <c r="W9" s="8" t="n">
        <f aca="false">MAX(IF(T9="",0,IFERROR(INDEX(09_GAP_Impact!$F$6:$F$27,MATCH(T9,09_GAP_Impact!$B$6:$B$27,0)),0)),IF(U9="",0,IFERROR(INDEX(09_GAP_Impact!$F$6:$F$27,MATCH(U9,09_GAP_Impact!$B$6:$B$27,0)),0)),IF(V9="",0,IFERROR(INDEX(09_GAP_Impact!$F$6:$F$27,MATCH(V9,09_GAP_Impact!$B$6:$B$27,0)),0)))</f>
        <v>2</v>
      </c>
    </row>
    <row r="10" customFormat="false" ht="34.5" hidden="false" customHeight="true" outlineLevel="0" collapsed="false">
      <c r="A10" s="6" t="s">
        <v>130</v>
      </c>
      <c r="B10" s="6" t="s">
        <v>131</v>
      </c>
      <c r="C10" s="6" t="s">
        <v>81</v>
      </c>
      <c r="D10" s="7" t="s">
        <v>82</v>
      </c>
      <c r="E10" s="6" t="s">
        <v>132</v>
      </c>
      <c r="F10" s="8" t="str">
        <f aca="false">IF(D10="N","N/A - excluded",IF(N10&gt;=3,"Implemented",IF(N10&gt;=1,"Partial","Not started")))</f>
        <v>Not started</v>
      </c>
      <c r="G10" s="6" t="s">
        <v>133</v>
      </c>
      <c r="H10" s="6" t="s">
        <v>106</v>
      </c>
      <c r="I10" s="6" t="s">
        <v>53</v>
      </c>
      <c r="J10" s="6" t="s">
        <v>124</v>
      </c>
      <c r="K10" s="6" t="s">
        <v>53</v>
      </c>
      <c r="L10" s="6" t="s">
        <v>134</v>
      </c>
      <c r="M10" s="6" t="s">
        <v>135</v>
      </c>
      <c r="N10" s="7" t="n">
        <v>0</v>
      </c>
      <c r="O10" s="6" t="s">
        <v>82</v>
      </c>
      <c r="P10" s="6" t="s">
        <v>124</v>
      </c>
      <c r="Q10" s="6" t="s">
        <v>136</v>
      </c>
      <c r="R10" s="8" t="n">
        <f aca="false">IF(D10="N","",IF(F10="Implemented",1,IF(F10="Partial",0.5,0)))</f>
        <v>0</v>
      </c>
      <c r="S10" s="8" t="str">
        <f aca="false">IF(D10="N","N/A",IF(T10="","No category",IF(N10&lt;=W10,"PASS","FAIL")))</f>
        <v>PASS</v>
      </c>
      <c r="T10" s="6" t="s">
        <v>128</v>
      </c>
      <c r="U10" s="6" t="s">
        <v>129</v>
      </c>
      <c r="V10" s="6"/>
      <c r="W10" s="8" t="n">
        <f aca="false">MAX(IF(T10="",0,IFERROR(INDEX(09_GAP_Impact!$F$6:$F$27,MATCH(T10,09_GAP_Impact!$B$6:$B$27,0)),0)),IF(U10="",0,IFERROR(INDEX(09_GAP_Impact!$F$6:$F$27,MATCH(U10,09_GAP_Impact!$B$6:$B$27,0)),0)),IF(V10="",0,IFERROR(INDEX(09_GAP_Impact!$F$6:$F$27,MATCH(V10,09_GAP_Impact!$B$6:$B$27,0)),0)))</f>
        <v>2</v>
      </c>
    </row>
    <row r="11" customFormat="false" ht="34.5" hidden="false" customHeight="true" outlineLevel="0" collapsed="false">
      <c r="A11" s="6" t="s">
        <v>137</v>
      </c>
      <c r="B11" s="6" t="s">
        <v>138</v>
      </c>
      <c r="C11" s="6" t="s">
        <v>81</v>
      </c>
      <c r="D11" s="7" t="s">
        <v>82</v>
      </c>
      <c r="E11" s="6" t="s">
        <v>139</v>
      </c>
      <c r="F11" s="8" t="str">
        <f aca="false">IF(D11="N","N/A - excluded",IF(N11&gt;=3,"Implemented",IF(N11&gt;=1,"Partial","Not started")))</f>
        <v>Not started</v>
      </c>
      <c r="G11" s="6" t="s">
        <v>140</v>
      </c>
      <c r="H11" s="6" t="s">
        <v>106</v>
      </c>
      <c r="I11" s="6" t="s">
        <v>141</v>
      </c>
      <c r="J11" s="6" t="s">
        <v>142</v>
      </c>
      <c r="K11" s="6" t="s">
        <v>53</v>
      </c>
      <c r="L11" s="6" t="s">
        <v>108</v>
      </c>
      <c r="M11" s="6" t="s">
        <v>89</v>
      </c>
      <c r="N11" s="7" t="n">
        <v>0</v>
      </c>
      <c r="O11" s="6" t="s">
        <v>82</v>
      </c>
      <c r="P11" s="6" t="s">
        <v>143</v>
      </c>
      <c r="Q11" s="6" t="s">
        <v>144</v>
      </c>
      <c r="R11" s="8" t="n">
        <f aca="false">IF(D11="N","",IF(F11="Implemented",1,IF(F11="Partial",0.5,0)))</f>
        <v>0</v>
      </c>
      <c r="S11" s="8" t="str">
        <f aca="false">IF(D11="N","N/A",IF(T11="","No category",IF(N11&lt;=W11,"PASS","FAIL")))</f>
        <v>PASS</v>
      </c>
      <c r="T11" s="6" t="s">
        <v>143</v>
      </c>
      <c r="U11" s="6" t="s">
        <v>145</v>
      </c>
      <c r="V11" s="6"/>
      <c r="W11" s="8" t="n">
        <f aca="false">MAX(IF(T11="",0,IFERROR(INDEX(09_GAP_Impact!$F$6:$F$27,MATCH(T11,09_GAP_Impact!$B$6:$B$27,0)),0)),IF(U11="",0,IFERROR(INDEX(09_GAP_Impact!$F$6:$F$27,MATCH(U11,09_GAP_Impact!$B$6:$B$27,0)),0)),IF(V11="",0,IFERROR(INDEX(09_GAP_Impact!$F$6:$F$27,MATCH(V11,09_GAP_Impact!$B$6:$B$27,0)),0)))</f>
        <v>3</v>
      </c>
    </row>
    <row r="12" customFormat="false" ht="34.5" hidden="false" customHeight="true" outlineLevel="0" collapsed="false">
      <c r="A12" s="6" t="s">
        <v>146</v>
      </c>
      <c r="B12" s="6" t="s">
        <v>147</v>
      </c>
      <c r="C12" s="6" t="s">
        <v>81</v>
      </c>
      <c r="D12" s="7" t="s">
        <v>82</v>
      </c>
      <c r="E12" s="6" t="s">
        <v>148</v>
      </c>
      <c r="F12" s="8" t="str">
        <f aca="false">IF(D12="N","N/A - excluded",IF(N12&gt;=3,"Implemented",IF(N12&gt;=1,"Partial","Not started")))</f>
        <v>Not started</v>
      </c>
      <c r="G12" s="6" t="s">
        <v>149</v>
      </c>
      <c r="H12" s="6" t="s">
        <v>106</v>
      </c>
      <c r="I12" s="6" t="s">
        <v>150</v>
      </c>
      <c r="J12" s="6" t="s">
        <v>145</v>
      </c>
      <c r="K12" s="6" t="s">
        <v>151</v>
      </c>
      <c r="L12" s="6" t="s">
        <v>108</v>
      </c>
      <c r="M12" s="6" t="s">
        <v>126</v>
      </c>
      <c r="N12" s="7" t="n">
        <v>0</v>
      </c>
      <c r="O12" s="6" t="s">
        <v>152</v>
      </c>
      <c r="P12" s="6" t="s">
        <v>53</v>
      </c>
      <c r="Q12" s="6" t="s">
        <v>109</v>
      </c>
      <c r="R12" s="8" t="n">
        <f aca="false">IF(D12="N","",IF(F12="Implemented",1,IF(F12="Partial",0.5,0)))</f>
        <v>0</v>
      </c>
      <c r="S12" s="8" t="str">
        <f aca="false">IF(D12="N","N/A",IF(T12="","No category",IF(N12&lt;=W12,"PASS","FAIL")))</f>
        <v>PASS</v>
      </c>
      <c r="T12" s="6" t="s">
        <v>145</v>
      </c>
      <c r="U12" s="6"/>
      <c r="V12" s="6"/>
      <c r="W12" s="8" t="n">
        <f aca="false">MAX(IF(T12="",0,IFERROR(INDEX(09_GAP_Impact!$F$6:$F$27,MATCH(T12,09_GAP_Impact!$B$6:$B$27,0)),0)),IF(U12="",0,IFERROR(INDEX(09_GAP_Impact!$F$6:$F$27,MATCH(U12,09_GAP_Impact!$B$6:$B$27,0)),0)),IF(V12="",0,IFERROR(INDEX(09_GAP_Impact!$F$6:$F$27,MATCH(V12,09_GAP_Impact!$B$6:$B$27,0)),0)))</f>
        <v>0</v>
      </c>
    </row>
    <row r="13" customFormat="false" ht="34.5" hidden="false" customHeight="true" outlineLevel="0" collapsed="false">
      <c r="A13" s="6" t="s">
        <v>153</v>
      </c>
      <c r="B13" s="6" t="s">
        <v>154</v>
      </c>
      <c r="C13" s="6" t="s">
        <v>81</v>
      </c>
      <c r="D13" s="7" t="s">
        <v>82</v>
      </c>
      <c r="E13" s="6" t="s">
        <v>155</v>
      </c>
      <c r="F13" s="8" t="str">
        <f aca="false">IF(D13="N","N/A - excluded",IF(N13&gt;=3,"Implemented",IF(N13&gt;=1,"Partial","Not started")))</f>
        <v>Partial</v>
      </c>
      <c r="G13" s="6" t="s">
        <v>156</v>
      </c>
      <c r="H13" s="6" t="s">
        <v>157</v>
      </c>
      <c r="I13" s="6" t="s">
        <v>158</v>
      </c>
      <c r="J13" s="6" t="s">
        <v>159</v>
      </c>
      <c r="K13" s="6" t="s">
        <v>160</v>
      </c>
      <c r="L13" s="6" t="s">
        <v>108</v>
      </c>
      <c r="M13" s="6" t="s">
        <v>126</v>
      </c>
      <c r="N13" s="7" t="n">
        <v>1</v>
      </c>
      <c r="O13" s="6" t="s">
        <v>82</v>
      </c>
      <c r="P13" s="6" t="s">
        <v>159</v>
      </c>
      <c r="Q13" s="6" t="s">
        <v>161</v>
      </c>
      <c r="R13" s="8" t="n">
        <f aca="false">IF(D13="N","",IF(F13="Implemented",1,IF(F13="Partial",0.5,0)))</f>
        <v>0.5</v>
      </c>
      <c r="S13" s="8" t="str">
        <f aca="false">IF(D13="N","N/A",IF(T13="","No category",IF(N13&lt;=W13,"PASS","FAIL")))</f>
        <v>PASS</v>
      </c>
      <c r="T13" s="6" t="s">
        <v>159</v>
      </c>
      <c r="U13" s="6"/>
      <c r="V13" s="6"/>
      <c r="W13" s="8" t="n">
        <f aca="false">MAX(IF(T13="",0,IFERROR(INDEX(09_GAP_Impact!$F$6:$F$27,MATCH(T13,09_GAP_Impact!$B$6:$B$27,0)),0)),IF(U13="",0,IFERROR(INDEX(09_GAP_Impact!$F$6:$F$27,MATCH(U13,09_GAP_Impact!$B$6:$B$27,0)),0)),IF(V13="",0,IFERROR(INDEX(09_GAP_Impact!$F$6:$F$27,MATCH(V13,09_GAP_Impact!$B$6:$B$27,0)),0)))</f>
        <v>1</v>
      </c>
    </row>
    <row r="14" customFormat="false" ht="34.5" hidden="false" customHeight="true" outlineLevel="0" collapsed="false">
      <c r="A14" s="6" t="s">
        <v>162</v>
      </c>
      <c r="B14" s="6" t="s">
        <v>163</v>
      </c>
      <c r="C14" s="6" t="s">
        <v>81</v>
      </c>
      <c r="D14" s="7" t="s">
        <v>82</v>
      </c>
      <c r="E14" s="6" t="s">
        <v>164</v>
      </c>
      <c r="F14" s="8" t="str">
        <f aca="false">IF(D14="N","N/A - excluded",IF(N14&gt;=3,"Implemented",IF(N14&gt;=1,"Partial","Not started")))</f>
        <v>Partial</v>
      </c>
      <c r="G14" s="6" t="s">
        <v>165</v>
      </c>
      <c r="H14" s="6" t="s">
        <v>166</v>
      </c>
      <c r="I14" s="6" t="s">
        <v>167</v>
      </c>
      <c r="J14" s="6" t="s">
        <v>168</v>
      </c>
      <c r="K14" s="6" t="s">
        <v>169</v>
      </c>
      <c r="L14" s="6" t="s">
        <v>115</v>
      </c>
      <c r="M14" s="6" t="s">
        <v>126</v>
      </c>
      <c r="N14" s="7" t="n">
        <v>2</v>
      </c>
      <c r="O14" s="6" t="s">
        <v>82</v>
      </c>
      <c r="P14" s="6" t="s">
        <v>159</v>
      </c>
      <c r="Q14" s="6" t="s">
        <v>117</v>
      </c>
      <c r="R14" s="8" t="n">
        <f aca="false">IF(D14="N","",IF(F14="Implemented",1,IF(F14="Partial",0.5,0)))</f>
        <v>0.5</v>
      </c>
      <c r="S14" s="8" t="str">
        <f aca="false">IF(D14="N","N/A",IF(T14="","No category",IF(N14&lt;=W14,"PASS","FAIL")))</f>
        <v>PASS</v>
      </c>
      <c r="T14" s="6" t="s">
        <v>159</v>
      </c>
      <c r="U14" s="6" t="s">
        <v>92</v>
      </c>
      <c r="V14" s="6"/>
      <c r="W14" s="8" t="n">
        <f aca="false">MAX(IF(T14="",0,IFERROR(INDEX(09_GAP_Impact!$F$6:$F$27,MATCH(T14,09_GAP_Impact!$B$6:$B$27,0)),0)),IF(U14="",0,IFERROR(INDEX(09_GAP_Impact!$F$6:$F$27,MATCH(U14,09_GAP_Impact!$B$6:$B$27,0)),0)),IF(V14="",0,IFERROR(INDEX(09_GAP_Impact!$F$6:$F$27,MATCH(V14,09_GAP_Impact!$B$6:$B$27,0)),0)))</f>
        <v>2</v>
      </c>
    </row>
    <row r="15" customFormat="false" ht="34.5" hidden="false" customHeight="true" outlineLevel="0" collapsed="false">
      <c r="A15" s="6" t="s">
        <v>170</v>
      </c>
      <c r="B15" s="6" t="s">
        <v>171</v>
      </c>
      <c r="C15" s="6" t="s">
        <v>81</v>
      </c>
      <c r="D15" s="7" t="s">
        <v>82</v>
      </c>
      <c r="E15" s="6" t="s">
        <v>172</v>
      </c>
      <c r="F15" s="8" t="str">
        <f aca="false">IF(D15="N","N/A - excluded",IF(N15&gt;=3,"Implemented",IF(N15&gt;=1,"Partial","Not started")))</f>
        <v>Partial</v>
      </c>
      <c r="G15" s="6" t="s">
        <v>173</v>
      </c>
      <c r="H15" s="6" t="s">
        <v>166</v>
      </c>
      <c r="I15" s="6" t="s">
        <v>174</v>
      </c>
      <c r="J15" s="6" t="s">
        <v>175</v>
      </c>
      <c r="K15" s="6" t="s">
        <v>176</v>
      </c>
      <c r="L15" s="6" t="s">
        <v>115</v>
      </c>
      <c r="M15" s="6" t="s">
        <v>126</v>
      </c>
      <c r="N15" s="7" t="n">
        <v>2</v>
      </c>
      <c r="O15" s="6" t="s">
        <v>152</v>
      </c>
      <c r="P15" s="6" t="s">
        <v>53</v>
      </c>
      <c r="Q15" s="6" t="s">
        <v>177</v>
      </c>
      <c r="R15" s="8" t="n">
        <f aca="false">IF(D15="N","",IF(F15="Implemented",1,IF(F15="Partial",0.5,0)))</f>
        <v>0.5</v>
      </c>
      <c r="S15" s="8" t="str">
        <f aca="false">IF(D15="N","N/A",IF(T15="","No category",IF(N15&lt;=W15,"PASS","FAIL")))</f>
        <v>PASS</v>
      </c>
      <c r="T15" s="6" t="s">
        <v>175</v>
      </c>
      <c r="U15" s="6"/>
      <c r="V15" s="6"/>
      <c r="W15" s="8" t="n">
        <f aca="false">MAX(IF(T15="",0,IFERROR(INDEX(09_GAP_Impact!$F$6:$F$27,MATCH(T15,09_GAP_Impact!$B$6:$B$27,0)),0)),IF(U15="",0,IFERROR(INDEX(09_GAP_Impact!$F$6:$F$27,MATCH(U15,09_GAP_Impact!$B$6:$B$27,0)),0)),IF(V15="",0,IFERROR(INDEX(09_GAP_Impact!$F$6:$F$27,MATCH(V15,09_GAP_Impact!$B$6:$B$27,0)),0)))</f>
        <v>2</v>
      </c>
    </row>
    <row r="16" customFormat="false" ht="34.5" hidden="false" customHeight="true" outlineLevel="0" collapsed="false">
      <c r="A16" s="6" t="s">
        <v>178</v>
      </c>
      <c r="B16" s="6" t="s">
        <v>179</v>
      </c>
      <c r="C16" s="6" t="s">
        <v>81</v>
      </c>
      <c r="D16" s="7" t="s">
        <v>82</v>
      </c>
      <c r="E16" s="6" t="s">
        <v>180</v>
      </c>
      <c r="F16" s="8" t="str">
        <f aca="false">IF(D16="N","N/A - excluded",IF(N16&gt;=3,"Implemented",IF(N16&gt;=1,"Partial","Not started")))</f>
        <v>Partial</v>
      </c>
      <c r="G16" s="6" t="s">
        <v>181</v>
      </c>
      <c r="H16" s="6" t="s">
        <v>106</v>
      </c>
      <c r="I16" s="6" t="s">
        <v>158</v>
      </c>
      <c r="J16" s="6" t="s">
        <v>182</v>
      </c>
      <c r="K16" s="6" t="s">
        <v>183</v>
      </c>
      <c r="L16" s="6" t="s">
        <v>108</v>
      </c>
      <c r="M16" s="6" t="s">
        <v>126</v>
      </c>
      <c r="N16" s="7" t="n">
        <v>2</v>
      </c>
      <c r="O16" s="6" t="s">
        <v>82</v>
      </c>
      <c r="P16" s="6" t="s">
        <v>182</v>
      </c>
      <c r="Q16" s="6" t="s">
        <v>161</v>
      </c>
      <c r="R16" s="8" t="n">
        <f aca="false">IF(D16="N","",IF(F16="Implemented",1,IF(F16="Partial",0.5,0)))</f>
        <v>0.5</v>
      </c>
      <c r="S16" s="8" t="str">
        <f aca="false">IF(D16="N","N/A",IF(T16="","No category",IF(N16&lt;=W16,"PASS","FAIL")))</f>
        <v>PASS</v>
      </c>
      <c r="T16" s="6" t="s">
        <v>159</v>
      </c>
      <c r="U16" s="6" t="s">
        <v>184</v>
      </c>
      <c r="V16" s="6"/>
      <c r="W16" s="8" t="n">
        <f aca="false">MAX(IF(T16="",0,IFERROR(INDEX(09_GAP_Impact!$F$6:$F$27,MATCH(T16,09_GAP_Impact!$B$6:$B$27,0)),0)),IF(U16="",0,IFERROR(INDEX(09_GAP_Impact!$F$6:$F$27,MATCH(U16,09_GAP_Impact!$B$6:$B$27,0)),0)),IF(V16="",0,IFERROR(INDEX(09_GAP_Impact!$F$6:$F$27,MATCH(V16,09_GAP_Impact!$B$6:$B$27,0)),0)))</f>
        <v>2</v>
      </c>
    </row>
    <row r="17" customFormat="false" ht="23.25" hidden="false" customHeight="true" outlineLevel="0" collapsed="false">
      <c r="A17" s="6" t="s">
        <v>185</v>
      </c>
      <c r="B17" s="6" t="s">
        <v>186</v>
      </c>
      <c r="C17" s="6" t="s">
        <v>81</v>
      </c>
      <c r="D17" s="7" t="s">
        <v>82</v>
      </c>
      <c r="E17" s="6" t="s">
        <v>187</v>
      </c>
      <c r="F17" s="8" t="str">
        <f aca="false">IF(D17="N","N/A - excluded",IF(N17&gt;=3,"Implemented",IF(N17&gt;=1,"Partial","Not started")))</f>
        <v>Partial</v>
      </c>
      <c r="G17" s="6" t="s">
        <v>188</v>
      </c>
      <c r="H17" s="6" t="s">
        <v>157</v>
      </c>
      <c r="I17" s="6" t="s">
        <v>99</v>
      </c>
      <c r="J17" s="6" t="s">
        <v>159</v>
      </c>
      <c r="K17" s="6" t="s">
        <v>53</v>
      </c>
      <c r="L17" s="6" t="s">
        <v>108</v>
      </c>
      <c r="M17" s="6" t="s">
        <v>89</v>
      </c>
      <c r="N17" s="7" t="n">
        <v>1</v>
      </c>
      <c r="O17" s="6" t="s">
        <v>82</v>
      </c>
      <c r="P17" s="6" t="s">
        <v>159</v>
      </c>
      <c r="Q17" s="6" t="s">
        <v>161</v>
      </c>
      <c r="R17" s="8" t="n">
        <f aca="false">IF(D17="N","",IF(F17="Implemented",1,IF(F17="Partial",0.5,0)))</f>
        <v>0.5</v>
      </c>
      <c r="S17" s="8" t="str">
        <f aca="false">IF(D17="N","N/A",IF(T17="","No category",IF(N17&lt;=W17,"PASS","FAIL")))</f>
        <v>PASS</v>
      </c>
      <c r="T17" s="6" t="s">
        <v>159</v>
      </c>
      <c r="U17" s="6"/>
      <c r="V17" s="6"/>
      <c r="W17" s="8" t="n">
        <f aca="false">MAX(IF(T17="",0,IFERROR(INDEX(09_GAP_Impact!$F$6:$F$27,MATCH(T17,09_GAP_Impact!$B$6:$B$27,0)),0)),IF(U17="",0,IFERROR(INDEX(09_GAP_Impact!$F$6:$F$27,MATCH(U17,09_GAP_Impact!$B$6:$B$27,0)),0)),IF(V17="",0,IFERROR(INDEX(09_GAP_Impact!$F$6:$F$27,MATCH(V17,09_GAP_Impact!$B$6:$B$27,0)),0)))</f>
        <v>1</v>
      </c>
    </row>
    <row r="18" customFormat="false" ht="34.5" hidden="false" customHeight="true" outlineLevel="0" collapsed="false">
      <c r="A18" s="6" t="s">
        <v>189</v>
      </c>
      <c r="B18" s="6" t="s">
        <v>190</v>
      </c>
      <c r="C18" s="6" t="s">
        <v>81</v>
      </c>
      <c r="D18" s="7" t="s">
        <v>82</v>
      </c>
      <c r="E18" s="6" t="s">
        <v>191</v>
      </c>
      <c r="F18" s="8" t="str">
        <f aca="false">IF(D18="N","N/A - excluded",IF(N18&gt;=3,"Implemented",IF(N18&gt;=1,"Partial","Not started")))</f>
        <v>Partial</v>
      </c>
      <c r="G18" s="6" t="s">
        <v>192</v>
      </c>
      <c r="H18" s="6" t="s">
        <v>106</v>
      </c>
      <c r="I18" s="6" t="s">
        <v>193</v>
      </c>
      <c r="J18" s="6" t="s">
        <v>184</v>
      </c>
      <c r="K18" s="6" t="s">
        <v>194</v>
      </c>
      <c r="L18" s="6" t="s">
        <v>88</v>
      </c>
      <c r="M18" s="6" t="s">
        <v>126</v>
      </c>
      <c r="N18" s="7" t="n">
        <v>2</v>
      </c>
      <c r="O18" s="6" t="s">
        <v>82</v>
      </c>
      <c r="P18" s="6" t="s">
        <v>184</v>
      </c>
      <c r="Q18" s="6" t="s">
        <v>195</v>
      </c>
      <c r="R18" s="8" t="n">
        <f aca="false">IF(D18="N","",IF(F18="Implemented",1,IF(F18="Partial",0.5,0)))</f>
        <v>0.5</v>
      </c>
      <c r="S18" s="8" t="str">
        <f aca="false">IF(D18="N","N/A",IF(T18="","No category",IF(N18&lt;=W18,"PASS","FAIL")))</f>
        <v>PASS</v>
      </c>
      <c r="T18" s="6" t="s">
        <v>184</v>
      </c>
      <c r="U18" s="6"/>
      <c r="V18" s="6"/>
      <c r="W18" s="8" t="n">
        <f aca="false">MAX(IF(T18="",0,IFERROR(INDEX(09_GAP_Impact!$F$6:$F$27,MATCH(T18,09_GAP_Impact!$B$6:$B$27,0)),0)),IF(U18="",0,IFERROR(INDEX(09_GAP_Impact!$F$6:$F$27,MATCH(U18,09_GAP_Impact!$B$6:$B$27,0)),0)),IF(V18="",0,IFERROR(INDEX(09_GAP_Impact!$F$6:$F$27,MATCH(V18,09_GAP_Impact!$B$6:$B$27,0)),0)))</f>
        <v>2</v>
      </c>
    </row>
    <row r="19" customFormat="false" ht="34.5" hidden="false" customHeight="true" outlineLevel="0" collapsed="false">
      <c r="A19" s="6" t="s">
        <v>196</v>
      </c>
      <c r="B19" s="6" t="s">
        <v>197</v>
      </c>
      <c r="C19" s="6" t="s">
        <v>81</v>
      </c>
      <c r="D19" s="7" t="s">
        <v>82</v>
      </c>
      <c r="E19" s="6" t="s">
        <v>198</v>
      </c>
      <c r="F19" s="8" t="str">
        <f aca="false">IF(D19="N","N/A - excluded",IF(N19&gt;=3,"Implemented",IF(N19&gt;=1,"Partial","Not started")))</f>
        <v>Partial</v>
      </c>
      <c r="G19" s="6" t="s">
        <v>199</v>
      </c>
      <c r="H19" s="6" t="s">
        <v>157</v>
      </c>
      <c r="I19" s="6" t="s">
        <v>200</v>
      </c>
      <c r="J19" s="6" t="s">
        <v>175</v>
      </c>
      <c r="K19" s="6" t="s">
        <v>201</v>
      </c>
      <c r="L19" s="6" t="s">
        <v>115</v>
      </c>
      <c r="M19" s="6" t="s">
        <v>126</v>
      </c>
      <c r="N19" s="7" t="n">
        <v>2</v>
      </c>
      <c r="O19" s="6" t="s">
        <v>82</v>
      </c>
      <c r="P19" s="6" t="s">
        <v>175</v>
      </c>
      <c r="Q19" s="6" t="s">
        <v>202</v>
      </c>
      <c r="R19" s="8" t="n">
        <f aca="false">IF(D19="N","",IF(F19="Implemented",1,IF(F19="Partial",0.5,0)))</f>
        <v>0.5</v>
      </c>
      <c r="S19" s="8" t="str">
        <f aca="false">IF(D19="N","N/A",IF(T19="","No category",IF(N19&lt;=W19,"PASS","FAIL")))</f>
        <v>PASS</v>
      </c>
      <c r="T19" s="6" t="s">
        <v>175</v>
      </c>
      <c r="U19" s="6"/>
      <c r="V19" s="6"/>
      <c r="W19" s="8" t="n">
        <f aca="false">MAX(IF(T19="",0,IFERROR(INDEX(09_GAP_Impact!$F$6:$F$27,MATCH(T19,09_GAP_Impact!$B$6:$B$27,0)),0)),IF(U19="",0,IFERROR(INDEX(09_GAP_Impact!$F$6:$F$27,MATCH(U19,09_GAP_Impact!$B$6:$B$27,0)),0)),IF(V19="",0,IFERROR(INDEX(09_GAP_Impact!$F$6:$F$27,MATCH(V19,09_GAP_Impact!$B$6:$B$27,0)),0)))</f>
        <v>2</v>
      </c>
    </row>
    <row r="20" customFormat="false" ht="34.5" hidden="false" customHeight="true" outlineLevel="0" collapsed="false">
      <c r="A20" s="6" t="s">
        <v>203</v>
      </c>
      <c r="B20" s="6" t="s">
        <v>204</v>
      </c>
      <c r="C20" s="6" t="s">
        <v>81</v>
      </c>
      <c r="D20" s="7" t="s">
        <v>82</v>
      </c>
      <c r="E20" s="6" t="s">
        <v>205</v>
      </c>
      <c r="F20" s="8" t="str">
        <f aca="false">IF(D20="N","N/A - excluded",IF(N20&gt;=3,"Implemented",IF(N20&gt;=1,"Partial","Not started")))</f>
        <v>Partial</v>
      </c>
      <c r="G20" s="6" t="s">
        <v>206</v>
      </c>
      <c r="H20" s="6" t="s">
        <v>157</v>
      </c>
      <c r="I20" s="6" t="s">
        <v>200</v>
      </c>
      <c r="J20" s="6" t="s">
        <v>175</v>
      </c>
      <c r="K20" s="6" t="s">
        <v>207</v>
      </c>
      <c r="L20" s="6" t="s">
        <v>115</v>
      </c>
      <c r="M20" s="6" t="s">
        <v>126</v>
      </c>
      <c r="N20" s="7" t="n">
        <v>2</v>
      </c>
      <c r="O20" s="6" t="s">
        <v>82</v>
      </c>
      <c r="P20" s="6" t="s">
        <v>175</v>
      </c>
      <c r="Q20" s="6" t="s">
        <v>208</v>
      </c>
      <c r="R20" s="8" t="n">
        <f aca="false">IF(D20="N","",IF(F20="Implemented",1,IF(F20="Partial",0.5,0)))</f>
        <v>0.5</v>
      </c>
      <c r="S20" s="8" t="str">
        <f aca="false">IF(D20="N","N/A",IF(T20="","No category",IF(N20&lt;=W20,"PASS","FAIL")))</f>
        <v>PASS</v>
      </c>
      <c r="T20" s="6" t="s">
        <v>175</v>
      </c>
      <c r="U20" s="6"/>
      <c r="V20" s="6"/>
      <c r="W20" s="8" t="n">
        <f aca="false">MAX(IF(T20="",0,IFERROR(INDEX(09_GAP_Impact!$F$6:$F$27,MATCH(T20,09_GAP_Impact!$B$6:$B$27,0)),0)),IF(U20="",0,IFERROR(INDEX(09_GAP_Impact!$F$6:$F$27,MATCH(U20,09_GAP_Impact!$B$6:$B$27,0)),0)),IF(V20="",0,IFERROR(INDEX(09_GAP_Impact!$F$6:$F$27,MATCH(V20,09_GAP_Impact!$B$6:$B$27,0)),0)))</f>
        <v>2</v>
      </c>
    </row>
    <row r="21" customFormat="false" ht="23.25" hidden="false" customHeight="true" outlineLevel="0" collapsed="false">
      <c r="A21" s="6" t="s">
        <v>209</v>
      </c>
      <c r="B21" s="6" t="s">
        <v>210</v>
      </c>
      <c r="C21" s="6" t="s">
        <v>81</v>
      </c>
      <c r="D21" s="7" t="s">
        <v>82</v>
      </c>
      <c r="E21" s="6" t="s">
        <v>211</v>
      </c>
      <c r="F21" s="8" t="str">
        <f aca="false">IF(D21="N","N/A - excluded",IF(N21&gt;=3,"Implemented",IF(N21&gt;=1,"Partial","Not started")))</f>
        <v>Partial</v>
      </c>
      <c r="G21" s="6" t="s">
        <v>212</v>
      </c>
      <c r="H21" s="6" t="s">
        <v>157</v>
      </c>
      <c r="I21" s="6" t="s">
        <v>213</v>
      </c>
      <c r="J21" s="6" t="s">
        <v>175</v>
      </c>
      <c r="K21" s="6" t="s">
        <v>214</v>
      </c>
      <c r="L21" s="6" t="s">
        <v>115</v>
      </c>
      <c r="M21" s="6" t="s">
        <v>126</v>
      </c>
      <c r="N21" s="7" t="n">
        <v>2</v>
      </c>
      <c r="O21" s="6" t="s">
        <v>82</v>
      </c>
      <c r="P21" s="6" t="s">
        <v>175</v>
      </c>
      <c r="Q21" s="6" t="s">
        <v>215</v>
      </c>
      <c r="R21" s="8" t="n">
        <f aca="false">IF(D21="N","",IF(F21="Implemented",1,IF(F21="Partial",0.5,0)))</f>
        <v>0.5</v>
      </c>
      <c r="S21" s="8" t="str">
        <f aca="false">IF(D21="N","N/A",IF(T21="","No category",IF(N21&lt;=W21,"PASS","FAIL")))</f>
        <v>PASS</v>
      </c>
      <c r="T21" s="6" t="s">
        <v>175</v>
      </c>
      <c r="U21" s="6"/>
      <c r="V21" s="6"/>
      <c r="W21" s="8" t="n">
        <f aca="false">MAX(IF(T21="",0,IFERROR(INDEX(09_GAP_Impact!$F$6:$F$27,MATCH(T21,09_GAP_Impact!$B$6:$B$27,0)),0)),IF(U21="",0,IFERROR(INDEX(09_GAP_Impact!$F$6:$F$27,MATCH(U21,09_GAP_Impact!$B$6:$B$27,0)),0)),IF(V21="",0,IFERROR(INDEX(09_GAP_Impact!$F$6:$F$27,MATCH(V21,09_GAP_Impact!$B$6:$B$27,0)),0)))</f>
        <v>2</v>
      </c>
    </row>
    <row r="22" customFormat="false" ht="34.5" hidden="false" customHeight="true" outlineLevel="0" collapsed="false">
      <c r="A22" s="6" t="s">
        <v>216</v>
      </c>
      <c r="B22" s="6" t="s">
        <v>217</v>
      </c>
      <c r="C22" s="6" t="s">
        <v>81</v>
      </c>
      <c r="D22" s="7" t="s">
        <v>82</v>
      </c>
      <c r="E22" s="6" t="s">
        <v>218</v>
      </c>
      <c r="F22" s="8" t="str">
        <f aca="false">IF(D22="N","N/A - excluded",IF(N22&gt;=3,"Implemented",IF(N22&gt;=1,"Partial","Not started")))</f>
        <v>Partial</v>
      </c>
      <c r="G22" s="6" t="s">
        <v>219</v>
      </c>
      <c r="H22" s="6" t="s">
        <v>157</v>
      </c>
      <c r="I22" s="6" t="s">
        <v>220</v>
      </c>
      <c r="J22" s="6" t="s">
        <v>175</v>
      </c>
      <c r="K22" s="6" t="s">
        <v>221</v>
      </c>
      <c r="L22" s="6" t="s">
        <v>115</v>
      </c>
      <c r="M22" s="6" t="s">
        <v>126</v>
      </c>
      <c r="N22" s="7" t="n">
        <v>2</v>
      </c>
      <c r="O22" s="6" t="s">
        <v>82</v>
      </c>
      <c r="P22" s="6" t="s">
        <v>175</v>
      </c>
      <c r="Q22" s="6" t="s">
        <v>222</v>
      </c>
      <c r="R22" s="8" t="n">
        <f aca="false">IF(D22="N","",IF(F22="Implemented",1,IF(F22="Partial",0.5,0)))</f>
        <v>0.5</v>
      </c>
      <c r="S22" s="8" t="str">
        <f aca="false">IF(D22="N","N/A",IF(T22="","No category",IF(N22&lt;=W22,"PASS","FAIL")))</f>
        <v>PASS</v>
      </c>
      <c r="T22" s="6" t="s">
        <v>175</v>
      </c>
      <c r="U22" s="6"/>
      <c r="V22" s="6"/>
      <c r="W22" s="8" t="n">
        <f aca="false">MAX(IF(T22="",0,IFERROR(INDEX(09_GAP_Impact!$F$6:$F$27,MATCH(T22,09_GAP_Impact!$B$6:$B$27,0)),0)),IF(U22="",0,IFERROR(INDEX(09_GAP_Impact!$F$6:$F$27,MATCH(U22,09_GAP_Impact!$B$6:$B$27,0)),0)),IF(V22="",0,IFERROR(INDEX(09_GAP_Impact!$F$6:$F$27,MATCH(V22,09_GAP_Impact!$B$6:$B$27,0)),0)))</f>
        <v>2</v>
      </c>
    </row>
    <row r="23" customFormat="false" ht="45.75" hidden="false" customHeight="true" outlineLevel="0" collapsed="false">
      <c r="A23" s="6" t="s">
        <v>223</v>
      </c>
      <c r="B23" s="6" t="s">
        <v>224</v>
      </c>
      <c r="C23" s="6" t="s">
        <v>81</v>
      </c>
      <c r="D23" s="7" t="s">
        <v>82</v>
      </c>
      <c r="E23" s="6" t="s">
        <v>225</v>
      </c>
      <c r="F23" s="8" t="str">
        <f aca="false">IF(D23="N","N/A - excluded",IF(N23&gt;=3,"Implemented",IF(N23&gt;=1,"Partial","Not started")))</f>
        <v>Partial</v>
      </c>
      <c r="G23" s="6" t="s">
        <v>226</v>
      </c>
      <c r="H23" s="6" t="s">
        <v>106</v>
      </c>
      <c r="I23" s="6" t="s">
        <v>227</v>
      </c>
      <c r="J23" s="6" t="s">
        <v>228</v>
      </c>
      <c r="K23" s="6" t="s">
        <v>229</v>
      </c>
      <c r="L23" s="6" t="s">
        <v>230</v>
      </c>
      <c r="M23" s="6" t="s">
        <v>126</v>
      </c>
      <c r="N23" s="7" t="n">
        <v>2</v>
      </c>
      <c r="O23" s="6" t="s">
        <v>82</v>
      </c>
      <c r="P23" s="6" t="s">
        <v>228</v>
      </c>
      <c r="Q23" s="6" t="s">
        <v>231</v>
      </c>
      <c r="R23" s="8" t="n">
        <f aca="false">IF(D23="N","",IF(F23="Implemented",1,IF(F23="Partial",0.5,0)))</f>
        <v>0.5</v>
      </c>
      <c r="S23" s="8" t="str">
        <f aca="false">IF(D23="N","N/A",IF(T23="","No category",IF(N23&lt;=W23,"PASS","FAIL")))</f>
        <v>PASS</v>
      </c>
      <c r="T23" s="6" t="s">
        <v>228</v>
      </c>
      <c r="U23" s="6"/>
      <c r="V23" s="6"/>
      <c r="W23" s="8" t="n">
        <f aca="false">MAX(IF(T23="",0,IFERROR(INDEX(09_GAP_Impact!$F$6:$F$27,MATCH(T23,09_GAP_Impact!$B$6:$B$27,0)),0)),IF(U23="",0,IFERROR(INDEX(09_GAP_Impact!$F$6:$F$27,MATCH(U23,09_GAP_Impact!$B$6:$B$27,0)),0)),IF(V23="",0,IFERROR(INDEX(09_GAP_Impact!$F$6:$F$27,MATCH(V23,09_GAP_Impact!$B$6:$B$27,0)),0)))</f>
        <v>2</v>
      </c>
    </row>
    <row r="24" customFormat="false" ht="34.5" hidden="false" customHeight="true" outlineLevel="0" collapsed="false">
      <c r="A24" s="6" t="s">
        <v>232</v>
      </c>
      <c r="B24" s="6" t="s">
        <v>233</v>
      </c>
      <c r="C24" s="6" t="s">
        <v>81</v>
      </c>
      <c r="D24" s="7" t="s">
        <v>82</v>
      </c>
      <c r="E24" s="6" t="s">
        <v>234</v>
      </c>
      <c r="F24" s="8" t="str">
        <f aca="false">IF(D24="N","N/A - excluded",IF(N24&gt;=3,"Implemented",IF(N24&gt;=1,"Partial","Not started")))</f>
        <v>Partial</v>
      </c>
      <c r="G24" s="6" t="s">
        <v>235</v>
      </c>
      <c r="H24" s="6" t="s">
        <v>106</v>
      </c>
      <c r="I24" s="6" t="s">
        <v>236</v>
      </c>
      <c r="J24" s="6" t="s">
        <v>228</v>
      </c>
      <c r="K24" s="6" t="s">
        <v>237</v>
      </c>
      <c r="L24" s="6" t="s">
        <v>88</v>
      </c>
      <c r="M24" s="6" t="s">
        <v>126</v>
      </c>
      <c r="N24" s="7" t="n">
        <v>2</v>
      </c>
      <c r="O24" s="6" t="s">
        <v>82</v>
      </c>
      <c r="P24" s="6" t="s">
        <v>228</v>
      </c>
      <c r="Q24" s="6" t="s">
        <v>238</v>
      </c>
      <c r="R24" s="8" t="n">
        <f aca="false">IF(D24="N","",IF(F24="Implemented",1,IF(F24="Partial",0.5,0)))</f>
        <v>0.5</v>
      </c>
      <c r="S24" s="8" t="str">
        <f aca="false">IF(D24="N","N/A",IF(T24="","No category",IF(N24&lt;=W24,"PASS","FAIL")))</f>
        <v>PASS</v>
      </c>
      <c r="T24" s="6" t="s">
        <v>228</v>
      </c>
      <c r="U24" s="6"/>
      <c r="V24" s="6"/>
      <c r="W24" s="8" t="n">
        <f aca="false">MAX(IF(T24="",0,IFERROR(INDEX(09_GAP_Impact!$F$6:$F$27,MATCH(T24,09_GAP_Impact!$B$6:$B$27,0)),0)),IF(U24="",0,IFERROR(INDEX(09_GAP_Impact!$F$6:$F$27,MATCH(U24,09_GAP_Impact!$B$6:$B$27,0)),0)),IF(V24="",0,IFERROR(INDEX(09_GAP_Impact!$F$6:$F$27,MATCH(V24,09_GAP_Impact!$B$6:$B$27,0)),0)))</f>
        <v>2</v>
      </c>
    </row>
    <row r="25" customFormat="false" ht="34.5" hidden="false" customHeight="true" outlineLevel="0" collapsed="false">
      <c r="A25" s="6" t="s">
        <v>239</v>
      </c>
      <c r="B25" s="6" t="s">
        <v>240</v>
      </c>
      <c r="C25" s="6" t="s">
        <v>81</v>
      </c>
      <c r="D25" s="7" t="s">
        <v>82</v>
      </c>
      <c r="E25" s="6" t="s">
        <v>241</v>
      </c>
      <c r="F25" s="8" t="str">
        <f aca="false">IF(D25="N","N/A - excluded",IF(N25&gt;=3,"Implemented",IF(N25&gt;=1,"Partial","Not started")))</f>
        <v>Partial</v>
      </c>
      <c r="G25" s="6" t="s">
        <v>242</v>
      </c>
      <c r="H25" s="6" t="s">
        <v>106</v>
      </c>
      <c r="I25" s="6" t="s">
        <v>243</v>
      </c>
      <c r="J25" s="6" t="s">
        <v>228</v>
      </c>
      <c r="K25" s="6" t="s">
        <v>244</v>
      </c>
      <c r="L25" s="6" t="s">
        <v>115</v>
      </c>
      <c r="M25" s="6" t="s">
        <v>126</v>
      </c>
      <c r="N25" s="7" t="n">
        <v>2</v>
      </c>
      <c r="O25" s="6" t="s">
        <v>82</v>
      </c>
      <c r="P25" s="6" t="s">
        <v>228</v>
      </c>
      <c r="Q25" s="6" t="s">
        <v>245</v>
      </c>
      <c r="R25" s="8" t="n">
        <f aca="false">IF(D25="N","",IF(F25="Implemented",1,IF(F25="Partial",0.5,0)))</f>
        <v>0.5</v>
      </c>
      <c r="S25" s="8" t="str">
        <f aca="false">IF(D25="N","N/A",IF(T25="","No category",IF(N25&lt;=W25,"PASS","FAIL")))</f>
        <v>PASS</v>
      </c>
      <c r="T25" s="6" t="s">
        <v>228</v>
      </c>
      <c r="U25" s="6"/>
      <c r="V25" s="6"/>
      <c r="W25" s="8" t="n">
        <f aca="false">MAX(IF(T25="",0,IFERROR(INDEX(09_GAP_Impact!$F$6:$F$27,MATCH(T25,09_GAP_Impact!$B$6:$B$27,0)),0)),IF(U25="",0,IFERROR(INDEX(09_GAP_Impact!$F$6:$F$27,MATCH(U25,09_GAP_Impact!$B$6:$B$27,0)),0)),IF(V25="",0,IFERROR(INDEX(09_GAP_Impact!$F$6:$F$27,MATCH(V25,09_GAP_Impact!$B$6:$B$27,0)),0)))</f>
        <v>2</v>
      </c>
    </row>
    <row r="26" customFormat="false" ht="34.5" hidden="false" customHeight="true" outlineLevel="0" collapsed="false">
      <c r="A26" s="6" t="s">
        <v>246</v>
      </c>
      <c r="B26" s="6" t="s">
        <v>247</v>
      </c>
      <c r="C26" s="6" t="s">
        <v>81</v>
      </c>
      <c r="D26" s="7" t="s">
        <v>82</v>
      </c>
      <c r="E26" s="6" t="s">
        <v>248</v>
      </c>
      <c r="F26" s="8" t="str">
        <f aca="false">IF(D26="N","N/A - excluded",IF(N26&gt;=3,"Implemented",IF(N26&gt;=1,"Partial","Not started")))</f>
        <v>Partial</v>
      </c>
      <c r="G26" s="6" t="s">
        <v>249</v>
      </c>
      <c r="H26" s="6" t="s">
        <v>106</v>
      </c>
      <c r="I26" s="6" t="s">
        <v>250</v>
      </c>
      <c r="J26" s="6" t="s">
        <v>228</v>
      </c>
      <c r="K26" s="6" t="s">
        <v>251</v>
      </c>
      <c r="L26" s="6" t="s">
        <v>230</v>
      </c>
      <c r="M26" s="6" t="s">
        <v>126</v>
      </c>
      <c r="N26" s="7" t="n">
        <v>2</v>
      </c>
      <c r="O26" s="6" t="s">
        <v>82</v>
      </c>
      <c r="P26" s="6" t="s">
        <v>228</v>
      </c>
      <c r="Q26" s="6" t="s">
        <v>252</v>
      </c>
      <c r="R26" s="8" t="n">
        <f aca="false">IF(D26="N","",IF(F26="Implemented",1,IF(F26="Partial",0.5,0)))</f>
        <v>0.5</v>
      </c>
      <c r="S26" s="8" t="str">
        <f aca="false">IF(D26="N","N/A",IF(T26="","No category",IF(N26&lt;=W26,"PASS","FAIL")))</f>
        <v>PASS</v>
      </c>
      <c r="T26" s="6" t="s">
        <v>228</v>
      </c>
      <c r="U26" s="6"/>
      <c r="V26" s="6"/>
      <c r="W26" s="8" t="n">
        <f aca="false">MAX(IF(T26="",0,IFERROR(INDEX(09_GAP_Impact!$F$6:$F$27,MATCH(T26,09_GAP_Impact!$B$6:$B$27,0)),0)),IF(U26="",0,IFERROR(INDEX(09_GAP_Impact!$F$6:$F$27,MATCH(U26,09_GAP_Impact!$B$6:$B$27,0)),0)),IF(V26="",0,IFERROR(INDEX(09_GAP_Impact!$F$6:$F$27,MATCH(V26,09_GAP_Impact!$B$6:$B$27,0)),0)))</f>
        <v>2</v>
      </c>
    </row>
    <row r="27" customFormat="false" ht="45.75" hidden="false" customHeight="true" outlineLevel="0" collapsed="false">
      <c r="A27" s="6" t="s">
        <v>253</v>
      </c>
      <c r="B27" s="6" t="s">
        <v>254</v>
      </c>
      <c r="C27" s="6" t="s">
        <v>81</v>
      </c>
      <c r="D27" s="7" t="s">
        <v>82</v>
      </c>
      <c r="E27" s="6" t="s">
        <v>255</v>
      </c>
      <c r="F27" s="8" t="str">
        <f aca="false">IF(D27="N","N/A - excluded",IF(N27&gt;=3,"Implemented",IF(N27&gt;=1,"Partial","Not started")))</f>
        <v>Partial</v>
      </c>
      <c r="G27" s="6" t="s">
        <v>256</v>
      </c>
      <c r="H27" s="6" t="s">
        <v>106</v>
      </c>
      <c r="I27" s="6" t="s">
        <v>257</v>
      </c>
      <c r="J27" s="6" t="s">
        <v>258</v>
      </c>
      <c r="K27" s="6" t="s">
        <v>259</v>
      </c>
      <c r="L27" s="6" t="s">
        <v>260</v>
      </c>
      <c r="M27" s="6" t="s">
        <v>126</v>
      </c>
      <c r="N27" s="7" t="n">
        <v>1</v>
      </c>
      <c r="O27" s="6" t="s">
        <v>82</v>
      </c>
      <c r="P27" s="6" t="s">
        <v>228</v>
      </c>
      <c r="Q27" s="6" t="s">
        <v>261</v>
      </c>
      <c r="R27" s="8" t="n">
        <f aca="false">IF(D27="N","",IF(F27="Implemented",1,IF(F27="Partial",0.5,0)))</f>
        <v>0.5</v>
      </c>
      <c r="S27" s="8" t="str">
        <f aca="false">IF(D27="N","N/A",IF(T27="","No category",IF(N27&lt;=W27,"PASS","FAIL")))</f>
        <v>PASS</v>
      </c>
      <c r="T27" s="6" t="s">
        <v>228</v>
      </c>
      <c r="U27" s="6" t="s">
        <v>262</v>
      </c>
      <c r="V27" s="6"/>
      <c r="W27" s="8" t="n">
        <f aca="false">MAX(IF(T27="",0,IFERROR(INDEX(09_GAP_Impact!$F$6:$F$27,MATCH(T27,09_GAP_Impact!$B$6:$B$27,0)),0)),IF(U27="",0,IFERROR(INDEX(09_GAP_Impact!$F$6:$F$27,MATCH(U27,09_GAP_Impact!$B$6:$B$27,0)),0)),IF(V27="",0,IFERROR(INDEX(09_GAP_Impact!$F$6:$F$27,MATCH(V27,09_GAP_Impact!$B$6:$B$27,0)),0)))</f>
        <v>2</v>
      </c>
    </row>
    <row r="28" customFormat="false" ht="34.5" hidden="false" customHeight="true" outlineLevel="0" collapsed="false">
      <c r="A28" s="6" t="s">
        <v>263</v>
      </c>
      <c r="B28" s="6" t="s">
        <v>264</v>
      </c>
      <c r="C28" s="6" t="s">
        <v>81</v>
      </c>
      <c r="D28" s="7" t="s">
        <v>82</v>
      </c>
      <c r="E28" s="6" t="s">
        <v>265</v>
      </c>
      <c r="F28" s="8" t="str">
        <f aca="false">IF(D28="N","N/A - excluded",IF(N28&gt;=3,"Implemented",IF(N28&gt;=1,"Partial","Not started")))</f>
        <v>Partial</v>
      </c>
      <c r="G28" s="6" t="s">
        <v>266</v>
      </c>
      <c r="H28" s="6" t="s">
        <v>106</v>
      </c>
      <c r="I28" s="6" t="s">
        <v>267</v>
      </c>
      <c r="J28" s="6" t="s">
        <v>268</v>
      </c>
      <c r="K28" s="6" t="s">
        <v>269</v>
      </c>
      <c r="L28" s="6" t="s">
        <v>134</v>
      </c>
      <c r="M28" s="6" t="s">
        <v>126</v>
      </c>
      <c r="N28" s="7" t="n">
        <v>2</v>
      </c>
      <c r="O28" s="6" t="s">
        <v>82</v>
      </c>
      <c r="P28" s="6" t="s">
        <v>268</v>
      </c>
      <c r="Q28" s="6" t="s">
        <v>136</v>
      </c>
      <c r="R28" s="8" t="n">
        <f aca="false">IF(D28="N","",IF(F28="Implemented",1,IF(F28="Partial",0.5,0)))</f>
        <v>0.5</v>
      </c>
      <c r="S28" s="8" t="str">
        <f aca="false">IF(D28="N","N/A",IF(T28="","No category",IF(N28&lt;=W28,"PASS","FAIL")))</f>
        <v>PASS</v>
      </c>
      <c r="T28" s="6" t="s">
        <v>270</v>
      </c>
      <c r="U28" s="6" t="s">
        <v>128</v>
      </c>
      <c r="V28" s="6"/>
      <c r="W28" s="8" t="n">
        <f aca="false">MAX(IF(T28="",0,IFERROR(INDEX(09_GAP_Impact!$F$6:$F$27,MATCH(T28,09_GAP_Impact!$B$6:$B$27,0)),0)),IF(U28="",0,IFERROR(INDEX(09_GAP_Impact!$F$6:$F$27,MATCH(U28,09_GAP_Impact!$B$6:$B$27,0)),0)),IF(V28="",0,IFERROR(INDEX(09_GAP_Impact!$F$6:$F$27,MATCH(V28,09_GAP_Impact!$B$6:$B$27,0)),0)))</f>
        <v>2</v>
      </c>
    </row>
    <row r="29" customFormat="false" ht="23.25" hidden="false" customHeight="true" outlineLevel="0" collapsed="false">
      <c r="A29" s="6" t="s">
        <v>271</v>
      </c>
      <c r="B29" s="6" t="s">
        <v>272</v>
      </c>
      <c r="C29" s="6" t="s">
        <v>81</v>
      </c>
      <c r="D29" s="7" t="s">
        <v>82</v>
      </c>
      <c r="E29" s="6" t="s">
        <v>273</v>
      </c>
      <c r="F29" s="8" t="str">
        <f aca="false">IF(D29="N","N/A - excluded",IF(N29&gt;=3,"Implemented",IF(N29&gt;=1,"Partial","Not started")))</f>
        <v>Partial</v>
      </c>
      <c r="G29" s="6" t="s">
        <v>274</v>
      </c>
      <c r="H29" s="6" t="s">
        <v>157</v>
      </c>
      <c r="I29" s="6" t="s">
        <v>275</v>
      </c>
      <c r="J29" s="6" t="s">
        <v>276</v>
      </c>
      <c r="K29" s="6" t="s">
        <v>53</v>
      </c>
      <c r="L29" s="6" t="s">
        <v>108</v>
      </c>
      <c r="M29" s="6" t="s">
        <v>89</v>
      </c>
      <c r="N29" s="7" t="n">
        <v>1</v>
      </c>
      <c r="O29" s="6" t="s">
        <v>82</v>
      </c>
      <c r="P29" s="6" t="s">
        <v>276</v>
      </c>
      <c r="Q29" s="6" t="s">
        <v>277</v>
      </c>
      <c r="R29" s="8" t="n">
        <f aca="false">IF(D29="N","",IF(F29="Implemented",1,IF(F29="Partial",0.5,0)))</f>
        <v>0.5</v>
      </c>
      <c r="S29" s="8" t="str">
        <f aca="false">IF(D29="N","N/A",IF(T29="","No category",IF(N29&lt;=W29,"PASS","FAIL")))</f>
        <v>PASS</v>
      </c>
      <c r="T29" s="6" t="s">
        <v>276</v>
      </c>
      <c r="U29" s="6"/>
      <c r="V29" s="6"/>
      <c r="W29" s="8" t="n">
        <f aca="false">MAX(IF(T29="",0,IFERROR(INDEX(09_GAP_Impact!$F$6:$F$27,MATCH(T29,09_GAP_Impact!$B$6:$B$27,0)),0)),IF(U29="",0,IFERROR(INDEX(09_GAP_Impact!$F$6:$F$27,MATCH(U29,09_GAP_Impact!$B$6:$B$27,0)),0)),IF(V29="",0,IFERROR(INDEX(09_GAP_Impact!$F$6:$F$27,MATCH(V29,09_GAP_Impact!$B$6:$B$27,0)),0)))</f>
        <v>1</v>
      </c>
    </row>
    <row r="30" customFormat="false" ht="34.5" hidden="false" customHeight="true" outlineLevel="0" collapsed="false">
      <c r="A30" s="6" t="s">
        <v>278</v>
      </c>
      <c r="B30" s="6" t="s">
        <v>279</v>
      </c>
      <c r="C30" s="6" t="s">
        <v>81</v>
      </c>
      <c r="D30" s="7" t="s">
        <v>82</v>
      </c>
      <c r="E30" s="6" t="s">
        <v>280</v>
      </c>
      <c r="F30" s="8" t="str">
        <f aca="false">IF(D30="N","N/A - excluded",IF(N30&gt;=3,"Implemented",IF(N30&gt;=1,"Partial","Not started")))</f>
        <v>Partial</v>
      </c>
      <c r="G30" s="6" t="s">
        <v>281</v>
      </c>
      <c r="H30" s="6" t="s">
        <v>106</v>
      </c>
      <c r="I30" s="6" t="s">
        <v>282</v>
      </c>
      <c r="J30" s="6" t="s">
        <v>283</v>
      </c>
      <c r="K30" s="6" t="s">
        <v>284</v>
      </c>
      <c r="L30" s="6" t="s">
        <v>134</v>
      </c>
      <c r="M30" s="6" t="s">
        <v>126</v>
      </c>
      <c r="N30" s="7" t="n">
        <v>2</v>
      </c>
      <c r="O30" s="6" t="s">
        <v>82</v>
      </c>
      <c r="P30" s="6" t="s">
        <v>283</v>
      </c>
      <c r="Q30" s="6" t="s">
        <v>136</v>
      </c>
      <c r="R30" s="8" t="n">
        <f aca="false">IF(D30="N","",IF(F30="Implemented",1,IF(F30="Partial",0.5,0)))</f>
        <v>0.5</v>
      </c>
      <c r="S30" s="8" t="str">
        <f aca="false">IF(D30="N","N/A",IF(T30="","No category",IF(N30&lt;=W30,"PASS","FAIL")))</f>
        <v>PASS</v>
      </c>
      <c r="T30" s="6" t="s">
        <v>270</v>
      </c>
      <c r="U30" s="6" t="s">
        <v>285</v>
      </c>
      <c r="V30" s="6"/>
      <c r="W30" s="8" t="n">
        <f aca="false">MAX(IF(T30="",0,IFERROR(INDEX(09_GAP_Impact!$F$6:$F$27,MATCH(T30,09_GAP_Impact!$B$6:$B$27,0)),0)),IF(U30="",0,IFERROR(INDEX(09_GAP_Impact!$F$6:$F$27,MATCH(U30,09_GAP_Impact!$B$6:$B$27,0)),0)),IF(V30="",0,IFERROR(INDEX(09_GAP_Impact!$F$6:$F$27,MATCH(V30,09_GAP_Impact!$B$6:$B$27,0)),0)))</f>
        <v>2</v>
      </c>
    </row>
    <row r="31" customFormat="false" ht="23.25" hidden="false" customHeight="true" outlineLevel="0" collapsed="false">
      <c r="A31" s="6" t="s">
        <v>286</v>
      </c>
      <c r="B31" s="6" t="s">
        <v>287</v>
      </c>
      <c r="C31" s="6" t="s">
        <v>81</v>
      </c>
      <c r="D31" s="7" t="s">
        <v>82</v>
      </c>
      <c r="E31" s="6" t="s">
        <v>288</v>
      </c>
      <c r="F31" s="8" t="str">
        <f aca="false">IF(D31="N","N/A - excluded",IF(N31&gt;=3,"Implemented",IF(N31&gt;=1,"Partial","Not started")))</f>
        <v>Partial</v>
      </c>
      <c r="G31" s="6" t="s">
        <v>289</v>
      </c>
      <c r="H31" s="6" t="s">
        <v>106</v>
      </c>
      <c r="I31" s="6" t="s">
        <v>290</v>
      </c>
      <c r="J31" s="6" t="s">
        <v>291</v>
      </c>
      <c r="K31" s="6" t="s">
        <v>53</v>
      </c>
      <c r="L31" s="6" t="s">
        <v>134</v>
      </c>
      <c r="M31" s="6" t="s">
        <v>89</v>
      </c>
      <c r="N31" s="7" t="n">
        <v>1</v>
      </c>
      <c r="O31" s="6" t="s">
        <v>82</v>
      </c>
      <c r="P31" s="6" t="s">
        <v>291</v>
      </c>
      <c r="Q31" s="6" t="s">
        <v>136</v>
      </c>
      <c r="R31" s="8" t="n">
        <f aca="false">IF(D31="N","",IF(F31="Implemented",1,IF(F31="Partial",0.5,0)))</f>
        <v>0.5</v>
      </c>
      <c r="S31" s="8" t="str">
        <f aca="false">IF(D31="N","N/A",IF(T31="","No category",IF(N31&lt;=W31,"PASS","FAIL")))</f>
        <v>PASS</v>
      </c>
      <c r="T31" s="6" t="s">
        <v>292</v>
      </c>
      <c r="U31" s="6" t="s">
        <v>293</v>
      </c>
      <c r="V31" s="6"/>
      <c r="W31" s="8" t="n">
        <f aca="false">MAX(IF(T31="",0,IFERROR(INDEX(09_GAP_Impact!$F$6:$F$27,MATCH(T31,09_GAP_Impact!$B$6:$B$27,0)),0)),IF(U31="",0,IFERROR(INDEX(09_GAP_Impact!$F$6:$F$27,MATCH(U31,09_GAP_Impact!$B$6:$B$27,0)),0)),IF(V31="",0,IFERROR(INDEX(09_GAP_Impact!$F$6:$F$27,MATCH(V31,09_GAP_Impact!$B$6:$B$27,0)),0)))</f>
        <v>1</v>
      </c>
    </row>
    <row r="32" customFormat="false" ht="34.5" hidden="false" customHeight="true" outlineLevel="0" collapsed="false">
      <c r="A32" s="6" t="s">
        <v>294</v>
      </c>
      <c r="B32" s="6" t="s">
        <v>295</v>
      </c>
      <c r="C32" s="6" t="s">
        <v>81</v>
      </c>
      <c r="D32" s="7" t="s">
        <v>82</v>
      </c>
      <c r="E32" s="6" t="s">
        <v>296</v>
      </c>
      <c r="F32" s="8" t="str">
        <f aca="false">IF(D32="N","N/A - excluded",IF(N32&gt;=3,"Implemented",IF(N32&gt;=1,"Partial","Not started")))</f>
        <v>Partial</v>
      </c>
      <c r="G32" s="6" t="s">
        <v>297</v>
      </c>
      <c r="H32" s="6" t="s">
        <v>157</v>
      </c>
      <c r="I32" s="6" t="s">
        <v>298</v>
      </c>
      <c r="J32" s="6" t="s">
        <v>293</v>
      </c>
      <c r="K32" s="6" t="s">
        <v>299</v>
      </c>
      <c r="L32" s="6" t="s">
        <v>108</v>
      </c>
      <c r="M32" s="6" t="s">
        <v>126</v>
      </c>
      <c r="N32" s="7" t="n">
        <v>1</v>
      </c>
      <c r="O32" s="6" t="s">
        <v>82</v>
      </c>
      <c r="P32" s="6" t="s">
        <v>293</v>
      </c>
      <c r="Q32" s="6" t="s">
        <v>277</v>
      </c>
      <c r="R32" s="8" t="n">
        <f aca="false">IF(D32="N","",IF(F32="Implemented",1,IF(F32="Partial",0.5,0)))</f>
        <v>0.5</v>
      </c>
      <c r="S32" s="8" t="str">
        <f aca="false">IF(D32="N","N/A",IF(T32="","No category",IF(N32&lt;=W32,"PASS","FAIL")))</f>
        <v>PASS</v>
      </c>
      <c r="T32" s="6" t="s">
        <v>293</v>
      </c>
      <c r="U32" s="6"/>
      <c r="V32" s="6"/>
      <c r="W32" s="8" t="n">
        <f aca="false">MAX(IF(T32="",0,IFERROR(INDEX(09_GAP_Impact!$F$6:$F$27,MATCH(T32,09_GAP_Impact!$B$6:$B$27,0)),0)),IF(U32="",0,IFERROR(INDEX(09_GAP_Impact!$F$6:$F$27,MATCH(U32,09_GAP_Impact!$B$6:$B$27,0)),0)),IF(V32="",0,IFERROR(INDEX(09_GAP_Impact!$F$6:$F$27,MATCH(V32,09_GAP_Impact!$B$6:$B$27,0)),0)))</f>
        <v>1</v>
      </c>
    </row>
    <row r="33" customFormat="false" ht="34.5" hidden="false" customHeight="true" outlineLevel="0" collapsed="false">
      <c r="A33" s="6" t="s">
        <v>300</v>
      </c>
      <c r="B33" s="6" t="s">
        <v>301</v>
      </c>
      <c r="C33" s="6" t="s">
        <v>81</v>
      </c>
      <c r="D33" s="7" t="s">
        <v>82</v>
      </c>
      <c r="E33" s="6" t="s">
        <v>302</v>
      </c>
      <c r="F33" s="8" t="str">
        <f aca="false">IF(D33="N","N/A - excluded",IF(N33&gt;=3,"Implemented",IF(N33&gt;=1,"Partial","Not started")))</f>
        <v>Partial</v>
      </c>
      <c r="G33" s="6" t="s">
        <v>303</v>
      </c>
      <c r="H33" s="6" t="s">
        <v>157</v>
      </c>
      <c r="I33" s="6" t="s">
        <v>304</v>
      </c>
      <c r="J33" s="6" t="s">
        <v>305</v>
      </c>
      <c r="K33" s="6" t="s">
        <v>306</v>
      </c>
      <c r="L33" s="6" t="s">
        <v>134</v>
      </c>
      <c r="M33" s="6" t="s">
        <v>126</v>
      </c>
      <c r="N33" s="7" t="n">
        <v>1</v>
      </c>
      <c r="O33" s="6" t="s">
        <v>82</v>
      </c>
      <c r="P33" s="6" t="s">
        <v>305</v>
      </c>
      <c r="Q33" s="6" t="s">
        <v>307</v>
      </c>
      <c r="R33" s="8" t="n">
        <f aca="false">IF(D33="N","",IF(F33="Implemented",1,IF(F33="Partial",0.5,0)))</f>
        <v>0.5</v>
      </c>
      <c r="S33" s="8" t="str">
        <f aca="false">IF(D33="N","N/A",IF(T33="","No category",IF(N33&lt;=W33,"PASS","FAIL")))</f>
        <v>PASS</v>
      </c>
      <c r="T33" s="6" t="s">
        <v>308</v>
      </c>
      <c r="U33" s="6" t="s">
        <v>129</v>
      </c>
      <c r="V33" s="6"/>
      <c r="W33" s="8" t="n">
        <f aca="false">MAX(IF(T33="",0,IFERROR(INDEX(09_GAP_Impact!$F$6:$F$27,MATCH(T33,09_GAP_Impact!$B$6:$B$27,0)),0)),IF(U33="",0,IFERROR(INDEX(09_GAP_Impact!$F$6:$F$27,MATCH(U33,09_GAP_Impact!$B$6:$B$27,0)),0)),IF(V33="",0,IFERROR(INDEX(09_GAP_Impact!$F$6:$F$27,MATCH(V33,09_GAP_Impact!$B$6:$B$27,0)),0)))</f>
        <v>1</v>
      </c>
    </row>
    <row r="34" customFormat="false" ht="34.5" hidden="false" customHeight="true" outlineLevel="0" collapsed="false">
      <c r="A34" s="6" t="s">
        <v>309</v>
      </c>
      <c r="B34" s="6" t="s">
        <v>310</v>
      </c>
      <c r="C34" s="6" t="s">
        <v>81</v>
      </c>
      <c r="D34" s="7" t="s">
        <v>82</v>
      </c>
      <c r="E34" s="6" t="s">
        <v>311</v>
      </c>
      <c r="F34" s="8" t="str">
        <f aca="false">IF(D34="N","N/A - excluded",IF(N34&gt;=3,"Implemented",IF(N34&gt;=1,"Partial","Not started")))</f>
        <v>Partial</v>
      </c>
      <c r="G34" s="6" t="s">
        <v>312</v>
      </c>
      <c r="H34" s="6" t="s">
        <v>157</v>
      </c>
      <c r="I34" s="6" t="s">
        <v>313</v>
      </c>
      <c r="J34" s="6" t="s">
        <v>308</v>
      </c>
      <c r="K34" s="6" t="s">
        <v>314</v>
      </c>
      <c r="L34" s="6" t="s">
        <v>260</v>
      </c>
      <c r="M34" s="6" t="s">
        <v>126</v>
      </c>
      <c r="N34" s="7" t="n">
        <v>1</v>
      </c>
      <c r="O34" s="6" t="s">
        <v>82</v>
      </c>
      <c r="P34" s="6" t="s">
        <v>308</v>
      </c>
      <c r="Q34" s="6" t="s">
        <v>315</v>
      </c>
      <c r="R34" s="8" t="n">
        <f aca="false">IF(D34="N","",IF(F34="Implemented",1,IF(F34="Partial",0.5,0)))</f>
        <v>0.5</v>
      </c>
      <c r="S34" s="8" t="str">
        <f aca="false">IF(D34="N","N/A",IF(T34="","No category",IF(N34&lt;=W34,"PASS","FAIL")))</f>
        <v>PASS</v>
      </c>
      <c r="T34" s="6" t="s">
        <v>308</v>
      </c>
      <c r="U34" s="6"/>
      <c r="V34" s="6"/>
      <c r="W34" s="8" t="n">
        <f aca="false">MAX(IF(T34="",0,IFERROR(INDEX(09_GAP_Impact!$F$6:$F$27,MATCH(T34,09_GAP_Impact!$B$6:$B$27,0)),0)),IF(U34="",0,IFERROR(INDEX(09_GAP_Impact!$F$6:$F$27,MATCH(U34,09_GAP_Impact!$B$6:$B$27,0)),0)),IF(V34="",0,IFERROR(INDEX(09_GAP_Impact!$F$6:$F$27,MATCH(V34,09_GAP_Impact!$B$6:$B$27,0)),0)))</f>
        <v>1</v>
      </c>
    </row>
    <row r="35" customFormat="false" ht="34.5" hidden="false" customHeight="true" outlineLevel="0" collapsed="false">
      <c r="A35" s="6" t="s">
        <v>316</v>
      </c>
      <c r="B35" s="6" t="s">
        <v>317</v>
      </c>
      <c r="C35" s="6" t="s">
        <v>81</v>
      </c>
      <c r="D35" s="7" t="s">
        <v>82</v>
      </c>
      <c r="E35" s="6" t="s">
        <v>318</v>
      </c>
      <c r="F35" s="8" t="str">
        <f aca="false">IF(D35="N","N/A - excluded",IF(N35&gt;=3,"Implemented",IF(N35&gt;=1,"Partial","Not started")))</f>
        <v>Partial</v>
      </c>
      <c r="G35" s="6" t="s">
        <v>319</v>
      </c>
      <c r="H35" s="6" t="s">
        <v>85</v>
      </c>
      <c r="I35" s="6" t="s">
        <v>320</v>
      </c>
      <c r="J35" s="6" t="s">
        <v>93</v>
      </c>
      <c r="K35" s="6" t="s">
        <v>321</v>
      </c>
      <c r="L35" s="6" t="s">
        <v>88</v>
      </c>
      <c r="M35" s="6" t="s">
        <v>126</v>
      </c>
      <c r="N35" s="7" t="n">
        <v>1</v>
      </c>
      <c r="O35" s="6" t="s">
        <v>82</v>
      </c>
      <c r="P35" s="6" t="s">
        <v>93</v>
      </c>
      <c r="Q35" s="6" t="s">
        <v>322</v>
      </c>
      <c r="R35" s="8" t="n">
        <f aca="false">IF(D35="N","",IF(F35="Implemented",1,IF(F35="Partial",0.5,0)))</f>
        <v>0.5</v>
      </c>
      <c r="S35" s="8" t="str">
        <f aca="false">IF(D35="N","N/A",IF(T35="","No category",IF(N35&lt;=W35,"PASS","FAIL")))</f>
        <v>PASS</v>
      </c>
      <c r="T35" s="6" t="s">
        <v>93</v>
      </c>
      <c r="U35" s="6"/>
      <c r="V35" s="6"/>
      <c r="W35" s="8" t="n">
        <f aca="false">MAX(IF(T35="",0,IFERROR(INDEX(09_GAP_Impact!$F$6:$F$27,MATCH(T35,09_GAP_Impact!$B$6:$B$27,0)),0)),IF(U35="",0,IFERROR(INDEX(09_GAP_Impact!$F$6:$F$27,MATCH(U35,09_GAP_Impact!$B$6:$B$27,0)),0)),IF(V35="",0,IFERROR(INDEX(09_GAP_Impact!$F$6:$F$27,MATCH(V35,09_GAP_Impact!$B$6:$B$27,0)),0)))</f>
        <v>1</v>
      </c>
    </row>
    <row r="36" customFormat="false" ht="45.75" hidden="false" customHeight="true" outlineLevel="0" collapsed="false">
      <c r="A36" s="6" t="s">
        <v>323</v>
      </c>
      <c r="B36" s="6" t="s">
        <v>324</v>
      </c>
      <c r="C36" s="6" t="s">
        <v>81</v>
      </c>
      <c r="D36" s="7" t="s">
        <v>82</v>
      </c>
      <c r="E36" s="6" t="s">
        <v>325</v>
      </c>
      <c r="F36" s="8" t="str">
        <f aca="false">IF(D36="N","N/A - excluded",IF(N36&gt;=3,"Implemented",IF(N36&gt;=1,"Partial","Not started")))</f>
        <v>Not started</v>
      </c>
      <c r="G36" s="6" t="s">
        <v>326</v>
      </c>
      <c r="H36" s="6" t="s">
        <v>106</v>
      </c>
      <c r="I36" s="6" t="s">
        <v>53</v>
      </c>
      <c r="J36" s="6" t="s">
        <v>53</v>
      </c>
      <c r="K36" s="6" t="s">
        <v>53</v>
      </c>
      <c r="L36" s="6" t="s">
        <v>134</v>
      </c>
      <c r="M36" s="6" t="s">
        <v>327</v>
      </c>
      <c r="N36" s="7" t="n">
        <v>0</v>
      </c>
      <c r="O36" s="6" t="s">
        <v>152</v>
      </c>
      <c r="P36" s="6" t="s">
        <v>53</v>
      </c>
      <c r="Q36" s="6" t="s">
        <v>328</v>
      </c>
      <c r="R36" s="8" t="n">
        <f aca="false">IF(D36="N","",IF(F36="Implemented",1,IF(F36="Partial",0.5,0)))</f>
        <v>0</v>
      </c>
      <c r="S36" s="8" t="str">
        <f aca="false">IF(D36="N","N/A",IF(T36="","No category",IF(N36&lt;=W36,"PASS","FAIL")))</f>
        <v>No category</v>
      </c>
      <c r="T36" s="6"/>
      <c r="U36" s="6"/>
      <c r="V36" s="6"/>
      <c r="W36" s="8" t="n">
        <f aca="false">MAX(IF(T36="",0,IFERROR(INDEX(09_GAP_Impact!$F$6:$F$27,MATCH(T36,09_GAP_Impact!$B$6:$B$27,0)),0)),IF(U36="",0,IFERROR(INDEX(09_GAP_Impact!$F$6:$F$27,MATCH(U36,09_GAP_Impact!$B$6:$B$27,0)),0)),IF(V36="",0,IFERROR(INDEX(09_GAP_Impact!$F$6:$F$27,MATCH(V36,09_GAP_Impact!$B$6:$B$27,0)),0)))</f>
        <v>0</v>
      </c>
    </row>
    <row r="37" customFormat="false" ht="23.25" hidden="false" customHeight="true" outlineLevel="0" collapsed="false">
      <c r="A37" s="6" t="s">
        <v>329</v>
      </c>
      <c r="B37" s="6" t="s">
        <v>330</v>
      </c>
      <c r="C37" s="6" t="s">
        <v>81</v>
      </c>
      <c r="D37" s="7" t="s">
        <v>82</v>
      </c>
      <c r="E37" s="6" t="s">
        <v>331</v>
      </c>
      <c r="F37" s="8" t="str">
        <f aca="false">IF(D37="N","N/A - excluded",IF(N37&gt;=3,"Implemented",IF(N37&gt;=1,"Partial","Not started")))</f>
        <v>Not started</v>
      </c>
      <c r="G37" s="6" t="s">
        <v>332</v>
      </c>
      <c r="H37" s="6" t="s">
        <v>106</v>
      </c>
      <c r="I37" s="6" t="s">
        <v>333</v>
      </c>
      <c r="J37" s="6" t="s">
        <v>293</v>
      </c>
      <c r="K37" s="6" t="s">
        <v>334</v>
      </c>
      <c r="L37" s="6" t="s">
        <v>108</v>
      </c>
      <c r="M37" s="6" t="s">
        <v>126</v>
      </c>
      <c r="N37" s="7" t="n">
        <v>0</v>
      </c>
      <c r="O37" s="6" t="s">
        <v>152</v>
      </c>
      <c r="P37" s="6" t="s">
        <v>53</v>
      </c>
      <c r="Q37" s="6" t="s">
        <v>335</v>
      </c>
      <c r="R37" s="8" t="n">
        <f aca="false">IF(D37="N","",IF(F37="Implemented",1,IF(F37="Partial",0.5,0)))</f>
        <v>0</v>
      </c>
      <c r="S37" s="8" t="str">
        <f aca="false">IF(D37="N","N/A",IF(T37="","No category",IF(N37&lt;=W37,"PASS","FAIL")))</f>
        <v>PASS</v>
      </c>
      <c r="T37" s="6" t="s">
        <v>293</v>
      </c>
      <c r="U37" s="6"/>
      <c r="V37" s="6"/>
      <c r="W37" s="8" t="n">
        <f aca="false">MAX(IF(T37="",0,IFERROR(INDEX(09_GAP_Impact!$F$6:$F$27,MATCH(T37,09_GAP_Impact!$B$6:$B$27,0)),0)),IF(U37="",0,IFERROR(INDEX(09_GAP_Impact!$F$6:$F$27,MATCH(U37,09_GAP_Impact!$B$6:$B$27,0)),0)),IF(V37="",0,IFERROR(INDEX(09_GAP_Impact!$F$6:$F$27,MATCH(V37,09_GAP_Impact!$B$6:$B$27,0)),0)))</f>
        <v>1</v>
      </c>
    </row>
    <row r="38" customFormat="false" ht="34.5" hidden="false" customHeight="true" outlineLevel="0" collapsed="false">
      <c r="A38" s="6" t="s">
        <v>336</v>
      </c>
      <c r="B38" s="6" t="s">
        <v>337</v>
      </c>
      <c r="C38" s="6" t="s">
        <v>81</v>
      </c>
      <c r="D38" s="7" t="s">
        <v>82</v>
      </c>
      <c r="E38" s="6" t="s">
        <v>338</v>
      </c>
      <c r="F38" s="8" t="str">
        <f aca="false">IF(D38="N","N/A - excluded",IF(N38&gt;=3,"Implemented",IF(N38&gt;=1,"Partial","Not started")))</f>
        <v>Partial</v>
      </c>
      <c r="G38" s="6" t="s">
        <v>339</v>
      </c>
      <c r="H38" s="6" t="s">
        <v>106</v>
      </c>
      <c r="I38" s="6" t="s">
        <v>340</v>
      </c>
      <c r="J38" s="6" t="s">
        <v>341</v>
      </c>
      <c r="K38" s="6" t="s">
        <v>342</v>
      </c>
      <c r="L38" s="6" t="s">
        <v>115</v>
      </c>
      <c r="M38" s="6" t="s">
        <v>126</v>
      </c>
      <c r="N38" s="7" t="n">
        <v>1</v>
      </c>
      <c r="O38" s="6" t="s">
        <v>152</v>
      </c>
      <c r="P38" s="6" t="s">
        <v>53</v>
      </c>
      <c r="Q38" s="6" t="s">
        <v>195</v>
      </c>
      <c r="R38" s="8" t="n">
        <f aca="false">IF(D38="N","",IF(F38="Implemented",1,IF(F38="Partial",0.5,0)))</f>
        <v>0.5</v>
      </c>
      <c r="S38" s="8" t="str">
        <f aca="false">IF(D38="N","N/A",IF(T38="","No category",IF(N38&lt;=W38,"PASS","FAIL")))</f>
        <v>PASS</v>
      </c>
      <c r="T38" s="6" t="s">
        <v>93</v>
      </c>
      <c r="U38" s="6" t="s">
        <v>184</v>
      </c>
      <c r="V38" s="6"/>
      <c r="W38" s="8" t="n">
        <f aca="false">MAX(IF(T38="",0,IFERROR(INDEX(09_GAP_Impact!$F$6:$F$27,MATCH(T38,09_GAP_Impact!$B$6:$B$27,0)),0)),IF(U38="",0,IFERROR(INDEX(09_GAP_Impact!$F$6:$F$27,MATCH(U38,09_GAP_Impact!$B$6:$B$27,0)),0)),IF(V38="",0,IFERROR(INDEX(09_GAP_Impact!$F$6:$F$27,MATCH(V38,09_GAP_Impact!$B$6:$B$27,0)),0)))</f>
        <v>2</v>
      </c>
    </row>
    <row r="39" customFormat="false" ht="23.25" hidden="false" customHeight="true" outlineLevel="0" collapsed="false">
      <c r="A39" s="6" t="s">
        <v>343</v>
      </c>
      <c r="B39" s="6" t="s">
        <v>344</v>
      </c>
      <c r="C39" s="6" t="s">
        <v>81</v>
      </c>
      <c r="D39" s="7" t="s">
        <v>82</v>
      </c>
      <c r="E39" s="6" t="s">
        <v>345</v>
      </c>
      <c r="F39" s="8" t="str">
        <f aca="false">IF(D39="N","N/A - excluded",IF(N39&gt;=3,"Implemented",IF(N39&gt;=1,"Partial","Not started")))</f>
        <v>Not started</v>
      </c>
      <c r="G39" s="6" t="s">
        <v>346</v>
      </c>
      <c r="H39" s="6" t="s">
        <v>85</v>
      </c>
      <c r="I39" s="6" t="s">
        <v>347</v>
      </c>
      <c r="J39" s="6" t="s">
        <v>348</v>
      </c>
      <c r="K39" s="6" t="s">
        <v>53</v>
      </c>
      <c r="L39" s="6" t="s">
        <v>349</v>
      </c>
      <c r="M39" s="6" t="s">
        <v>89</v>
      </c>
      <c r="N39" s="7" t="n">
        <v>0</v>
      </c>
      <c r="O39" s="6" t="s">
        <v>82</v>
      </c>
      <c r="P39" s="6" t="s">
        <v>348</v>
      </c>
      <c r="Q39" s="6" t="s">
        <v>350</v>
      </c>
      <c r="R39" s="8" t="n">
        <f aca="false">IF(D39="N","",IF(F39="Implemented",1,IF(F39="Partial",0.5,0)))</f>
        <v>0</v>
      </c>
      <c r="S39" s="8" t="str">
        <f aca="false">IF(D39="N","N/A",IF(T39="","No category",IF(N39&lt;=W39,"PASS","FAIL")))</f>
        <v>PASS</v>
      </c>
      <c r="T39" s="6" t="s">
        <v>348</v>
      </c>
      <c r="U39" s="6"/>
      <c r="V39" s="6"/>
      <c r="W39" s="8" t="n">
        <f aca="false">MAX(IF(T39="",0,IFERROR(INDEX(09_GAP_Impact!$F$6:$F$27,MATCH(T39,09_GAP_Impact!$B$6:$B$27,0)),0)),IF(U39="",0,IFERROR(INDEX(09_GAP_Impact!$F$6:$F$27,MATCH(U39,09_GAP_Impact!$B$6:$B$27,0)),0)),IF(V39="",0,IFERROR(INDEX(09_GAP_Impact!$F$6:$F$27,MATCH(V39,09_GAP_Impact!$B$6:$B$27,0)),0)))</f>
        <v>1</v>
      </c>
    </row>
    <row r="40" customFormat="false" ht="34.5" hidden="false" customHeight="true" outlineLevel="0" collapsed="false">
      <c r="A40" s="6" t="s">
        <v>351</v>
      </c>
      <c r="B40" s="6" t="s">
        <v>352</v>
      </c>
      <c r="C40" s="6" t="s">
        <v>81</v>
      </c>
      <c r="D40" s="7" t="s">
        <v>82</v>
      </c>
      <c r="E40" s="6" t="s">
        <v>353</v>
      </c>
      <c r="F40" s="8" t="str">
        <f aca="false">IF(D40="N","N/A - excluded",IF(N40&gt;=3,"Implemented",IF(N40&gt;=1,"Partial","Not started")))</f>
        <v>Partial</v>
      </c>
      <c r="G40" s="6" t="s">
        <v>354</v>
      </c>
      <c r="H40" s="6" t="s">
        <v>106</v>
      </c>
      <c r="I40" s="6" t="s">
        <v>86</v>
      </c>
      <c r="J40" s="6" t="s">
        <v>355</v>
      </c>
      <c r="K40" s="6" t="s">
        <v>53</v>
      </c>
      <c r="L40" s="6" t="s">
        <v>108</v>
      </c>
      <c r="M40" s="6" t="s">
        <v>89</v>
      </c>
      <c r="N40" s="7" t="n">
        <v>1</v>
      </c>
      <c r="O40" s="6" t="s">
        <v>82</v>
      </c>
      <c r="P40" s="6" t="s">
        <v>355</v>
      </c>
      <c r="Q40" s="6" t="s">
        <v>356</v>
      </c>
      <c r="R40" s="8" t="n">
        <f aca="false">IF(D40="N","",IF(F40="Implemented",1,IF(F40="Partial",0.5,0)))</f>
        <v>0.5</v>
      </c>
      <c r="S40" s="8" t="str">
        <f aca="false">IF(D40="N","N/A",IF(T40="","No category",IF(N40&lt;=W40,"PASS","FAIL")))</f>
        <v>PASS</v>
      </c>
      <c r="T40" s="6" t="s">
        <v>92</v>
      </c>
      <c r="U40" s="6" t="s">
        <v>348</v>
      </c>
      <c r="V40" s="6"/>
      <c r="W40" s="8" t="n">
        <f aca="false">MAX(IF(T40="",0,IFERROR(INDEX(09_GAP_Impact!$F$6:$F$27,MATCH(T40,09_GAP_Impact!$B$6:$B$27,0)),0)),IF(U40="",0,IFERROR(INDEX(09_GAP_Impact!$F$6:$F$27,MATCH(U40,09_GAP_Impact!$B$6:$B$27,0)),0)),IF(V40="",0,IFERROR(INDEX(09_GAP_Impact!$F$6:$F$27,MATCH(V40,09_GAP_Impact!$B$6:$B$27,0)),0)))</f>
        <v>2</v>
      </c>
    </row>
    <row r="41" customFormat="false" ht="23.25" hidden="false" customHeight="true" outlineLevel="0" collapsed="false">
      <c r="A41" s="6" t="s">
        <v>357</v>
      </c>
      <c r="B41" s="6" t="s">
        <v>358</v>
      </c>
      <c r="C41" s="6" t="s">
        <v>81</v>
      </c>
      <c r="D41" s="7" t="s">
        <v>82</v>
      </c>
      <c r="E41" s="6" t="s">
        <v>359</v>
      </c>
      <c r="F41" s="8" t="str">
        <f aca="false">IF(D41="N","N/A - excluded",IF(N41&gt;=3,"Implemented",IF(N41&gt;=1,"Partial","Not started")))</f>
        <v>Partial</v>
      </c>
      <c r="G41" s="6" t="s">
        <v>360</v>
      </c>
      <c r="H41" s="6" t="s">
        <v>157</v>
      </c>
      <c r="I41" s="6" t="s">
        <v>361</v>
      </c>
      <c r="J41" s="6" t="s">
        <v>92</v>
      </c>
      <c r="K41" s="6" t="s">
        <v>362</v>
      </c>
      <c r="L41" s="6" t="s">
        <v>134</v>
      </c>
      <c r="M41" s="6" t="s">
        <v>126</v>
      </c>
      <c r="N41" s="7" t="n">
        <v>1</v>
      </c>
      <c r="O41" s="6" t="s">
        <v>82</v>
      </c>
      <c r="P41" s="6" t="s">
        <v>92</v>
      </c>
      <c r="Q41" s="6" t="s">
        <v>136</v>
      </c>
      <c r="R41" s="8" t="n">
        <f aca="false">IF(D41="N","",IF(F41="Implemented",1,IF(F41="Partial",0.5,0)))</f>
        <v>0.5</v>
      </c>
      <c r="S41" s="8" t="str">
        <f aca="false">IF(D41="N","N/A",IF(T41="","No category",IF(N41&lt;=W41,"PASS","FAIL")))</f>
        <v>PASS</v>
      </c>
      <c r="T41" s="6" t="s">
        <v>92</v>
      </c>
      <c r="U41" s="6"/>
      <c r="V41" s="6"/>
      <c r="W41" s="8" t="n">
        <f aca="false">MAX(IF(T41="",0,IFERROR(INDEX(09_GAP_Impact!$F$6:$F$27,MATCH(T41,09_GAP_Impact!$B$6:$B$27,0)),0)),IF(U41="",0,IFERROR(INDEX(09_GAP_Impact!$F$6:$F$27,MATCH(U41,09_GAP_Impact!$B$6:$B$27,0)),0)),IF(V41="",0,IFERROR(INDEX(09_GAP_Impact!$F$6:$F$27,MATCH(V41,09_GAP_Impact!$B$6:$B$27,0)),0)))</f>
        <v>2</v>
      </c>
    </row>
    <row r="42" customFormat="false" ht="34.5" hidden="false" customHeight="true" outlineLevel="0" collapsed="false">
      <c r="A42" s="6" t="s">
        <v>363</v>
      </c>
      <c r="B42" s="6" t="s">
        <v>364</v>
      </c>
      <c r="C42" s="6" t="s">
        <v>365</v>
      </c>
      <c r="D42" s="7" t="s">
        <v>82</v>
      </c>
      <c r="E42" s="6" t="s">
        <v>366</v>
      </c>
      <c r="F42" s="8" t="str">
        <f aca="false">IF(D42="N","N/A - excluded",IF(N42&gt;=3,"Implemented",IF(N42&gt;=1,"Partial","Not started")))</f>
        <v>Partial</v>
      </c>
      <c r="G42" s="6" t="s">
        <v>367</v>
      </c>
      <c r="H42" s="6" t="s">
        <v>166</v>
      </c>
      <c r="I42" s="6" t="s">
        <v>99</v>
      </c>
      <c r="J42" s="6" t="s">
        <v>100</v>
      </c>
      <c r="K42" s="6" t="s">
        <v>53</v>
      </c>
      <c r="L42" s="6" t="s">
        <v>108</v>
      </c>
      <c r="M42" s="6" t="s">
        <v>89</v>
      </c>
      <c r="N42" s="7" t="n">
        <v>1</v>
      </c>
      <c r="O42" s="6" t="s">
        <v>152</v>
      </c>
      <c r="P42" s="6" t="s">
        <v>53</v>
      </c>
      <c r="Q42" s="6" t="s">
        <v>328</v>
      </c>
      <c r="R42" s="8" t="n">
        <f aca="false">IF(D42="N","",IF(F42="Implemented",1,IF(F42="Partial",0.5,0)))</f>
        <v>0.5</v>
      </c>
      <c r="S42" s="8" t="str">
        <f aca="false">IF(D42="N","N/A",IF(T42="","No category",IF(N42&lt;=W42,"PASS","FAIL")))</f>
        <v>PASS</v>
      </c>
      <c r="T42" s="6" t="s">
        <v>100</v>
      </c>
      <c r="U42" s="6"/>
      <c r="V42" s="6"/>
      <c r="W42" s="8" t="n">
        <f aca="false">MAX(IF(T42="",0,IFERROR(INDEX(09_GAP_Impact!$F$6:$F$27,MATCH(T42,09_GAP_Impact!$B$6:$B$27,0)),0)),IF(U42="",0,IFERROR(INDEX(09_GAP_Impact!$F$6:$F$27,MATCH(U42,09_GAP_Impact!$B$6:$B$27,0)),0)),IF(V42="",0,IFERROR(INDEX(09_GAP_Impact!$F$6:$F$27,MATCH(V42,09_GAP_Impact!$B$6:$B$27,0)),0)))</f>
        <v>2</v>
      </c>
    </row>
    <row r="43" customFormat="false" ht="23.25" hidden="false" customHeight="true" outlineLevel="0" collapsed="false">
      <c r="A43" s="6" t="s">
        <v>368</v>
      </c>
      <c r="B43" s="6" t="s">
        <v>369</v>
      </c>
      <c r="C43" s="6" t="s">
        <v>365</v>
      </c>
      <c r="D43" s="7" t="s">
        <v>82</v>
      </c>
      <c r="E43" s="6" t="s">
        <v>370</v>
      </c>
      <c r="F43" s="8" t="str">
        <f aca="false">IF(D43="N","N/A - excluded",IF(N43&gt;=3,"Implemented",IF(N43&gt;=1,"Partial","Not started")))</f>
        <v>Not started</v>
      </c>
      <c r="G43" s="6" t="s">
        <v>371</v>
      </c>
      <c r="H43" s="6" t="s">
        <v>166</v>
      </c>
      <c r="I43" s="6" t="s">
        <v>99</v>
      </c>
      <c r="J43" s="6" t="s">
        <v>100</v>
      </c>
      <c r="K43" s="6" t="s">
        <v>53</v>
      </c>
      <c r="L43" s="6" t="s">
        <v>115</v>
      </c>
      <c r="M43" s="6" t="s">
        <v>89</v>
      </c>
      <c r="N43" s="7" t="n">
        <v>0</v>
      </c>
      <c r="O43" s="6" t="s">
        <v>152</v>
      </c>
      <c r="P43" s="6" t="s">
        <v>53</v>
      </c>
      <c r="Q43" s="6" t="s">
        <v>328</v>
      </c>
      <c r="R43" s="8" t="n">
        <f aca="false">IF(D43="N","",IF(F43="Implemented",1,IF(F43="Partial",0.5,0)))</f>
        <v>0</v>
      </c>
      <c r="S43" s="8" t="str">
        <f aca="false">IF(D43="N","N/A",IF(T43="","No category",IF(N43&lt;=W43,"PASS","FAIL")))</f>
        <v>PASS</v>
      </c>
      <c r="T43" s="6" t="s">
        <v>100</v>
      </c>
      <c r="U43" s="6"/>
      <c r="V43" s="6"/>
      <c r="W43" s="8" t="n">
        <f aca="false">MAX(IF(T43="",0,IFERROR(INDEX(09_GAP_Impact!$F$6:$F$27,MATCH(T43,09_GAP_Impact!$B$6:$B$27,0)),0)),IF(U43="",0,IFERROR(INDEX(09_GAP_Impact!$F$6:$F$27,MATCH(U43,09_GAP_Impact!$B$6:$B$27,0)),0)),IF(V43="",0,IFERROR(INDEX(09_GAP_Impact!$F$6:$F$27,MATCH(V43,09_GAP_Impact!$B$6:$B$27,0)),0)))</f>
        <v>2</v>
      </c>
    </row>
    <row r="44" customFormat="false" ht="34.5" hidden="false" customHeight="true" outlineLevel="0" collapsed="false">
      <c r="A44" s="6" t="s">
        <v>372</v>
      </c>
      <c r="B44" s="6" t="s">
        <v>373</v>
      </c>
      <c r="C44" s="6" t="s">
        <v>365</v>
      </c>
      <c r="D44" s="7" t="s">
        <v>82</v>
      </c>
      <c r="E44" s="6" t="s">
        <v>374</v>
      </c>
      <c r="F44" s="8" t="str">
        <f aca="false">IF(D44="N","N/A - excluded",IF(N44&gt;=3,"Implemented",IF(N44&gt;=1,"Partial","Not started")))</f>
        <v>Partial</v>
      </c>
      <c r="G44" s="6" t="s">
        <v>375</v>
      </c>
      <c r="H44" s="6" t="s">
        <v>166</v>
      </c>
      <c r="I44" s="6" t="s">
        <v>376</v>
      </c>
      <c r="J44" s="6" t="s">
        <v>377</v>
      </c>
      <c r="K44" s="6" t="s">
        <v>378</v>
      </c>
      <c r="L44" s="6" t="s">
        <v>108</v>
      </c>
      <c r="M44" s="6" t="s">
        <v>126</v>
      </c>
      <c r="N44" s="7" t="n">
        <v>1</v>
      </c>
      <c r="O44" s="6" t="s">
        <v>82</v>
      </c>
      <c r="P44" s="6" t="s">
        <v>377</v>
      </c>
      <c r="Q44" s="6" t="s">
        <v>379</v>
      </c>
      <c r="R44" s="8" t="n">
        <f aca="false">IF(D44="N","",IF(F44="Implemented",1,IF(F44="Partial",0.5,0)))</f>
        <v>0.5</v>
      </c>
      <c r="S44" s="8" t="str">
        <f aca="false">IF(D44="N","N/A",IF(T44="","No category",IF(N44&lt;=W44,"PASS","FAIL")))</f>
        <v>PASS</v>
      </c>
      <c r="T44" s="6" t="s">
        <v>377</v>
      </c>
      <c r="U44" s="6"/>
      <c r="V44" s="6"/>
      <c r="W44" s="8" t="n">
        <f aca="false">MAX(IF(T44="",0,IFERROR(INDEX(09_GAP_Impact!$F$6:$F$27,MATCH(T44,09_GAP_Impact!$B$6:$B$27,0)),0)),IF(U44="",0,IFERROR(INDEX(09_GAP_Impact!$F$6:$F$27,MATCH(U44,09_GAP_Impact!$B$6:$B$27,0)),0)),IF(V44="",0,IFERROR(INDEX(09_GAP_Impact!$F$6:$F$27,MATCH(V44,09_GAP_Impact!$B$6:$B$27,0)),0)))</f>
        <v>1</v>
      </c>
    </row>
    <row r="45" customFormat="false" ht="34.5" hidden="false" customHeight="true" outlineLevel="0" collapsed="false">
      <c r="A45" s="6" t="s">
        <v>380</v>
      </c>
      <c r="B45" s="6" t="s">
        <v>381</v>
      </c>
      <c r="C45" s="6" t="s">
        <v>365</v>
      </c>
      <c r="D45" s="7" t="s">
        <v>82</v>
      </c>
      <c r="E45" s="6" t="s">
        <v>382</v>
      </c>
      <c r="F45" s="8" t="str">
        <f aca="false">IF(D45="N","N/A - excluded",IF(N45&gt;=3,"Implemented",IF(N45&gt;=1,"Partial","Not started")))</f>
        <v>Not started</v>
      </c>
      <c r="G45" s="6" t="s">
        <v>383</v>
      </c>
      <c r="H45" s="6" t="s">
        <v>166</v>
      </c>
      <c r="I45" s="6" t="s">
        <v>384</v>
      </c>
      <c r="J45" s="6" t="s">
        <v>92</v>
      </c>
      <c r="K45" s="6" t="s">
        <v>53</v>
      </c>
      <c r="L45" s="6" t="s">
        <v>115</v>
      </c>
      <c r="M45" s="6" t="s">
        <v>89</v>
      </c>
      <c r="N45" s="7" t="n">
        <v>0</v>
      </c>
      <c r="O45" s="6" t="s">
        <v>152</v>
      </c>
      <c r="P45" s="6" t="s">
        <v>53</v>
      </c>
      <c r="Q45" s="6" t="s">
        <v>328</v>
      </c>
      <c r="R45" s="8" t="n">
        <f aca="false">IF(D45="N","",IF(F45="Implemented",1,IF(F45="Partial",0.5,0)))</f>
        <v>0</v>
      </c>
      <c r="S45" s="8" t="str">
        <f aca="false">IF(D45="N","N/A",IF(T45="","No category",IF(N45&lt;=W45,"PASS","FAIL")))</f>
        <v>PASS</v>
      </c>
      <c r="T45" s="6" t="s">
        <v>92</v>
      </c>
      <c r="U45" s="6"/>
      <c r="V45" s="6"/>
      <c r="W45" s="8" t="n">
        <f aca="false">MAX(IF(T45="",0,IFERROR(INDEX(09_GAP_Impact!$F$6:$F$27,MATCH(T45,09_GAP_Impact!$B$6:$B$27,0)),0)),IF(U45="",0,IFERROR(INDEX(09_GAP_Impact!$F$6:$F$27,MATCH(U45,09_GAP_Impact!$B$6:$B$27,0)),0)),IF(V45="",0,IFERROR(INDEX(09_GAP_Impact!$F$6:$F$27,MATCH(V45,09_GAP_Impact!$B$6:$B$27,0)),0)))</f>
        <v>2</v>
      </c>
    </row>
    <row r="46" customFormat="false" ht="34.5" hidden="false" customHeight="true" outlineLevel="0" collapsed="false">
      <c r="A46" s="6" t="s">
        <v>385</v>
      </c>
      <c r="B46" s="6" t="s">
        <v>386</v>
      </c>
      <c r="C46" s="6" t="s">
        <v>365</v>
      </c>
      <c r="D46" s="7" t="s">
        <v>82</v>
      </c>
      <c r="E46" s="6" t="s">
        <v>387</v>
      </c>
      <c r="F46" s="8" t="str">
        <f aca="false">IF(D46="N","N/A - excluded",IF(N46&gt;=3,"Implemented",IF(N46&gt;=1,"Partial","Not started")))</f>
        <v>Partial</v>
      </c>
      <c r="G46" s="6" t="s">
        <v>388</v>
      </c>
      <c r="H46" s="6" t="s">
        <v>166</v>
      </c>
      <c r="I46" s="6" t="s">
        <v>174</v>
      </c>
      <c r="J46" s="6" t="s">
        <v>175</v>
      </c>
      <c r="K46" s="6" t="s">
        <v>389</v>
      </c>
      <c r="L46" s="6" t="s">
        <v>115</v>
      </c>
      <c r="M46" s="6" t="s">
        <v>126</v>
      </c>
      <c r="N46" s="7" t="n">
        <v>1</v>
      </c>
      <c r="O46" s="6" t="s">
        <v>152</v>
      </c>
      <c r="P46" s="6" t="s">
        <v>53</v>
      </c>
      <c r="Q46" s="6" t="s">
        <v>177</v>
      </c>
      <c r="R46" s="8" t="n">
        <f aca="false">IF(D46="N","",IF(F46="Implemented",1,IF(F46="Partial",0.5,0)))</f>
        <v>0.5</v>
      </c>
      <c r="S46" s="8" t="str">
        <f aca="false">IF(D46="N","N/A",IF(T46="","No category",IF(N46&lt;=W46,"PASS","FAIL")))</f>
        <v>PASS</v>
      </c>
      <c r="T46" s="6" t="s">
        <v>175</v>
      </c>
      <c r="U46" s="6"/>
      <c r="V46" s="6"/>
      <c r="W46" s="8" t="n">
        <f aca="false">MAX(IF(T46="",0,IFERROR(INDEX(09_GAP_Impact!$F$6:$F$27,MATCH(T46,09_GAP_Impact!$B$6:$B$27,0)),0)),IF(U46="",0,IFERROR(INDEX(09_GAP_Impact!$F$6:$F$27,MATCH(U46,09_GAP_Impact!$B$6:$B$27,0)),0)),IF(V46="",0,IFERROR(INDEX(09_GAP_Impact!$F$6:$F$27,MATCH(V46,09_GAP_Impact!$B$6:$B$27,0)),0)))</f>
        <v>2</v>
      </c>
    </row>
    <row r="47" customFormat="false" ht="23.25" hidden="false" customHeight="true" outlineLevel="0" collapsed="false">
      <c r="A47" s="6" t="s">
        <v>390</v>
      </c>
      <c r="B47" s="6" t="s">
        <v>391</v>
      </c>
      <c r="C47" s="6" t="s">
        <v>365</v>
      </c>
      <c r="D47" s="7" t="s">
        <v>82</v>
      </c>
      <c r="E47" s="6" t="s">
        <v>392</v>
      </c>
      <c r="F47" s="8" t="str">
        <f aca="false">IF(D47="N","N/A - excluded",IF(N47&gt;=3,"Implemented",IF(N47&gt;=1,"Partial","Not started")))</f>
        <v>Not started</v>
      </c>
      <c r="G47" s="6" t="s">
        <v>393</v>
      </c>
      <c r="H47" s="6" t="s">
        <v>166</v>
      </c>
      <c r="I47" s="6" t="s">
        <v>394</v>
      </c>
      <c r="J47" s="6" t="s">
        <v>100</v>
      </c>
      <c r="K47" s="6" t="s">
        <v>53</v>
      </c>
      <c r="L47" s="6" t="s">
        <v>115</v>
      </c>
      <c r="M47" s="6" t="s">
        <v>89</v>
      </c>
      <c r="N47" s="7" t="n">
        <v>0</v>
      </c>
      <c r="O47" s="6" t="s">
        <v>152</v>
      </c>
      <c r="P47" s="6" t="s">
        <v>53</v>
      </c>
      <c r="Q47" s="6" t="s">
        <v>328</v>
      </c>
      <c r="R47" s="8" t="n">
        <f aca="false">IF(D47="N","",IF(F47="Implemented",1,IF(F47="Partial",0.5,0)))</f>
        <v>0</v>
      </c>
      <c r="S47" s="8" t="str">
        <f aca="false">IF(D47="N","N/A",IF(T47="","No category",IF(N47&lt;=W47,"PASS","FAIL")))</f>
        <v>PASS</v>
      </c>
      <c r="T47" s="6" t="s">
        <v>100</v>
      </c>
      <c r="U47" s="6"/>
      <c r="V47" s="6"/>
      <c r="W47" s="8" t="n">
        <f aca="false">MAX(IF(T47="",0,IFERROR(INDEX(09_GAP_Impact!$F$6:$F$27,MATCH(T47,09_GAP_Impact!$B$6:$B$27,0)),0)),IF(U47="",0,IFERROR(INDEX(09_GAP_Impact!$F$6:$F$27,MATCH(U47,09_GAP_Impact!$B$6:$B$27,0)),0)),IF(V47="",0,IFERROR(INDEX(09_GAP_Impact!$F$6:$F$27,MATCH(V47,09_GAP_Impact!$B$6:$B$27,0)),0)))</f>
        <v>2</v>
      </c>
    </row>
    <row r="48" customFormat="false" ht="23.25" hidden="false" customHeight="true" outlineLevel="0" collapsed="false">
      <c r="A48" s="6" t="s">
        <v>395</v>
      </c>
      <c r="B48" s="6" t="s">
        <v>396</v>
      </c>
      <c r="C48" s="6" t="s">
        <v>365</v>
      </c>
      <c r="D48" s="7" t="s">
        <v>82</v>
      </c>
      <c r="E48" s="6" t="s">
        <v>397</v>
      </c>
      <c r="F48" s="8" t="str">
        <f aca="false">IF(D48="N","N/A - excluded",IF(N48&gt;=3,"Implemented",IF(N48&gt;=1,"Partial","Not started")))</f>
        <v>Partial</v>
      </c>
      <c r="G48" s="6" t="s">
        <v>398</v>
      </c>
      <c r="H48" s="6" t="s">
        <v>157</v>
      </c>
      <c r="I48" s="6" t="s">
        <v>275</v>
      </c>
      <c r="J48" s="6" t="s">
        <v>399</v>
      </c>
      <c r="K48" s="6" t="s">
        <v>53</v>
      </c>
      <c r="L48" s="6" t="s">
        <v>108</v>
      </c>
      <c r="M48" s="6" t="s">
        <v>89</v>
      </c>
      <c r="N48" s="7" t="n">
        <v>2</v>
      </c>
      <c r="O48" s="6" t="s">
        <v>152</v>
      </c>
      <c r="P48" s="6" t="s">
        <v>53</v>
      </c>
      <c r="Q48" s="6" t="s">
        <v>161</v>
      </c>
      <c r="R48" s="8" t="n">
        <f aca="false">IF(D48="N","",IF(F48="Implemented",1,IF(F48="Partial",0.5,0)))</f>
        <v>0.5</v>
      </c>
      <c r="S48" s="8" t="str">
        <f aca="false">IF(D48="N","N/A",IF(T48="","No category",IF(N48&lt;=W48,"PASS","FAIL")))</f>
        <v>PASS</v>
      </c>
      <c r="T48" s="6" t="s">
        <v>92</v>
      </c>
      <c r="U48" s="6" t="s">
        <v>175</v>
      </c>
      <c r="V48" s="6"/>
      <c r="W48" s="8" t="n">
        <f aca="false">MAX(IF(T48="",0,IFERROR(INDEX(09_GAP_Impact!$F$6:$F$27,MATCH(T48,09_GAP_Impact!$B$6:$B$27,0)),0)),IF(U48="",0,IFERROR(INDEX(09_GAP_Impact!$F$6:$F$27,MATCH(U48,09_GAP_Impact!$B$6:$B$27,0)),0)),IF(V48="",0,IFERROR(INDEX(09_GAP_Impact!$F$6:$F$27,MATCH(V48,09_GAP_Impact!$B$6:$B$27,0)),0)))</f>
        <v>2</v>
      </c>
    </row>
    <row r="49" customFormat="false" ht="23.25" hidden="false" customHeight="true" outlineLevel="0" collapsed="false">
      <c r="A49" s="6" t="s">
        <v>400</v>
      </c>
      <c r="B49" s="6" t="s">
        <v>401</v>
      </c>
      <c r="C49" s="6" t="s">
        <v>365</v>
      </c>
      <c r="D49" s="7" t="s">
        <v>82</v>
      </c>
      <c r="E49" s="6" t="s">
        <v>402</v>
      </c>
      <c r="F49" s="8" t="str">
        <f aca="false">IF(D49="N","N/A - excluded",IF(N49&gt;=3,"Implemented",IF(N49&gt;=1,"Partial","Not started")))</f>
        <v>Partial</v>
      </c>
      <c r="G49" s="6" t="s">
        <v>403</v>
      </c>
      <c r="H49" s="6" t="s">
        <v>106</v>
      </c>
      <c r="I49" s="6" t="s">
        <v>404</v>
      </c>
      <c r="J49" s="6" t="s">
        <v>405</v>
      </c>
      <c r="K49" s="6" t="s">
        <v>406</v>
      </c>
      <c r="L49" s="6" t="s">
        <v>134</v>
      </c>
      <c r="M49" s="6" t="s">
        <v>126</v>
      </c>
      <c r="N49" s="7" t="n">
        <v>2</v>
      </c>
      <c r="O49" s="6" t="s">
        <v>82</v>
      </c>
      <c r="P49" s="6" t="s">
        <v>405</v>
      </c>
      <c r="Q49" s="6" t="s">
        <v>136</v>
      </c>
      <c r="R49" s="8" t="n">
        <f aca="false">IF(D49="N","",IF(F49="Implemented",1,IF(F49="Partial",0.5,0)))</f>
        <v>0.5</v>
      </c>
      <c r="S49" s="8" t="str">
        <f aca="false">IF(D49="N","N/A",IF(T49="","No category",IF(N49&lt;=W49,"PASS","FAIL")))</f>
        <v>PASS</v>
      </c>
      <c r="T49" s="6" t="s">
        <v>377</v>
      </c>
      <c r="U49" s="6" t="s">
        <v>128</v>
      </c>
      <c r="V49" s="6"/>
      <c r="W49" s="8" t="n">
        <f aca="false">MAX(IF(T49="",0,IFERROR(INDEX(09_GAP_Impact!$F$6:$F$27,MATCH(T49,09_GAP_Impact!$B$6:$B$27,0)),0)),IF(U49="",0,IFERROR(INDEX(09_GAP_Impact!$F$6:$F$27,MATCH(U49,09_GAP_Impact!$B$6:$B$27,0)),0)),IF(V49="",0,IFERROR(INDEX(09_GAP_Impact!$F$6:$F$27,MATCH(V49,09_GAP_Impact!$B$6:$B$27,0)),0)))</f>
        <v>2</v>
      </c>
    </row>
    <row r="50" customFormat="false" ht="45.75" hidden="false" customHeight="true" outlineLevel="0" collapsed="false">
      <c r="A50" s="6" t="s">
        <v>407</v>
      </c>
      <c r="B50" s="6" t="s">
        <v>408</v>
      </c>
      <c r="C50" s="6" t="s">
        <v>409</v>
      </c>
      <c r="D50" s="7" t="s">
        <v>82</v>
      </c>
      <c r="E50" s="6" t="s">
        <v>410</v>
      </c>
      <c r="F50" s="8" t="str">
        <f aca="false">IF(D50="N","N/A - excluded",IF(N50&gt;=3,"Implemented",IF(N50&gt;=1,"Partial","Not started")))</f>
        <v>Not started</v>
      </c>
      <c r="G50" s="6" t="s">
        <v>411</v>
      </c>
      <c r="H50" s="6" t="s">
        <v>157</v>
      </c>
      <c r="I50" s="6" t="s">
        <v>53</v>
      </c>
      <c r="J50" s="6" t="s">
        <v>53</v>
      </c>
      <c r="K50" s="6" t="s">
        <v>53</v>
      </c>
      <c r="L50" s="6" t="s">
        <v>108</v>
      </c>
      <c r="M50" s="6" t="s">
        <v>412</v>
      </c>
      <c r="N50" s="7" t="n">
        <v>0</v>
      </c>
      <c r="O50" s="6" t="s">
        <v>152</v>
      </c>
      <c r="P50" s="6" t="s">
        <v>53</v>
      </c>
      <c r="Q50" s="6" t="s">
        <v>328</v>
      </c>
      <c r="R50" s="8" t="n">
        <f aca="false">IF(D50="N","",IF(F50="Implemented",1,IF(F50="Partial",0.5,0)))</f>
        <v>0</v>
      </c>
      <c r="S50" s="8" t="str">
        <f aca="false">IF(D50="N","N/A",IF(T50="","No category",IF(N50&lt;=W50,"PASS","FAIL")))</f>
        <v>No category</v>
      </c>
      <c r="T50" s="6"/>
      <c r="U50" s="6"/>
      <c r="V50" s="6"/>
      <c r="W50" s="8" t="n">
        <f aca="false">MAX(IF(T50="",0,IFERROR(INDEX(09_GAP_Impact!$F$6:$F$27,MATCH(T50,09_GAP_Impact!$B$6:$B$27,0)),0)),IF(U50="",0,IFERROR(INDEX(09_GAP_Impact!$F$6:$F$27,MATCH(U50,09_GAP_Impact!$B$6:$B$27,0)),0)),IF(V50="",0,IFERROR(INDEX(09_GAP_Impact!$F$6:$F$27,MATCH(V50,09_GAP_Impact!$B$6:$B$27,0)),0)))</f>
        <v>0</v>
      </c>
    </row>
    <row r="51" customFormat="false" ht="23.25" hidden="false" customHeight="true" outlineLevel="0" collapsed="false">
      <c r="A51" s="6" t="s">
        <v>413</v>
      </c>
      <c r="B51" s="6" t="s">
        <v>414</v>
      </c>
      <c r="C51" s="6" t="s">
        <v>409</v>
      </c>
      <c r="D51" s="7" t="s">
        <v>82</v>
      </c>
      <c r="E51" s="6" t="s">
        <v>415</v>
      </c>
      <c r="F51" s="8" t="str">
        <f aca="false">IF(D51="N","N/A - excluded",IF(N51&gt;=3,"Implemented",IF(N51&gt;=1,"Partial","Not started")))</f>
        <v>Not started</v>
      </c>
      <c r="G51" s="6" t="s">
        <v>416</v>
      </c>
      <c r="H51" s="6" t="s">
        <v>157</v>
      </c>
      <c r="I51" s="6" t="s">
        <v>53</v>
      </c>
      <c r="J51" s="6" t="s">
        <v>53</v>
      </c>
      <c r="K51" s="6" t="s">
        <v>53</v>
      </c>
      <c r="L51" s="6" t="s">
        <v>108</v>
      </c>
      <c r="M51" s="6" t="s">
        <v>412</v>
      </c>
      <c r="N51" s="7" t="n">
        <v>0</v>
      </c>
      <c r="O51" s="6" t="s">
        <v>152</v>
      </c>
      <c r="P51" s="6" t="s">
        <v>53</v>
      </c>
      <c r="Q51" s="6" t="s">
        <v>328</v>
      </c>
      <c r="R51" s="8" t="n">
        <f aca="false">IF(D51="N","",IF(F51="Implemented",1,IF(F51="Partial",0.5,0)))</f>
        <v>0</v>
      </c>
      <c r="S51" s="8" t="str">
        <f aca="false">IF(D51="N","N/A",IF(T51="","No category",IF(N51&lt;=W51,"PASS","FAIL")))</f>
        <v>No category</v>
      </c>
      <c r="T51" s="6"/>
      <c r="U51" s="6"/>
      <c r="V51" s="6"/>
      <c r="W51" s="8" t="n">
        <f aca="false">MAX(IF(T51="",0,IFERROR(INDEX(09_GAP_Impact!$F$6:$F$27,MATCH(T51,09_GAP_Impact!$B$6:$B$27,0)),0)),IF(U51="",0,IFERROR(INDEX(09_GAP_Impact!$F$6:$F$27,MATCH(U51,09_GAP_Impact!$B$6:$B$27,0)),0)),IF(V51="",0,IFERROR(INDEX(09_GAP_Impact!$F$6:$F$27,MATCH(V51,09_GAP_Impact!$B$6:$B$27,0)),0)))</f>
        <v>0</v>
      </c>
    </row>
    <row r="52" customFormat="false" ht="23.25" hidden="false" customHeight="true" outlineLevel="0" collapsed="false">
      <c r="A52" s="6" t="s">
        <v>417</v>
      </c>
      <c r="B52" s="6" t="s">
        <v>418</v>
      </c>
      <c r="C52" s="6" t="s">
        <v>409</v>
      </c>
      <c r="D52" s="7" t="s">
        <v>82</v>
      </c>
      <c r="E52" s="6" t="s">
        <v>419</v>
      </c>
      <c r="F52" s="8" t="str">
        <f aca="false">IF(D52="N","N/A - excluded",IF(N52&gt;=3,"Implemented",IF(N52&gt;=1,"Partial","Not started")))</f>
        <v>Not started</v>
      </c>
      <c r="G52" s="6" t="s">
        <v>420</v>
      </c>
      <c r="H52" s="6" t="s">
        <v>157</v>
      </c>
      <c r="I52" s="6" t="s">
        <v>53</v>
      </c>
      <c r="J52" s="6" t="s">
        <v>53</v>
      </c>
      <c r="K52" s="6" t="s">
        <v>53</v>
      </c>
      <c r="L52" s="6" t="s">
        <v>108</v>
      </c>
      <c r="M52" s="6" t="s">
        <v>412</v>
      </c>
      <c r="N52" s="7" t="n">
        <v>0</v>
      </c>
      <c r="O52" s="6" t="s">
        <v>152</v>
      </c>
      <c r="P52" s="6" t="s">
        <v>53</v>
      </c>
      <c r="Q52" s="6" t="s">
        <v>328</v>
      </c>
      <c r="R52" s="8" t="n">
        <f aca="false">IF(D52="N","",IF(F52="Implemented",1,IF(F52="Partial",0.5,0)))</f>
        <v>0</v>
      </c>
      <c r="S52" s="8" t="str">
        <f aca="false">IF(D52="N","N/A",IF(T52="","No category",IF(N52&lt;=W52,"PASS","FAIL")))</f>
        <v>No category</v>
      </c>
      <c r="T52" s="6"/>
      <c r="U52" s="6"/>
      <c r="V52" s="6"/>
      <c r="W52" s="8" t="n">
        <f aca="false">MAX(IF(T52="",0,IFERROR(INDEX(09_GAP_Impact!$F$6:$F$27,MATCH(T52,09_GAP_Impact!$B$6:$B$27,0)),0)),IF(U52="",0,IFERROR(INDEX(09_GAP_Impact!$F$6:$F$27,MATCH(U52,09_GAP_Impact!$B$6:$B$27,0)),0)),IF(V52="",0,IFERROR(INDEX(09_GAP_Impact!$F$6:$F$27,MATCH(V52,09_GAP_Impact!$B$6:$B$27,0)),0)))</f>
        <v>0</v>
      </c>
    </row>
    <row r="53" customFormat="false" ht="57" hidden="false" customHeight="true" outlineLevel="0" collapsed="false">
      <c r="A53" s="6" t="s">
        <v>421</v>
      </c>
      <c r="B53" s="6" t="s">
        <v>422</v>
      </c>
      <c r="C53" s="6" t="s">
        <v>409</v>
      </c>
      <c r="D53" s="7" t="s">
        <v>152</v>
      </c>
      <c r="E53" s="6" t="s">
        <v>423</v>
      </c>
      <c r="F53" s="8" t="str">
        <f aca="false">IF(D53="N","N/A - excluded",IF(N53&gt;=3,"Implemented",IF(N53&gt;=1,"Partial","Not started")))</f>
        <v>N/A - excluded</v>
      </c>
      <c r="G53" s="6" t="s">
        <v>424</v>
      </c>
      <c r="H53" s="6" t="s">
        <v>157</v>
      </c>
      <c r="I53" s="6" t="s">
        <v>53</v>
      </c>
      <c r="J53" s="6" t="s">
        <v>53</v>
      </c>
      <c r="K53" s="6" t="s">
        <v>53</v>
      </c>
      <c r="L53" s="6" t="s">
        <v>425</v>
      </c>
      <c r="M53" s="6" t="s">
        <v>426</v>
      </c>
      <c r="N53" s="7" t="n">
        <v>0</v>
      </c>
      <c r="O53" s="6" t="s">
        <v>152</v>
      </c>
      <c r="P53" s="6" t="s">
        <v>53</v>
      </c>
      <c r="Q53" s="6" t="s">
        <v>53</v>
      </c>
      <c r="R53" s="8" t="str">
        <f aca="false">IF(D53="N","",IF(F53="Implemented",1,IF(F53="Partial",0.5,0)))</f>
        <v/>
      </c>
      <c r="S53" s="8" t="str">
        <f aca="false">IF(D53="N","N/A",IF(T53="","No category",IF(N53&lt;=W53,"PASS","FAIL")))</f>
        <v>N/A</v>
      </c>
      <c r="T53" s="6"/>
      <c r="U53" s="6"/>
      <c r="V53" s="6"/>
      <c r="W53" s="8" t="n">
        <f aca="false">MAX(IF(T53="",0,IFERROR(INDEX(09_GAP_Impact!$F$6:$F$27,MATCH(T53,09_GAP_Impact!$B$6:$B$27,0)),0)),IF(U53="",0,IFERROR(INDEX(09_GAP_Impact!$F$6:$F$27,MATCH(U53,09_GAP_Impact!$B$6:$B$27,0)),0)),IF(V53="",0,IFERROR(INDEX(09_GAP_Impact!$F$6:$F$27,MATCH(V53,09_GAP_Impact!$B$6:$B$27,0)),0)))</f>
        <v>0</v>
      </c>
    </row>
    <row r="54" customFormat="false" ht="34.5" hidden="false" customHeight="true" outlineLevel="0" collapsed="false">
      <c r="A54" s="6" t="s">
        <v>427</v>
      </c>
      <c r="B54" s="6" t="s">
        <v>428</v>
      </c>
      <c r="C54" s="6" t="s">
        <v>409</v>
      </c>
      <c r="D54" s="7" t="s">
        <v>82</v>
      </c>
      <c r="E54" s="6" t="s">
        <v>429</v>
      </c>
      <c r="F54" s="8" t="str">
        <f aca="false">IF(D54="N","N/A - excluded",IF(N54&gt;=3,"Implemented",IF(N54&gt;=1,"Partial","Not started")))</f>
        <v>Not started</v>
      </c>
      <c r="G54" s="6" t="s">
        <v>430</v>
      </c>
      <c r="H54" s="6" t="s">
        <v>157</v>
      </c>
      <c r="I54" s="6" t="s">
        <v>53</v>
      </c>
      <c r="J54" s="6" t="s">
        <v>53</v>
      </c>
      <c r="K54" s="6" t="s">
        <v>53</v>
      </c>
      <c r="L54" s="6" t="s">
        <v>134</v>
      </c>
      <c r="M54" s="6" t="s">
        <v>412</v>
      </c>
      <c r="N54" s="7" t="n">
        <v>0</v>
      </c>
      <c r="O54" s="6" t="s">
        <v>152</v>
      </c>
      <c r="P54" s="6" t="s">
        <v>53</v>
      </c>
      <c r="Q54" s="6" t="s">
        <v>328</v>
      </c>
      <c r="R54" s="8" t="n">
        <f aca="false">IF(D54="N","",IF(F54="Implemented",1,IF(F54="Partial",0.5,0)))</f>
        <v>0</v>
      </c>
      <c r="S54" s="8" t="str">
        <f aca="false">IF(D54="N","N/A",IF(T54="","No category",IF(N54&lt;=W54,"PASS","FAIL")))</f>
        <v>No category</v>
      </c>
      <c r="T54" s="6"/>
      <c r="U54" s="6"/>
      <c r="V54" s="6"/>
      <c r="W54" s="8" t="n">
        <f aca="false">MAX(IF(T54="",0,IFERROR(INDEX(09_GAP_Impact!$F$6:$F$27,MATCH(T54,09_GAP_Impact!$B$6:$B$27,0)),0)),IF(U54="",0,IFERROR(INDEX(09_GAP_Impact!$F$6:$F$27,MATCH(U54,09_GAP_Impact!$B$6:$B$27,0)),0)),IF(V54="",0,IFERROR(INDEX(09_GAP_Impact!$F$6:$F$27,MATCH(V54,09_GAP_Impact!$B$6:$B$27,0)),0)))</f>
        <v>0</v>
      </c>
    </row>
    <row r="55" customFormat="false" ht="45.75" hidden="false" customHeight="true" outlineLevel="0" collapsed="false">
      <c r="A55" s="6" t="s">
        <v>431</v>
      </c>
      <c r="B55" s="6" t="s">
        <v>432</v>
      </c>
      <c r="C55" s="6" t="s">
        <v>409</v>
      </c>
      <c r="D55" s="7" t="s">
        <v>152</v>
      </c>
      <c r="E55" s="6" t="s">
        <v>433</v>
      </c>
      <c r="F55" s="8" t="str">
        <f aca="false">IF(D55="N","N/A - excluded",IF(N55&gt;=3,"Implemented",IF(N55&gt;=1,"Partial","Not started")))</f>
        <v>N/A - excluded</v>
      </c>
      <c r="G55" s="6" t="s">
        <v>434</v>
      </c>
      <c r="H55" s="6" t="s">
        <v>157</v>
      </c>
      <c r="I55" s="6" t="s">
        <v>53</v>
      </c>
      <c r="J55" s="6" t="s">
        <v>53</v>
      </c>
      <c r="K55" s="6" t="s">
        <v>53</v>
      </c>
      <c r="L55" s="6" t="s">
        <v>425</v>
      </c>
      <c r="M55" s="6" t="s">
        <v>426</v>
      </c>
      <c r="N55" s="7" t="n">
        <v>0</v>
      </c>
      <c r="O55" s="6" t="s">
        <v>152</v>
      </c>
      <c r="P55" s="6" t="s">
        <v>53</v>
      </c>
      <c r="Q55" s="6" t="s">
        <v>53</v>
      </c>
      <c r="R55" s="8" t="str">
        <f aca="false">IF(D55="N","",IF(F55="Implemented",1,IF(F55="Partial",0.5,0)))</f>
        <v/>
      </c>
      <c r="S55" s="8" t="str">
        <f aca="false">IF(D55="N","N/A",IF(T55="","No category",IF(N55&lt;=W55,"PASS","FAIL")))</f>
        <v>N/A</v>
      </c>
      <c r="T55" s="6"/>
      <c r="U55" s="6"/>
      <c r="V55" s="6"/>
      <c r="W55" s="8" t="n">
        <f aca="false">MAX(IF(T55="",0,IFERROR(INDEX(09_GAP_Impact!$F$6:$F$27,MATCH(T55,09_GAP_Impact!$B$6:$B$27,0)),0)),IF(U55="",0,IFERROR(INDEX(09_GAP_Impact!$F$6:$F$27,MATCH(U55,09_GAP_Impact!$B$6:$B$27,0)),0)),IF(V55="",0,IFERROR(INDEX(09_GAP_Impact!$F$6:$F$27,MATCH(V55,09_GAP_Impact!$B$6:$B$27,0)),0)))</f>
        <v>0</v>
      </c>
    </row>
    <row r="56" customFormat="false" ht="34.5" hidden="false" customHeight="true" outlineLevel="0" collapsed="false">
      <c r="A56" s="6" t="s">
        <v>435</v>
      </c>
      <c r="B56" s="6" t="s">
        <v>436</v>
      </c>
      <c r="C56" s="6" t="s">
        <v>409</v>
      </c>
      <c r="D56" s="7" t="s">
        <v>82</v>
      </c>
      <c r="E56" s="6" t="s">
        <v>437</v>
      </c>
      <c r="F56" s="8" t="str">
        <f aca="false">IF(D56="N","N/A - excluded",IF(N56&gt;=3,"Implemented",IF(N56&gt;=1,"Partial","Not started")))</f>
        <v>Partial</v>
      </c>
      <c r="G56" s="6" t="s">
        <v>438</v>
      </c>
      <c r="H56" s="6" t="s">
        <v>166</v>
      </c>
      <c r="I56" s="6" t="s">
        <v>53</v>
      </c>
      <c r="J56" s="6" t="s">
        <v>53</v>
      </c>
      <c r="K56" s="6" t="s">
        <v>53</v>
      </c>
      <c r="L56" s="6" t="s">
        <v>115</v>
      </c>
      <c r="M56" s="6" t="s">
        <v>412</v>
      </c>
      <c r="N56" s="7" t="n">
        <v>2</v>
      </c>
      <c r="O56" s="6" t="s">
        <v>152</v>
      </c>
      <c r="P56" s="6" t="s">
        <v>53</v>
      </c>
      <c r="Q56" s="6" t="s">
        <v>439</v>
      </c>
      <c r="R56" s="8" t="n">
        <f aca="false">IF(D56="N","",IF(F56="Implemented",1,IF(F56="Partial",0.5,0)))</f>
        <v>0.5</v>
      </c>
      <c r="S56" s="8" t="str">
        <f aca="false">IF(D56="N","N/A",IF(T56="","No category",IF(N56&lt;=W56,"PASS","FAIL")))</f>
        <v>No category</v>
      </c>
      <c r="T56" s="6"/>
      <c r="U56" s="6"/>
      <c r="V56" s="6"/>
      <c r="W56" s="8" t="n">
        <f aca="false">MAX(IF(T56="",0,IFERROR(INDEX(09_GAP_Impact!$F$6:$F$27,MATCH(T56,09_GAP_Impact!$B$6:$B$27,0)),0)),IF(U56="",0,IFERROR(INDEX(09_GAP_Impact!$F$6:$F$27,MATCH(U56,09_GAP_Impact!$B$6:$B$27,0)),0)),IF(V56="",0,IFERROR(INDEX(09_GAP_Impact!$F$6:$F$27,MATCH(V56,09_GAP_Impact!$B$6:$B$27,0)),0)))</f>
        <v>0</v>
      </c>
    </row>
    <row r="57" customFormat="false" ht="23.25" hidden="false" customHeight="true" outlineLevel="0" collapsed="false">
      <c r="A57" s="6" t="s">
        <v>440</v>
      </c>
      <c r="B57" s="6" t="s">
        <v>441</v>
      </c>
      <c r="C57" s="6" t="s">
        <v>409</v>
      </c>
      <c r="D57" s="7" t="s">
        <v>82</v>
      </c>
      <c r="E57" s="6" t="s">
        <v>442</v>
      </c>
      <c r="F57" s="8" t="str">
        <f aca="false">IF(D57="N","N/A - excluded",IF(N57&gt;=3,"Implemented",IF(N57&gt;=1,"Partial","Not started")))</f>
        <v>Not started</v>
      </c>
      <c r="G57" s="6" t="s">
        <v>443</v>
      </c>
      <c r="H57" s="6" t="s">
        <v>157</v>
      </c>
      <c r="I57" s="6" t="s">
        <v>53</v>
      </c>
      <c r="J57" s="6" t="s">
        <v>53</v>
      </c>
      <c r="K57" s="6" t="s">
        <v>53</v>
      </c>
      <c r="L57" s="6" t="s">
        <v>108</v>
      </c>
      <c r="M57" s="6" t="s">
        <v>412</v>
      </c>
      <c r="N57" s="7" t="n">
        <v>0</v>
      </c>
      <c r="O57" s="6" t="s">
        <v>152</v>
      </c>
      <c r="P57" s="6" t="s">
        <v>53</v>
      </c>
      <c r="Q57" s="6" t="s">
        <v>328</v>
      </c>
      <c r="R57" s="8" t="n">
        <f aca="false">IF(D57="N","",IF(F57="Implemented",1,IF(F57="Partial",0.5,0)))</f>
        <v>0</v>
      </c>
      <c r="S57" s="8" t="str">
        <f aca="false">IF(D57="N","N/A",IF(T57="","No category",IF(N57&lt;=W57,"PASS","FAIL")))</f>
        <v>No category</v>
      </c>
      <c r="T57" s="6"/>
      <c r="U57" s="6"/>
      <c r="V57" s="6"/>
      <c r="W57" s="8" t="n">
        <f aca="false">MAX(IF(T57="",0,IFERROR(INDEX(09_GAP_Impact!$F$6:$F$27,MATCH(T57,09_GAP_Impact!$B$6:$B$27,0)),0)),IF(U57="",0,IFERROR(INDEX(09_GAP_Impact!$F$6:$F$27,MATCH(U57,09_GAP_Impact!$B$6:$B$27,0)),0)),IF(V57="",0,IFERROR(INDEX(09_GAP_Impact!$F$6:$F$27,MATCH(V57,09_GAP_Impact!$B$6:$B$27,0)),0)))</f>
        <v>0</v>
      </c>
    </row>
    <row r="58" customFormat="false" ht="34.5" hidden="false" customHeight="true" outlineLevel="0" collapsed="false">
      <c r="A58" s="6" t="s">
        <v>444</v>
      </c>
      <c r="B58" s="6" t="s">
        <v>445</v>
      </c>
      <c r="C58" s="6" t="s">
        <v>409</v>
      </c>
      <c r="D58" s="7" t="s">
        <v>82</v>
      </c>
      <c r="E58" s="6" t="s">
        <v>446</v>
      </c>
      <c r="F58" s="8" t="str">
        <f aca="false">IF(D58="N","N/A - excluded",IF(N58&gt;=3,"Implemented",IF(N58&gt;=1,"Partial","Not started")))</f>
        <v>Partial</v>
      </c>
      <c r="G58" s="6" t="s">
        <v>447</v>
      </c>
      <c r="H58" s="6" t="s">
        <v>157</v>
      </c>
      <c r="I58" s="6" t="s">
        <v>53</v>
      </c>
      <c r="J58" s="6" t="s">
        <v>159</v>
      </c>
      <c r="K58" s="6" t="s">
        <v>53</v>
      </c>
      <c r="L58" s="6" t="s">
        <v>108</v>
      </c>
      <c r="M58" s="6" t="s">
        <v>135</v>
      </c>
      <c r="N58" s="7" t="n">
        <v>1</v>
      </c>
      <c r="O58" s="6" t="s">
        <v>152</v>
      </c>
      <c r="P58" s="6" t="s">
        <v>53</v>
      </c>
      <c r="Q58" s="6" t="s">
        <v>161</v>
      </c>
      <c r="R58" s="8" t="n">
        <f aca="false">IF(D58="N","",IF(F58="Implemented",1,IF(F58="Partial",0.5,0)))</f>
        <v>0.5</v>
      </c>
      <c r="S58" s="8" t="str">
        <f aca="false">IF(D58="N","N/A",IF(T58="","No category",IF(N58&lt;=W58,"PASS","FAIL")))</f>
        <v>PASS</v>
      </c>
      <c r="T58" s="6" t="s">
        <v>159</v>
      </c>
      <c r="U58" s="6"/>
      <c r="V58" s="6"/>
      <c r="W58" s="8" t="n">
        <f aca="false">MAX(IF(T58="",0,IFERROR(INDEX(09_GAP_Impact!$F$6:$F$27,MATCH(T58,09_GAP_Impact!$B$6:$B$27,0)),0)),IF(U58="",0,IFERROR(INDEX(09_GAP_Impact!$F$6:$F$27,MATCH(U58,09_GAP_Impact!$B$6:$B$27,0)),0)),IF(V58="",0,IFERROR(INDEX(09_GAP_Impact!$F$6:$F$27,MATCH(V58,09_GAP_Impact!$B$6:$B$27,0)),0)))</f>
        <v>1</v>
      </c>
    </row>
    <row r="59" customFormat="false" ht="34.5" hidden="false" customHeight="true" outlineLevel="0" collapsed="false">
      <c r="A59" s="6" t="s">
        <v>448</v>
      </c>
      <c r="B59" s="6" t="s">
        <v>449</v>
      </c>
      <c r="C59" s="6" t="s">
        <v>409</v>
      </c>
      <c r="D59" s="7" t="s">
        <v>82</v>
      </c>
      <c r="E59" s="6" t="s">
        <v>450</v>
      </c>
      <c r="F59" s="8" t="str">
        <f aca="false">IF(D59="N","N/A - excluded",IF(N59&gt;=3,"Implemented",IF(N59&gt;=1,"Partial","Not started")))</f>
        <v>Partial</v>
      </c>
      <c r="G59" s="6" t="s">
        <v>451</v>
      </c>
      <c r="H59" s="6" t="s">
        <v>106</v>
      </c>
      <c r="I59" s="6" t="s">
        <v>99</v>
      </c>
      <c r="J59" s="6" t="s">
        <v>184</v>
      </c>
      <c r="K59" s="6" t="s">
        <v>53</v>
      </c>
      <c r="L59" s="6" t="s">
        <v>108</v>
      </c>
      <c r="M59" s="6" t="s">
        <v>89</v>
      </c>
      <c r="N59" s="7" t="n">
        <v>2</v>
      </c>
      <c r="O59" s="6" t="s">
        <v>152</v>
      </c>
      <c r="P59" s="6" t="s">
        <v>53</v>
      </c>
      <c r="Q59" s="6" t="s">
        <v>53</v>
      </c>
      <c r="R59" s="8" t="n">
        <f aca="false">IF(D59="N","",IF(F59="Implemented",1,IF(F59="Partial",0.5,0)))</f>
        <v>0.5</v>
      </c>
      <c r="S59" s="8" t="str">
        <f aca="false">IF(D59="N","N/A",IF(T59="","No category",IF(N59&lt;=W59,"PASS","FAIL")))</f>
        <v>PASS</v>
      </c>
      <c r="T59" s="6" t="s">
        <v>184</v>
      </c>
      <c r="U59" s="6"/>
      <c r="V59" s="6"/>
      <c r="W59" s="8" t="n">
        <f aca="false">MAX(IF(T59="",0,IFERROR(INDEX(09_GAP_Impact!$F$6:$F$27,MATCH(T59,09_GAP_Impact!$B$6:$B$27,0)),0)),IF(U59="",0,IFERROR(INDEX(09_GAP_Impact!$F$6:$F$27,MATCH(U59,09_GAP_Impact!$B$6:$B$27,0)),0)),IF(V59="",0,IFERROR(INDEX(09_GAP_Impact!$F$6:$F$27,MATCH(V59,09_GAP_Impact!$B$6:$B$27,0)),0)))</f>
        <v>2</v>
      </c>
    </row>
    <row r="60" customFormat="false" ht="45.75" hidden="false" customHeight="true" outlineLevel="0" collapsed="false">
      <c r="A60" s="6" t="s">
        <v>452</v>
      </c>
      <c r="B60" s="6" t="s">
        <v>453</v>
      </c>
      <c r="C60" s="6" t="s">
        <v>409</v>
      </c>
      <c r="D60" s="7" t="s">
        <v>152</v>
      </c>
      <c r="E60" s="6" t="s">
        <v>454</v>
      </c>
      <c r="F60" s="8" t="str">
        <f aca="false">IF(D60="N","N/A - excluded",IF(N60&gt;=3,"Implemented",IF(N60&gt;=1,"Partial","Not started")))</f>
        <v>N/A - excluded</v>
      </c>
      <c r="G60" s="6" t="s">
        <v>455</v>
      </c>
      <c r="H60" s="6" t="s">
        <v>157</v>
      </c>
      <c r="I60" s="6" t="s">
        <v>53</v>
      </c>
      <c r="J60" s="6" t="s">
        <v>53</v>
      </c>
      <c r="K60" s="6" t="s">
        <v>53</v>
      </c>
      <c r="L60" s="6" t="s">
        <v>425</v>
      </c>
      <c r="M60" s="6" t="s">
        <v>426</v>
      </c>
      <c r="N60" s="7" t="n">
        <v>0</v>
      </c>
      <c r="O60" s="6" t="s">
        <v>152</v>
      </c>
      <c r="P60" s="6" t="s">
        <v>53</v>
      </c>
      <c r="Q60" s="6" t="s">
        <v>53</v>
      </c>
      <c r="R60" s="8" t="str">
        <f aca="false">IF(D60="N","",IF(F60="Implemented",1,IF(F60="Partial",0.5,0)))</f>
        <v/>
      </c>
      <c r="S60" s="8" t="str">
        <f aca="false">IF(D60="N","N/A",IF(T60="","No category",IF(N60&lt;=W60,"PASS","FAIL")))</f>
        <v>N/A</v>
      </c>
      <c r="T60" s="6"/>
      <c r="U60" s="6"/>
      <c r="V60" s="6"/>
      <c r="W60" s="8" t="n">
        <f aca="false">MAX(IF(T60="",0,IFERROR(INDEX(09_GAP_Impact!$F$6:$F$27,MATCH(T60,09_GAP_Impact!$B$6:$B$27,0)),0)),IF(U60="",0,IFERROR(INDEX(09_GAP_Impact!$F$6:$F$27,MATCH(U60,09_GAP_Impact!$B$6:$B$27,0)),0)),IF(V60="",0,IFERROR(INDEX(09_GAP_Impact!$F$6:$F$27,MATCH(V60,09_GAP_Impact!$B$6:$B$27,0)),0)))</f>
        <v>0</v>
      </c>
    </row>
    <row r="61" customFormat="false" ht="45.75" hidden="false" customHeight="true" outlineLevel="0" collapsed="false">
      <c r="A61" s="6" t="s">
        <v>456</v>
      </c>
      <c r="B61" s="6" t="s">
        <v>457</v>
      </c>
      <c r="C61" s="6" t="s">
        <v>409</v>
      </c>
      <c r="D61" s="7" t="s">
        <v>152</v>
      </c>
      <c r="E61" s="6" t="s">
        <v>458</v>
      </c>
      <c r="F61" s="8" t="str">
        <f aca="false">IF(D61="N","N/A - excluded",IF(N61&gt;=3,"Implemented",IF(N61&gt;=1,"Partial","Not started")))</f>
        <v>N/A - excluded</v>
      </c>
      <c r="G61" s="6" t="s">
        <v>434</v>
      </c>
      <c r="H61" s="6" t="s">
        <v>157</v>
      </c>
      <c r="I61" s="6" t="s">
        <v>53</v>
      </c>
      <c r="J61" s="6" t="s">
        <v>53</v>
      </c>
      <c r="K61" s="6" t="s">
        <v>53</v>
      </c>
      <c r="L61" s="6" t="s">
        <v>425</v>
      </c>
      <c r="M61" s="6" t="s">
        <v>426</v>
      </c>
      <c r="N61" s="7" t="n">
        <v>0</v>
      </c>
      <c r="O61" s="6" t="s">
        <v>152</v>
      </c>
      <c r="P61" s="6" t="s">
        <v>53</v>
      </c>
      <c r="Q61" s="6" t="s">
        <v>53</v>
      </c>
      <c r="R61" s="8" t="str">
        <f aca="false">IF(D61="N","",IF(F61="Implemented",1,IF(F61="Partial",0.5,0)))</f>
        <v/>
      </c>
      <c r="S61" s="8" t="str">
        <f aca="false">IF(D61="N","N/A",IF(T61="","No category",IF(N61&lt;=W61,"PASS","FAIL")))</f>
        <v>N/A</v>
      </c>
      <c r="T61" s="6"/>
      <c r="U61" s="6"/>
      <c r="V61" s="6"/>
      <c r="W61" s="8" t="n">
        <f aca="false">MAX(IF(T61="",0,IFERROR(INDEX(09_GAP_Impact!$F$6:$F$27,MATCH(T61,09_GAP_Impact!$B$6:$B$27,0)),0)),IF(U61="",0,IFERROR(INDEX(09_GAP_Impact!$F$6:$F$27,MATCH(U61,09_GAP_Impact!$B$6:$B$27,0)),0)),IF(V61="",0,IFERROR(INDEX(09_GAP_Impact!$F$6:$F$27,MATCH(V61,09_GAP_Impact!$B$6:$B$27,0)),0)))</f>
        <v>0</v>
      </c>
    </row>
    <row r="62" customFormat="false" ht="34.5" hidden="false" customHeight="true" outlineLevel="0" collapsed="false">
      <c r="A62" s="6" t="s">
        <v>459</v>
      </c>
      <c r="B62" s="6" t="s">
        <v>460</v>
      </c>
      <c r="C62" s="6" t="s">
        <v>409</v>
      </c>
      <c r="D62" s="7" t="s">
        <v>82</v>
      </c>
      <c r="E62" s="6" t="s">
        <v>461</v>
      </c>
      <c r="F62" s="8" t="str">
        <f aca="false">IF(D62="N","N/A - excluded",IF(N62&gt;=3,"Implemented",IF(N62&gt;=1,"Partial","Not started")))</f>
        <v>Not started</v>
      </c>
      <c r="G62" s="6" t="s">
        <v>462</v>
      </c>
      <c r="H62" s="6" t="s">
        <v>157</v>
      </c>
      <c r="I62" s="6" t="s">
        <v>53</v>
      </c>
      <c r="J62" s="6" t="s">
        <v>53</v>
      </c>
      <c r="K62" s="6" t="s">
        <v>53</v>
      </c>
      <c r="L62" s="6" t="s">
        <v>134</v>
      </c>
      <c r="M62" s="6" t="s">
        <v>412</v>
      </c>
      <c r="N62" s="7" t="n">
        <v>0</v>
      </c>
      <c r="O62" s="6" t="s">
        <v>152</v>
      </c>
      <c r="P62" s="6" t="s">
        <v>53</v>
      </c>
      <c r="Q62" s="6" t="s">
        <v>328</v>
      </c>
      <c r="R62" s="8" t="n">
        <f aca="false">IF(D62="N","",IF(F62="Implemented",1,IF(F62="Partial",0.5,0)))</f>
        <v>0</v>
      </c>
      <c r="S62" s="8" t="str">
        <f aca="false">IF(D62="N","N/A",IF(T62="","No category",IF(N62&lt;=W62,"PASS","FAIL")))</f>
        <v>No category</v>
      </c>
      <c r="T62" s="6"/>
      <c r="U62" s="6"/>
      <c r="V62" s="6"/>
      <c r="W62" s="8" t="n">
        <f aca="false">MAX(IF(T62="",0,IFERROR(INDEX(09_GAP_Impact!$F$6:$F$27,MATCH(T62,09_GAP_Impact!$B$6:$B$27,0)),0)),IF(U62="",0,IFERROR(INDEX(09_GAP_Impact!$F$6:$F$27,MATCH(U62,09_GAP_Impact!$B$6:$B$27,0)),0)),IF(V62="",0,IFERROR(INDEX(09_GAP_Impact!$F$6:$F$27,MATCH(V62,09_GAP_Impact!$B$6:$B$27,0)),0)))</f>
        <v>0</v>
      </c>
    </row>
    <row r="63" customFormat="false" ht="23.25" hidden="false" customHeight="true" outlineLevel="0" collapsed="false">
      <c r="A63" s="6" t="s">
        <v>463</v>
      </c>
      <c r="B63" s="6" t="s">
        <v>464</v>
      </c>
      <c r="C63" s="6" t="s">
        <v>409</v>
      </c>
      <c r="D63" s="7" t="s">
        <v>82</v>
      </c>
      <c r="E63" s="6" t="s">
        <v>465</v>
      </c>
      <c r="F63" s="8" t="str">
        <f aca="false">IF(D63="N","N/A - excluded",IF(N63&gt;=3,"Implemented",IF(N63&gt;=1,"Partial","Not started")))</f>
        <v>Not started</v>
      </c>
      <c r="G63" s="6" t="s">
        <v>466</v>
      </c>
      <c r="H63" s="6" t="s">
        <v>157</v>
      </c>
      <c r="I63" s="6" t="s">
        <v>53</v>
      </c>
      <c r="J63" s="6" t="s">
        <v>159</v>
      </c>
      <c r="K63" s="6" t="s">
        <v>53</v>
      </c>
      <c r="L63" s="6" t="s">
        <v>108</v>
      </c>
      <c r="M63" s="6" t="s">
        <v>467</v>
      </c>
      <c r="N63" s="7" t="n">
        <v>0</v>
      </c>
      <c r="O63" s="6" t="s">
        <v>152</v>
      </c>
      <c r="P63" s="6" t="s">
        <v>53</v>
      </c>
      <c r="Q63" s="6" t="s">
        <v>161</v>
      </c>
      <c r="R63" s="8" t="n">
        <f aca="false">IF(D63="N","",IF(F63="Implemented",1,IF(F63="Partial",0.5,0)))</f>
        <v>0</v>
      </c>
      <c r="S63" s="8" t="str">
        <f aca="false">IF(D63="N","N/A",IF(T63="","No category",IF(N63&lt;=W63,"PASS","FAIL")))</f>
        <v>PASS</v>
      </c>
      <c r="T63" s="6" t="s">
        <v>159</v>
      </c>
      <c r="U63" s="6"/>
      <c r="V63" s="6"/>
      <c r="W63" s="8" t="n">
        <f aca="false">MAX(IF(T63="",0,IFERROR(INDEX(09_GAP_Impact!$F$6:$F$27,MATCH(T63,09_GAP_Impact!$B$6:$B$27,0)),0)),IF(U63="",0,IFERROR(INDEX(09_GAP_Impact!$F$6:$F$27,MATCH(U63,09_GAP_Impact!$B$6:$B$27,0)),0)),IF(V63="",0,IFERROR(INDEX(09_GAP_Impact!$F$6:$F$27,MATCH(V63,09_GAP_Impact!$B$6:$B$27,0)),0)))</f>
        <v>1</v>
      </c>
    </row>
    <row r="64" customFormat="false" ht="23.25" hidden="false" customHeight="true" outlineLevel="0" collapsed="false">
      <c r="A64" s="6" t="s">
        <v>468</v>
      </c>
      <c r="B64" s="6" t="s">
        <v>469</v>
      </c>
      <c r="C64" s="6" t="s">
        <v>470</v>
      </c>
      <c r="D64" s="7" t="s">
        <v>82</v>
      </c>
      <c r="E64" s="6" t="s">
        <v>471</v>
      </c>
      <c r="F64" s="8" t="str">
        <f aca="false">IF(D64="N","N/A - excluded",IF(N64&gt;=3,"Implemented",IF(N64&gt;=1,"Partial","Not started")))</f>
        <v>Partial</v>
      </c>
      <c r="G64" s="6" t="s">
        <v>472</v>
      </c>
      <c r="H64" s="6" t="s">
        <v>157</v>
      </c>
      <c r="I64" s="6" t="s">
        <v>473</v>
      </c>
      <c r="J64" s="6" t="s">
        <v>159</v>
      </c>
      <c r="K64" s="6" t="s">
        <v>53</v>
      </c>
      <c r="L64" s="6" t="s">
        <v>108</v>
      </c>
      <c r="M64" s="6" t="s">
        <v>89</v>
      </c>
      <c r="N64" s="7" t="n">
        <v>1</v>
      </c>
      <c r="O64" s="6" t="s">
        <v>82</v>
      </c>
      <c r="P64" s="6" t="s">
        <v>159</v>
      </c>
      <c r="Q64" s="6" t="s">
        <v>161</v>
      </c>
      <c r="R64" s="8" t="n">
        <f aca="false">IF(D64="N","",IF(F64="Implemented",1,IF(F64="Partial",0.5,0)))</f>
        <v>0.5</v>
      </c>
      <c r="S64" s="8" t="str">
        <f aca="false">IF(D64="N","N/A",IF(T64="","No category",IF(N64&lt;=W64,"PASS","FAIL")))</f>
        <v>PASS</v>
      </c>
      <c r="T64" s="6" t="s">
        <v>159</v>
      </c>
      <c r="U64" s="6"/>
      <c r="V64" s="6"/>
      <c r="W64" s="8" t="n">
        <f aca="false">MAX(IF(T64="",0,IFERROR(INDEX(09_GAP_Impact!$F$6:$F$27,MATCH(T64,09_GAP_Impact!$B$6:$B$27,0)),0)),IF(U64="",0,IFERROR(INDEX(09_GAP_Impact!$F$6:$F$27,MATCH(U64,09_GAP_Impact!$B$6:$B$27,0)),0)),IF(V64="",0,IFERROR(INDEX(09_GAP_Impact!$F$6:$F$27,MATCH(V64,09_GAP_Impact!$B$6:$B$27,0)),0)))</f>
        <v>1</v>
      </c>
    </row>
    <row r="65" customFormat="false" ht="34.5" hidden="false" customHeight="true" outlineLevel="0" collapsed="false">
      <c r="A65" s="6" t="s">
        <v>474</v>
      </c>
      <c r="B65" s="6" t="s">
        <v>475</v>
      </c>
      <c r="C65" s="6" t="s">
        <v>470</v>
      </c>
      <c r="D65" s="7" t="s">
        <v>82</v>
      </c>
      <c r="E65" s="6" t="s">
        <v>476</v>
      </c>
      <c r="F65" s="8" t="str">
        <f aca="false">IF(D65="N","N/A - excluded",IF(N65&gt;=3,"Implemented",IF(N65&gt;=1,"Partial","Not started")))</f>
        <v>Partial</v>
      </c>
      <c r="G65" s="6" t="s">
        <v>477</v>
      </c>
      <c r="H65" s="6" t="s">
        <v>157</v>
      </c>
      <c r="I65" s="6" t="s">
        <v>478</v>
      </c>
      <c r="J65" s="6" t="s">
        <v>175</v>
      </c>
      <c r="K65" s="6" t="s">
        <v>479</v>
      </c>
      <c r="L65" s="6" t="s">
        <v>115</v>
      </c>
      <c r="M65" s="6" t="s">
        <v>126</v>
      </c>
      <c r="N65" s="7" t="n">
        <v>2</v>
      </c>
      <c r="O65" s="6" t="s">
        <v>82</v>
      </c>
      <c r="P65" s="6" t="s">
        <v>175</v>
      </c>
      <c r="Q65" s="6" t="s">
        <v>222</v>
      </c>
      <c r="R65" s="8" t="n">
        <f aca="false">IF(D65="N","",IF(F65="Implemented",1,IF(F65="Partial",0.5,0)))</f>
        <v>0.5</v>
      </c>
      <c r="S65" s="8" t="str">
        <f aca="false">IF(D65="N","N/A",IF(T65="","No category",IF(N65&lt;=W65,"PASS","FAIL")))</f>
        <v>PASS</v>
      </c>
      <c r="T65" s="6" t="s">
        <v>175</v>
      </c>
      <c r="U65" s="6"/>
      <c r="V65" s="6"/>
      <c r="W65" s="8" t="n">
        <f aca="false">MAX(IF(T65="",0,IFERROR(INDEX(09_GAP_Impact!$F$6:$F$27,MATCH(T65,09_GAP_Impact!$B$6:$B$27,0)),0)),IF(U65="",0,IFERROR(INDEX(09_GAP_Impact!$F$6:$F$27,MATCH(U65,09_GAP_Impact!$B$6:$B$27,0)),0)),IF(V65="",0,IFERROR(INDEX(09_GAP_Impact!$F$6:$F$27,MATCH(V65,09_GAP_Impact!$B$6:$B$27,0)),0)))</f>
        <v>2</v>
      </c>
    </row>
    <row r="66" customFormat="false" ht="45.75" hidden="false" customHeight="true" outlineLevel="0" collapsed="false">
      <c r="A66" s="6" t="s">
        <v>480</v>
      </c>
      <c r="B66" s="6" t="s">
        <v>481</v>
      </c>
      <c r="C66" s="6" t="s">
        <v>470</v>
      </c>
      <c r="D66" s="7" t="s">
        <v>82</v>
      </c>
      <c r="E66" s="6" t="s">
        <v>482</v>
      </c>
      <c r="F66" s="8" t="str">
        <f aca="false">IF(D66="N","N/A - excluded",IF(N66&gt;=3,"Implemented",IF(N66&gt;=1,"Partial","Not started")))</f>
        <v>Not started</v>
      </c>
      <c r="G66" s="6" t="s">
        <v>483</v>
      </c>
      <c r="H66" s="6" t="s">
        <v>106</v>
      </c>
      <c r="I66" s="6" t="s">
        <v>484</v>
      </c>
      <c r="J66" s="6" t="s">
        <v>485</v>
      </c>
      <c r="K66" s="6" t="s">
        <v>53</v>
      </c>
      <c r="L66" s="6" t="s">
        <v>108</v>
      </c>
      <c r="M66" s="6" t="s">
        <v>89</v>
      </c>
      <c r="N66" s="7" t="n">
        <v>0</v>
      </c>
      <c r="O66" s="6" t="s">
        <v>152</v>
      </c>
      <c r="P66" s="6" t="s">
        <v>53</v>
      </c>
      <c r="Q66" s="6" t="s">
        <v>486</v>
      </c>
      <c r="R66" s="8" t="n">
        <f aca="false">IF(D66="N","",IF(F66="Implemented",1,IF(F66="Partial",0.5,0)))</f>
        <v>0</v>
      </c>
      <c r="S66" s="8" t="str">
        <f aca="false">IF(D66="N","N/A",IF(T66="","No category",IF(N66&lt;=W66,"PASS","FAIL")))</f>
        <v>PASS</v>
      </c>
      <c r="T66" s="6" t="s">
        <v>145</v>
      </c>
      <c r="U66" s="6" t="s">
        <v>175</v>
      </c>
      <c r="V66" s="6"/>
      <c r="W66" s="8" t="n">
        <f aca="false">MAX(IF(T66="",0,IFERROR(INDEX(09_GAP_Impact!$F$6:$F$27,MATCH(T66,09_GAP_Impact!$B$6:$B$27,0)),0)),IF(U66="",0,IFERROR(INDEX(09_GAP_Impact!$F$6:$F$27,MATCH(U66,09_GAP_Impact!$B$6:$B$27,0)),0)),IF(V66="",0,IFERROR(INDEX(09_GAP_Impact!$F$6:$F$27,MATCH(V66,09_GAP_Impact!$B$6:$B$27,0)),0)))</f>
        <v>2</v>
      </c>
    </row>
    <row r="67" customFormat="false" ht="34.5" hidden="false" customHeight="true" outlineLevel="0" collapsed="false">
      <c r="A67" s="6" t="s">
        <v>487</v>
      </c>
      <c r="B67" s="6" t="s">
        <v>488</v>
      </c>
      <c r="C67" s="6" t="s">
        <v>470</v>
      </c>
      <c r="D67" s="7" t="s">
        <v>82</v>
      </c>
      <c r="E67" s="6" t="s">
        <v>489</v>
      </c>
      <c r="F67" s="8" t="str">
        <f aca="false">IF(D67="N","N/A - excluded",IF(N67&gt;=3,"Implemented",IF(N67&gt;=1,"Partial","Not started")))</f>
        <v>Not started</v>
      </c>
      <c r="G67" s="6" t="s">
        <v>490</v>
      </c>
      <c r="H67" s="6" t="s">
        <v>106</v>
      </c>
      <c r="I67" s="6" t="s">
        <v>484</v>
      </c>
      <c r="J67" s="6" t="s">
        <v>145</v>
      </c>
      <c r="K67" s="6" t="s">
        <v>491</v>
      </c>
      <c r="L67" s="6" t="s">
        <v>108</v>
      </c>
      <c r="M67" s="6" t="s">
        <v>126</v>
      </c>
      <c r="N67" s="7" t="n">
        <v>0</v>
      </c>
      <c r="O67" s="6" t="s">
        <v>152</v>
      </c>
      <c r="P67" s="6" t="s">
        <v>53</v>
      </c>
      <c r="Q67" s="6" t="s">
        <v>109</v>
      </c>
      <c r="R67" s="8" t="n">
        <f aca="false">IF(D67="N","",IF(F67="Implemented",1,IF(F67="Partial",0.5,0)))</f>
        <v>0</v>
      </c>
      <c r="S67" s="8" t="str">
        <f aca="false">IF(D67="N","N/A",IF(T67="","No category",IF(N67&lt;=W67,"PASS","FAIL")))</f>
        <v>PASS</v>
      </c>
      <c r="T67" s="6" t="s">
        <v>145</v>
      </c>
      <c r="U67" s="6"/>
      <c r="V67" s="6"/>
      <c r="W67" s="8" t="n">
        <f aca="false">MAX(IF(T67="",0,IFERROR(INDEX(09_GAP_Impact!$F$6:$F$27,MATCH(T67,09_GAP_Impact!$B$6:$B$27,0)),0)),IF(U67="",0,IFERROR(INDEX(09_GAP_Impact!$F$6:$F$27,MATCH(U67,09_GAP_Impact!$B$6:$B$27,0)),0)),IF(V67="",0,IFERROR(INDEX(09_GAP_Impact!$F$6:$F$27,MATCH(V67,09_GAP_Impact!$B$6:$B$27,0)),0)))</f>
        <v>0</v>
      </c>
    </row>
    <row r="68" customFormat="false" ht="23.25" hidden="false" customHeight="true" outlineLevel="0" collapsed="false">
      <c r="A68" s="6" t="s">
        <v>492</v>
      </c>
      <c r="B68" s="6" t="s">
        <v>493</v>
      </c>
      <c r="C68" s="6" t="s">
        <v>470</v>
      </c>
      <c r="D68" s="7" t="s">
        <v>82</v>
      </c>
      <c r="E68" s="6" t="s">
        <v>494</v>
      </c>
      <c r="F68" s="8" t="str">
        <f aca="false">IF(D68="N","N/A - excluded",IF(N68&gt;=3,"Implemented",IF(N68&gt;=1,"Partial","Not started")))</f>
        <v>Partial</v>
      </c>
      <c r="G68" s="6" t="s">
        <v>495</v>
      </c>
      <c r="H68" s="6" t="s">
        <v>157</v>
      </c>
      <c r="I68" s="6" t="s">
        <v>213</v>
      </c>
      <c r="J68" s="6" t="s">
        <v>175</v>
      </c>
      <c r="K68" s="6" t="s">
        <v>496</v>
      </c>
      <c r="L68" s="6" t="s">
        <v>115</v>
      </c>
      <c r="M68" s="6" t="s">
        <v>126</v>
      </c>
      <c r="N68" s="7" t="n">
        <v>2</v>
      </c>
      <c r="O68" s="6" t="s">
        <v>82</v>
      </c>
      <c r="P68" s="6" t="s">
        <v>175</v>
      </c>
      <c r="Q68" s="6" t="s">
        <v>215</v>
      </c>
      <c r="R68" s="8" t="n">
        <f aca="false">IF(D68="N","",IF(F68="Implemented",1,IF(F68="Partial",0.5,0)))</f>
        <v>0.5</v>
      </c>
      <c r="S68" s="8" t="str">
        <f aca="false">IF(D68="N","N/A",IF(T68="","No category",IF(N68&lt;=W68,"PASS","FAIL")))</f>
        <v>PASS</v>
      </c>
      <c r="T68" s="6" t="s">
        <v>175</v>
      </c>
      <c r="U68" s="6"/>
      <c r="V68" s="6"/>
      <c r="W68" s="8" t="n">
        <f aca="false">MAX(IF(T68="",0,IFERROR(INDEX(09_GAP_Impact!$F$6:$F$27,MATCH(T68,09_GAP_Impact!$B$6:$B$27,0)),0)),IF(U68="",0,IFERROR(INDEX(09_GAP_Impact!$F$6:$F$27,MATCH(U68,09_GAP_Impact!$B$6:$B$27,0)),0)),IF(V68="",0,IFERROR(INDEX(09_GAP_Impact!$F$6:$F$27,MATCH(V68,09_GAP_Impact!$B$6:$B$27,0)),0)))</f>
        <v>2</v>
      </c>
    </row>
    <row r="69" customFormat="false" ht="45.75" hidden="false" customHeight="true" outlineLevel="0" collapsed="false">
      <c r="A69" s="6" t="s">
        <v>497</v>
      </c>
      <c r="B69" s="6" t="s">
        <v>498</v>
      </c>
      <c r="C69" s="6" t="s">
        <v>470</v>
      </c>
      <c r="D69" s="7" t="s">
        <v>82</v>
      </c>
      <c r="E69" s="6" t="s">
        <v>499</v>
      </c>
      <c r="F69" s="8" t="str">
        <f aca="false">IF(D69="N","N/A - excluded",IF(N69&gt;=3,"Implemented",IF(N69&gt;=1,"Partial","Not started")))</f>
        <v>Not started</v>
      </c>
      <c r="G69" s="6" t="s">
        <v>500</v>
      </c>
      <c r="H69" s="6" t="s">
        <v>106</v>
      </c>
      <c r="I69" s="6" t="s">
        <v>53</v>
      </c>
      <c r="J69" s="6" t="s">
        <v>53</v>
      </c>
      <c r="K69" s="6" t="s">
        <v>53</v>
      </c>
      <c r="L69" s="6" t="s">
        <v>134</v>
      </c>
      <c r="M69" s="6" t="s">
        <v>412</v>
      </c>
      <c r="N69" s="7" t="n">
        <v>0</v>
      </c>
      <c r="O69" s="6" t="s">
        <v>152</v>
      </c>
      <c r="P69" s="6" t="s">
        <v>53</v>
      </c>
      <c r="Q69" s="6" t="s">
        <v>328</v>
      </c>
      <c r="R69" s="8" t="n">
        <f aca="false">IF(D69="N","",IF(F69="Implemented",1,IF(F69="Partial",0.5,0)))</f>
        <v>0</v>
      </c>
      <c r="S69" s="8" t="str">
        <f aca="false">IF(D69="N","N/A",IF(T69="","No category",IF(N69&lt;=W69,"PASS","FAIL")))</f>
        <v>No category</v>
      </c>
      <c r="T69" s="6"/>
      <c r="U69" s="6"/>
      <c r="V69" s="6"/>
      <c r="W69" s="8" t="n">
        <f aca="false">MAX(IF(T69="",0,IFERROR(INDEX(09_GAP_Impact!$F$6:$F$27,MATCH(T69,09_GAP_Impact!$B$6:$B$27,0)),0)),IF(U69="",0,IFERROR(INDEX(09_GAP_Impact!$F$6:$F$27,MATCH(U69,09_GAP_Impact!$B$6:$B$27,0)),0)),IF(V69="",0,IFERROR(INDEX(09_GAP_Impact!$F$6:$F$27,MATCH(V69,09_GAP_Impact!$B$6:$B$27,0)),0)))</f>
        <v>0</v>
      </c>
    </row>
    <row r="70" customFormat="false" ht="23.25" hidden="false" customHeight="true" outlineLevel="0" collapsed="false">
      <c r="A70" s="6" t="s">
        <v>501</v>
      </c>
      <c r="B70" s="6" t="s">
        <v>502</v>
      </c>
      <c r="C70" s="6" t="s">
        <v>470</v>
      </c>
      <c r="D70" s="7" t="s">
        <v>82</v>
      </c>
      <c r="E70" s="6" t="s">
        <v>503</v>
      </c>
      <c r="F70" s="8" t="str">
        <f aca="false">IF(D70="N","N/A - excluded",IF(N70&gt;=3,"Implemented",IF(N70&gt;=1,"Partial","Not started")))</f>
        <v>Not started</v>
      </c>
      <c r="G70" s="6" t="s">
        <v>504</v>
      </c>
      <c r="H70" s="6" t="s">
        <v>157</v>
      </c>
      <c r="I70" s="6" t="s">
        <v>505</v>
      </c>
      <c r="J70" s="6" t="s">
        <v>285</v>
      </c>
      <c r="K70" s="6" t="s">
        <v>53</v>
      </c>
      <c r="L70" s="6" t="s">
        <v>108</v>
      </c>
      <c r="M70" s="6" t="s">
        <v>89</v>
      </c>
      <c r="N70" s="7" t="n">
        <v>0</v>
      </c>
      <c r="O70" s="6" t="s">
        <v>82</v>
      </c>
      <c r="P70" s="6" t="s">
        <v>285</v>
      </c>
      <c r="Q70" s="6" t="s">
        <v>328</v>
      </c>
      <c r="R70" s="8" t="n">
        <f aca="false">IF(D70="N","",IF(F70="Implemented",1,IF(F70="Partial",0.5,0)))</f>
        <v>0</v>
      </c>
      <c r="S70" s="8" t="str">
        <f aca="false">IF(D70="N","N/A",IF(T70="","No category",IF(N70&lt;=W70,"PASS","FAIL")))</f>
        <v>PASS</v>
      </c>
      <c r="T70" s="6" t="s">
        <v>285</v>
      </c>
      <c r="U70" s="6"/>
      <c r="V70" s="6"/>
      <c r="W70" s="8" t="n">
        <f aca="false">MAX(IF(T70="",0,IFERROR(INDEX(09_GAP_Impact!$F$6:$F$27,MATCH(T70,09_GAP_Impact!$B$6:$B$27,0)),0)),IF(U70="",0,IFERROR(INDEX(09_GAP_Impact!$F$6:$F$27,MATCH(U70,09_GAP_Impact!$B$6:$B$27,0)),0)),IF(V70="",0,IFERROR(INDEX(09_GAP_Impact!$F$6:$F$27,MATCH(V70,09_GAP_Impact!$B$6:$B$27,0)),0)))</f>
        <v>1</v>
      </c>
    </row>
    <row r="71" customFormat="false" ht="34.5" hidden="false" customHeight="true" outlineLevel="0" collapsed="false">
      <c r="A71" s="6" t="s">
        <v>506</v>
      </c>
      <c r="B71" s="6" t="s">
        <v>507</v>
      </c>
      <c r="C71" s="6" t="s">
        <v>470</v>
      </c>
      <c r="D71" s="7" t="s">
        <v>82</v>
      </c>
      <c r="E71" s="6" t="s">
        <v>508</v>
      </c>
      <c r="F71" s="8" t="str">
        <f aca="false">IF(D71="N","N/A - excluded",IF(N71&gt;=3,"Implemented",IF(N71&gt;=1,"Partial","Not started")))</f>
        <v>Not started</v>
      </c>
      <c r="G71" s="6" t="s">
        <v>509</v>
      </c>
      <c r="H71" s="6" t="s">
        <v>106</v>
      </c>
      <c r="I71" s="6" t="s">
        <v>510</v>
      </c>
      <c r="J71" s="6" t="s">
        <v>511</v>
      </c>
      <c r="K71" s="6" t="s">
        <v>512</v>
      </c>
      <c r="L71" s="6" t="s">
        <v>108</v>
      </c>
      <c r="M71" s="6" t="s">
        <v>126</v>
      </c>
      <c r="N71" s="7" t="n">
        <v>0</v>
      </c>
      <c r="O71" s="6" t="s">
        <v>82</v>
      </c>
      <c r="P71" s="6" t="s">
        <v>142</v>
      </c>
      <c r="Q71" s="6" t="s">
        <v>144</v>
      </c>
      <c r="R71" s="8" t="n">
        <f aca="false">IF(D71="N","",IF(F71="Implemented",1,IF(F71="Partial",0.5,0)))</f>
        <v>0</v>
      </c>
      <c r="S71" s="8" t="str">
        <f aca="false">IF(D71="N","N/A",IF(T71="","No category",IF(N71&lt;=W71,"PASS","FAIL")))</f>
        <v>PASS</v>
      </c>
      <c r="T71" s="6" t="s">
        <v>145</v>
      </c>
      <c r="U71" s="6" t="s">
        <v>143</v>
      </c>
      <c r="V71" s="6"/>
      <c r="W71" s="8" t="n">
        <f aca="false">MAX(IF(T71="",0,IFERROR(INDEX(09_GAP_Impact!$F$6:$F$27,MATCH(T71,09_GAP_Impact!$B$6:$B$27,0)),0)),IF(U71="",0,IFERROR(INDEX(09_GAP_Impact!$F$6:$F$27,MATCH(U71,09_GAP_Impact!$B$6:$B$27,0)),0)),IF(V71="",0,IFERROR(INDEX(09_GAP_Impact!$F$6:$F$27,MATCH(V71,09_GAP_Impact!$B$6:$B$27,0)),0)))</f>
        <v>3</v>
      </c>
    </row>
    <row r="72" customFormat="false" ht="23.25" hidden="false" customHeight="true" outlineLevel="0" collapsed="false">
      <c r="A72" s="6" t="s">
        <v>513</v>
      </c>
      <c r="B72" s="6" t="s">
        <v>514</v>
      </c>
      <c r="C72" s="6" t="s">
        <v>470</v>
      </c>
      <c r="D72" s="7" t="s">
        <v>82</v>
      </c>
      <c r="E72" s="6" t="s">
        <v>515</v>
      </c>
      <c r="F72" s="8" t="str">
        <f aca="false">IF(D72="N","N/A - excluded",IF(N72&gt;=3,"Implemented",IF(N72&gt;=1,"Partial","Not started")))</f>
        <v>Not started</v>
      </c>
      <c r="G72" s="6" t="s">
        <v>516</v>
      </c>
      <c r="H72" s="6" t="s">
        <v>157</v>
      </c>
      <c r="I72" s="6" t="s">
        <v>517</v>
      </c>
      <c r="J72" s="6" t="s">
        <v>518</v>
      </c>
      <c r="K72" s="6" t="s">
        <v>519</v>
      </c>
      <c r="L72" s="6" t="s">
        <v>134</v>
      </c>
      <c r="M72" s="6" t="s">
        <v>126</v>
      </c>
      <c r="N72" s="7" t="n">
        <v>0</v>
      </c>
      <c r="O72" s="6" t="s">
        <v>82</v>
      </c>
      <c r="P72" s="6" t="s">
        <v>518</v>
      </c>
      <c r="Q72" s="6" t="s">
        <v>520</v>
      </c>
      <c r="R72" s="8" t="n">
        <f aca="false">IF(D72="N","",IF(F72="Implemented",1,IF(F72="Partial",0.5,0)))</f>
        <v>0</v>
      </c>
      <c r="S72" s="8" t="str">
        <f aca="false">IF(D72="N","N/A",IF(T72="","No category",IF(N72&lt;=W72,"PASS","FAIL")))</f>
        <v>PASS</v>
      </c>
      <c r="T72" s="6" t="s">
        <v>145</v>
      </c>
      <c r="U72" s="6" t="s">
        <v>262</v>
      </c>
      <c r="V72" s="6"/>
      <c r="W72" s="8" t="n">
        <f aca="false">MAX(IF(T72="",0,IFERROR(INDEX(09_GAP_Impact!$F$6:$F$27,MATCH(T72,09_GAP_Impact!$B$6:$B$27,0)),0)),IF(U72="",0,IFERROR(INDEX(09_GAP_Impact!$F$6:$F$27,MATCH(U72,09_GAP_Impact!$B$6:$B$27,0)),0)),IF(V72="",0,IFERROR(INDEX(09_GAP_Impact!$F$6:$F$27,MATCH(V72,09_GAP_Impact!$B$6:$B$27,0)),0)))</f>
        <v>0</v>
      </c>
    </row>
    <row r="73" customFormat="false" ht="34.5" hidden="false" customHeight="true" outlineLevel="0" collapsed="false">
      <c r="A73" s="6" t="s">
        <v>521</v>
      </c>
      <c r="B73" s="6" t="s">
        <v>522</v>
      </c>
      <c r="C73" s="6" t="s">
        <v>470</v>
      </c>
      <c r="D73" s="7" t="s">
        <v>82</v>
      </c>
      <c r="E73" s="6" t="s">
        <v>523</v>
      </c>
      <c r="F73" s="8" t="str">
        <f aca="false">IF(D73="N","N/A - excluded",IF(N73&gt;=3,"Implemented",IF(N73&gt;=1,"Partial","Not started")))</f>
        <v>Partial</v>
      </c>
      <c r="G73" s="6" t="s">
        <v>524</v>
      </c>
      <c r="H73" s="6" t="s">
        <v>106</v>
      </c>
      <c r="I73" s="6" t="s">
        <v>525</v>
      </c>
      <c r="J73" s="6" t="s">
        <v>184</v>
      </c>
      <c r="K73" s="6" t="s">
        <v>526</v>
      </c>
      <c r="L73" s="6" t="s">
        <v>108</v>
      </c>
      <c r="M73" s="6" t="s">
        <v>126</v>
      </c>
      <c r="N73" s="7" t="n">
        <v>1</v>
      </c>
      <c r="O73" s="6" t="s">
        <v>82</v>
      </c>
      <c r="P73" s="6" t="s">
        <v>184</v>
      </c>
      <c r="Q73" s="6" t="s">
        <v>527</v>
      </c>
      <c r="R73" s="8" t="n">
        <f aca="false">IF(D73="N","",IF(F73="Implemented",1,IF(F73="Partial",0.5,0)))</f>
        <v>0.5</v>
      </c>
      <c r="S73" s="8" t="str">
        <f aca="false">IF(D73="N","N/A",IF(T73="","No category",IF(N73&lt;=W73,"PASS","FAIL")))</f>
        <v>PASS</v>
      </c>
      <c r="T73" s="6" t="s">
        <v>184</v>
      </c>
      <c r="U73" s="6"/>
      <c r="V73" s="6"/>
      <c r="W73" s="8" t="n">
        <f aca="false">MAX(IF(T73="",0,IFERROR(INDEX(09_GAP_Impact!$F$6:$F$27,MATCH(T73,09_GAP_Impact!$B$6:$B$27,0)),0)),IF(U73="",0,IFERROR(INDEX(09_GAP_Impact!$F$6:$F$27,MATCH(U73,09_GAP_Impact!$B$6:$B$27,0)),0)),IF(V73="",0,IFERROR(INDEX(09_GAP_Impact!$F$6:$F$27,MATCH(V73,09_GAP_Impact!$B$6:$B$27,0)),0)))</f>
        <v>2</v>
      </c>
    </row>
    <row r="74" customFormat="false" ht="23.25" hidden="false" customHeight="true" outlineLevel="0" collapsed="false">
      <c r="A74" s="6" t="s">
        <v>528</v>
      </c>
      <c r="B74" s="6" t="s">
        <v>529</v>
      </c>
      <c r="C74" s="6" t="s">
        <v>470</v>
      </c>
      <c r="D74" s="7" t="s">
        <v>82</v>
      </c>
      <c r="E74" s="6" t="s">
        <v>530</v>
      </c>
      <c r="F74" s="8" t="str">
        <f aca="false">IF(D74="N","N/A - excluded",IF(N74&gt;=3,"Implemented",IF(N74&gt;=1,"Partial","Not started")))</f>
        <v>Not started</v>
      </c>
      <c r="G74" s="6" t="s">
        <v>531</v>
      </c>
      <c r="H74" s="6" t="s">
        <v>106</v>
      </c>
      <c r="I74" s="6" t="s">
        <v>333</v>
      </c>
      <c r="J74" s="6" t="s">
        <v>184</v>
      </c>
      <c r="K74" s="6" t="s">
        <v>532</v>
      </c>
      <c r="L74" s="6" t="s">
        <v>134</v>
      </c>
      <c r="M74" s="6" t="s">
        <v>126</v>
      </c>
      <c r="N74" s="7" t="n">
        <v>0</v>
      </c>
      <c r="O74" s="6" t="s">
        <v>82</v>
      </c>
      <c r="P74" s="6" t="s">
        <v>184</v>
      </c>
      <c r="Q74" s="6" t="s">
        <v>328</v>
      </c>
      <c r="R74" s="8" t="n">
        <f aca="false">IF(D74="N","",IF(F74="Implemented",1,IF(F74="Partial",0.5,0)))</f>
        <v>0</v>
      </c>
      <c r="S74" s="8" t="str">
        <f aca="false">IF(D74="N","N/A",IF(T74="","No category",IF(N74&lt;=W74,"PASS","FAIL")))</f>
        <v>PASS</v>
      </c>
      <c r="T74" s="6" t="s">
        <v>184</v>
      </c>
      <c r="U74" s="6"/>
      <c r="V74" s="6"/>
      <c r="W74" s="8" t="n">
        <f aca="false">MAX(IF(T74="",0,IFERROR(INDEX(09_GAP_Impact!$F$6:$F$27,MATCH(T74,09_GAP_Impact!$B$6:$B$27,0)),0)),IF(U74="",0,IFERROR(INDEX(09_GAP_Impact!$F$6:$F$27,MATCH(U74,09_GAP_Impact!$B$6:$B$27,0)),0)),IF(V74="",0,IFERROR(INDEX(09_GAP_Impact!$F$6:$F$27,MATCH(V74,09_GAP_Impact!$B$6:$B$27,0)),0)))</f>
        <v>2</v>
      </c>
    </row>
    <row r="75" customFormat="false" ht="23.25" hidden="false" customHeight="true" outlineLevel="0" collapsed="false">
      <c r="A75" s="6" t="s">
        <v>533</v>
      </c>
      <c r="B75" s="6" t="s">
        <v>534</v>
      </c>
      <c r="C75" s="6" t="s">
        <v>470</v>
      </c>
      <c r="D75" s="7" t="s">
        <v>82</v>
      </c>
      <c r="E75" s="6" t="s">
        <v>535</v>
      </c>
      <c r="F75" s="8" t="str">
        <f aca="false">IF(D75="N","N/A - excluded",IF(N75&gt;=3,"Implemented",IF(N75&gt;=1,"Partial","Not started")))</f>
        <v>Not started</v>
      </c>
      <c r="G75" s="6" t="s">
        <v>536</v>
      </c>
      <c r="H75" s="6" t="s">
        <v>106</v>
      </c>
      <c r="I75" s="6" t="s">
        <v>99</v>
      </c>
      <c r="J75" s="6" t="s">
        <v>537</v>
      </c>
      <c r="K75" s="6" t="s">
        <v>538</v>
      </c>
      <c r="L75" s="6" t="s">
        <v>230</v>
      </c>
      <c r="M75" s="6" t="s">
        <v>126</v>
      </c>
      <c r="N75" s="7" t="n">
        <v>0</v>
      </c>
      <c r="O75" s="6" t="s">
        <v>82</v>
      </c>
      <c r="P75" s="6" t="s">
        <v>537</v>
      </c>
      <c r="Q75" s="6" t="s">
        <v>539</v>
      </c>
      <c r="R75" s="8" t="n">
        <f aca="false">IF(D75="N","",IF(F75="Implemented",1,IF(F75="Partial",0.5,0)))</f>
        <v>0</v>
      </c>
      <c r="S75" s="8" t="str">
        <f aca="false">IF(D75="N","N/A",IF(T75="","No category",IF(N75&lt;=W75,"PASS","FAIL")))</f>
        <v>PASS</v>
      </c>
      <c r="T75" s="6" t="s">
        <v>184</v>
      </c>
      <c r="U75" s="6" t="s">
        <v>540</v>
      </c>
      <c r="V75" s="6"/>
      <c r="W75" s="8" t="n">
        <f aca="false">MAX(IF(T75="",0,IFERROR(INDEX(09_GAP_Impact!$F$6:$F$27,MATCH(T75,09_GAP_Impact!$B$6:$B$27,0)),0)),IF(U75="",0,IFERROR(INDEX(09_GAP_Impact!$F$6:$F$27,MATCH(U75,09_GAP_Impact!$B$6:$B$27,0)),0)),IF(V75="",0,IFERROR(INDEX(09_GAP_Impact!$F$6:$F$27,MATCH(V75,09_GAP_Impact!$B$6:$B$27,0)),0)))</f>
        <v>2</v>
      </c>
    </row>
    <row r="76" customFormat="false" ht="34.5" hidden="false" customHeight="true" outlineLevel="0" collapsed="false">
      <c r="A76" s="6" t="s">
        <v>541</v>
      </c>
      <c r="B76" s="6" t="s">
        <v>542</v>
      </c>
      <c r="C76" s="6" t="s">
        <v>470</v>
      </c>
      <c r="D76" s="7" t="s">
        <v>82</v>
      </c>
      <c r="E76" s="6" t="s">
        <v>543</v>
      </c>
      <c r="F76" s="8" t="str">
        <f aca="false">IF(D76="N","N/A - excluded",IF(N76&gt;=3,"Implemented",IF(N76&gt;=1,"Partial","Not started")))</f>
        <v>Partial</v>
      </c>
      <c r="G76" s="6" t="s">
        <v>544</v>
      </c>
      <c r="H76" s="6" t="s">
        <v>157</v>
      </c>
      <c r="I76" s="6" t="s">
        <v>304</v>
      </c>
      <c r="J76" s="6" t="s">
        <v>545</v>
      </c>
      <c r="K76" s="6" t="s">
        <v>546</v>
      </c>
      <c r="L76" s="6" t="s">
        <v>260</v>
      </c>
      <c r="M76" s="6" t="s">
        <v>126</v>
      </c>
      <c r="N76" s="7" t="n">
        <v>1</v>
      </c>
      <c r="O76" s="6" t="s">
        <v>82</v>
      </c>
      <c r="P76" s="6" t="s">
        <v>545</v>
      </c>
      <c r="Q76" s="6" t="s">
        <v>547</v>
      </c>
      <c r="R76" s="8" t="n">
        <f aca="false">IF(D76="N","",IF(F76="Implemented",1,IF(F76="Partial",0.5,0)))</f>
        <v>0.5</v>
      </c>
      <c r="S76" s="8" t="str">
        <f aca="false">IF(D76="N","N/A",IF(T76="","No category",IF(N76&lt;=W76,"PASS","FAIL")))</f>
        <v>PASS</v>
      </c>
      <c r="T76" s="6" t="s">
        <v>262</v>
      </c>
      <c r="U76" s="6" t="s">
        <v>308</v>
      </c>
      <c r="V76" s="6"/>
      <c r="W76" s="8" t="n">
        <f aca="false">MAX(IF(T76="",0,IFERROR(INDEX(09_GAP_Impact!$F$6:$F$27,MATCH(T76,09_GAP_Impact!$B$6:$B$27,0)),0)),IF(U76="",0,IFERROR(INDEX(09_GAP_Impact!$F$6:$F$27,MATCH(U76,09_GAP_Impact!$B$6:$B$27,0)),0)),IF(V76="",0,IFERROR(INDEX(09_GAP_Impact!$F$6:$F$27,MATCH(V76,09_GAP_Impact!$B$6:$B$27,0)),0)))</f>
        <v>1</v>
      </c>
    </row>
    <row r="77" customFormat="false" ht="23.25" hidden="false" customHeight="true" outlineLevel="0" collapsed="false">
      <c r="A77" s="6" t="s">
        <v>548</v>
      </c>
      <c r="B77" s="6" t="s">
        <v>549</v>
      </c>
      <c r="C77" s="6" t="s">
        <v>470</v>
      </c>
      <c r="D77" s="7" t="s">
        <v>82</v>
      </c>
      <c r="E77" s="6" t="s">
        <v>550</v>
      </c>
      <c r="F77" s="8" t="str">
        <f aca="false">IF(D77="N","N/A - excluded",IF(N77&gt;=3,"Implemented",IF(N77&gt;=1,"Partial","Not started")))</f>
        <v>Not started</v>
      </c>
      <c r="G77" s="6" t="s">
        <v>551</v>
      </c>
      <c r="H77" s="6" t="s">
        <v>106</v>
      </c>
      <c r="I77" s="6" t="s">
        <v>304</v>
      </c>
      <c r="J77" s="6" t="s">
        <v>262</v>
      </c>
      <c r="K77" s="6" t="s">
        <v>552</v>
      </c>
      <c r="L77" s="6" t="s">
        <v>134</v>
      </c>
      <c r="M77" s="6" t="s">
        <v>126</v>
      </c>
      <c r="N77" s="7" t="n">
        <v>0</v>
      </c>
      <c r="O77" s="6" t="s">
        <v>82</v>
      </c>
      <c r="P77" s="6" t="s">
        <v>262</v>
      </c>
      <c r="Q77" s="6" t="s">
        <v>328</v>
      </c>
      <c r="R77" s="8" t="n">
        <f aca="false">IF(D77="N","",IF(F77="Implemented",1,IF(F77="Partial",0.5,0)))</f>
        <v>0</v>
      </c>
      <c r="S77" s="8" t="str">
        <f aca="false">IF(D77="N","N/A",IF(T77="","No category",IF(N77&lt;=W77,"PASS","FAIL")))</f>
        <v>PASS</v>
      </c>
      <c r="T77" s="6" t="s">
        <v>262</v>
      </c>
      <c r="U77" s="6"/>
      <c r="V77" s="6"/>
      <c r="W77" s="8" t="n">
        <f aca="false">MAX(IF(T77="",0,IFERROR(INDEX(09_GAP_Impact!$F$6:$F$27,MATCH(T77,09_GAP_Impact!$B$6:$B$27,0)),0)),IF(U77="",0,IFERROR(INDEX(09_GAP_Impact!$F$6:$F$27,MATCH(U77,09_GAP_Impact!$B$6:$B$27,0)),0)),IF(V77="",0,IFERROR(INDEX(09_GAP_Impact!$F$6:$F$27,MATCH(V77,09_GAP_Impact!$B$6:$B$27,0)),0)))</f>
        <v>0</v>
      </c>
    </row>
    <row r="78" customFormat="false" ht="34.5" hidden="false" customHeight="true" outlineLevel="0" collapsed="false">
      <c r="A78" s="6" t="s">
        <v>553</v>
      </c>
      <c r="B78" s="6" t="s">
        <v>554</v>
      </c>
      <c r="C78" s="6" t="s">
        <v>470</v>
      </c>
      <c r="D78" s="7" t="s">
        <v>82</v>
      </c>
      <c r="E78" s="6" t="s">
        <v>555</v>
      </c>
      <c r="F78" s="8" t="str">
        <f aca="false">IF(D78="N","N/A - excluded",IF(N78&gt;=3,"Implemented",IF(N78&gt;=1,"Partial","Not started")))</f>
        <v>Partial</v>
      </c>
      <c r="G78" s="6" t="s">
        <v>556</v>
      </c>
      <c r="H78" s="6" t="s">
        <v>157</v>
      </c>
      <c r="I78" s="6" t="s">
        <v>557</v>
      </c>
      <c r="J78" s="6" t="s">
        <v>558</v>
      </c>
      <c r="K78" s="6" t="s">
        <v>559</v>
      </c>
      <c r="L78" s="6" t="s">
        <v>108</v>
      </c>
      <c r="M78" s="6" t="s">
        <v>126</v>
      </c>
      <c r="N78" s="7" t="n">
        <v>1</v>
      </c>
      <c r="O78" s="6" t="s">
        <v>82</v>
      </c>
      <c r="P78" s="6" t="s">
        <v>558</v>
      </c>
      <c r="Q78" s="6" t="s">
        <v>277</v>
      </c>
      <c r="R78" s="8" t="n">
        <f aca="false">IF(D78="N","",IF(F78="Implemented",1,IF(F78="Partial",0.5,0)))</f>
        <v>0.5</v>
      </c>
      <c r="S78" s="8" t="str">
        <f aca="false">IF(D78="N","N/A",IF(T78="","No category",IF(N78&lt;=W78,"PASS","FAIL")))</f>
        <v>PASS</v>
      </c>
      <c r="T78" s="6" t="s">
        <v>540</v>
      </c>
      <c r="U78" s="6" t="s">
        <v>276</v>
      </c>
      <c r="V78" s="6" t="s">
        <v>293</v>
      </c>
      <c r="W78" s="8" t="n">
        <f aca="false">MAX(IF(T78="",0,IFERROR(INDEX(09_GAP_Impact!$F$6:$F$27,MATCH(T78,09_GAP_Impact!$B$6:$B$27,0)),0)),IF(U78="",0,IFERROR(INDEX(09_GAP_Impact!$F$6:$F$27,MATCH(U78,09_GAP_Impact!$B$6:$B$27,0)),0)),IF(V78="",0,IFERROR(INDEX(09_GAP_Impact!$F$6:$F$27,MATCH(V78,09_GAP_Impact!$B$6:$B$27,0)),0)))</f>
        <v>1</v>
      </c>
    </row>
    <row r="79" customFormat="false" ht="23.25" hidden="false" customHeight="true" outlineLevel="0" collapsed="false">
      <c r="A79" s="6" t="s">
        <v>560</v>
      </c>
      <c r="B79" s="6" t="s">
        <v>561</v>
      </c>
      <c r="C79" s="6" t="s">
        <v>470</v>
      </c>
      <c r="D79" s="7" t="s">
        <v>82</v>
      </c>
      <c r="E79" s="6" t="s">
        <v>562</v>
      </c>
      <c r="F79" s="8" t="str">
        <f aca="false">IF(D79="N","N/A - excluded",IF(N79&gt;=3,"Implemented",IF(N79&gt;=1,"Partial","Not started")))</f>
        <v>Not started</v>
      </c>
      <c r="G79" s="6" t="s">
        <v>563</v>
      </c>
      <c r="H79" s="6" t="s">
        <v>157</v>
      </c>
      <c r="I79" s="6" t="s">
        <v>158</v>
      </c>
      <c r="J79" s="6" t="s">
        <v>564</v>
      </c>
      <c r="K79" s="6" t="s">
        <v>565</v>
      </c>
      <c r="L79" s="6" t="s">
        <v>108</v>
      </c>
      <c r="M79" s="6" t="s">
        <v>126</v>
      </c>
      <c r="N79" s="7" t="n">
        <v>0</v>
      </c>
      <c r="O79" s="6" t="s">
        <v>82</v>
      </c>
      <c r="P79" s="6" t="s">
        <v>564</v>
      </c>
      <c r="Q79" s="6" t="s">
        <v>277</v>
      </c>
      <c r="R79" s="8" t="n">
        <f aca="false">IF(D79="N","",IF(F79="Implemented",1,IF(F79="Partial",0.5,0)))</f>
        <v>0</v>
      </c>
      <c r="S79" s="8" t="str">
        <f aca="false">IF(D79="N","N/A",IF(T79="","No category",IF(N79&lt;=W79,"PASS","FAIL")))</f>
        <v>PASS</v>
      </c>
      <c r="T79" s="6" t="s">
        <v>540</v>
      </c>
      <c r="U79" s="6" t="s">
        <v>276</v>
      </c>
      <c r="V79" s="6"/>
      <c r="W79" s="8" t="n">
        <f aca="false">MAX(IF(T79="",0,IFERROR(INDEX(09_GAP_Impact!$F$6:$F$27,MATCH(T79,09_GAP_Impact!$B$6:$B$27,0)),0)),IF(U79="",0,IFERROR(INDEX(09_GAP_Impact!$F$6:$F$27,MATCH(U79,09_GAP_Impact!$B$6:$B$27,0)),0)),IF(V79="",0,IFERROR(INDEX(09_GAP_Impact!$F$6:$F$27,MATCH(V79,09_GAP_Impact!$B$6:$B$27,0)),0)))</f>
        <v>1</v>
      </c>
    </row>
    <row r="80" customFormat="false" ht="34.5" hidden="false" customHeight="true" outlineLevel="0" collapsed="false">
      <c r="A80" s="6" t="s">
        <v>566</v>
      </c>
      <c r="B80" s="6" t="s">
        <v>567</v>
      </c>
      <c r="C80" s="6" t="s">
        <v>470</v>
      </c>
      <c r="D80" s="7" t="s">
        <v>82</v>
      </c>
      <c r="E80" s="6" t="s">
        <v>568</v>
      </c>
      <c r="F80" s="8" t="str">
        <f aca="false">IF(D80="N","N/A - excluded",IF(N80&gt;=3,"Implemented",IF(N80&gt;=1,"Partial","Not started")))</f>
        <v>Not started</v>
      </c>
      <c r="G80" s="6" t="s">
        <v>569</v>
      </c>
      <c r="H80" s="6" t="s">
        <v>157</v>
      </c>
      <c r="I80" s="6" t="s">
        <v>333</v>
      </c>
      <c r="J80" s="6" t="s">
        <v>570</v>
      </c>
      <c r="K80" s="6" t="s">
        <v>53</v>
      </c>
      <c r="L80" s="6" t="s">
        <v>108</v>
      </c>
      <c r="M80" s="6" t="s">
        <v>89</v>
      </c>
      <c r="N80" s="7" t="n">
        <v>0</v>
      </c>
      <c r="O80" s="6" t="s">
        <v>152</v>
      </c>
      <c r="P80" s="6" t="s">
        <v>53</v>
      </c>
      <c r="Q80" s="6" t="s">
        <v>277</v>
      </c>
      <c r="R80" s="8" t="n">
        <f aca="false">IF(D80="N","",IF(F80="Implemented",1,IF(F80="Partial",0.5,0)))</f>
        <v>0</v>
      </c>
      <c r="S80" s="8" t="str">
        <f aca="false">IF(D80="N","N/A",IF(T80="","No category",IF(N80&lt;=W80,"PASS","FAIL")))</f>
        <v>PASS</v>
      </c>
      <c r="T80" s="6" t="s">
        <v>540</v>
      </c>
      <c r="U80" s="6" t="s">
        <v>293</v>
      </c>
      <c r="V80" s="6"/>
      <c r="W80" s="8" t="n">
        <f aca="false">MAX(IF(T80="",0,IFERROR(INDEX(09_GAP_Impact!$F$6:$F$27,MATCH(T80,09_GAP_Impact!$B$6:$B$27,0)),0)),IF(U80="",0,IFERROR(INDEX(09_GAP_Impact!$F$6:$F$27,MATCH(U80,09_GAP_Impact!$B$6:$B$27,0)),0)),IF(V80="",0,IFERROR(INDEX(09_GAP_Impact!$F$6:$F$27,MATCH(V80,09_GAP_Impact!$B$6:$B$27,0)),0)))</f>
        <v>1</v>
      </c>
    </row>
    <row r="81" customFormat="false" ht="23.25" hidden="false" customHeight="true" outlineLevel="0" collapsed="false">
      <c r="A81" s="6" t="s">
        <v>571</v>
      </c>
      <c r="B81" s="6" t="s">
        <v>572</v>
      </c>
      <c r="C81" s="6" t="s">
        <v>470</v>
      </c>
      <c r="D81" s="7" t="s">
        <v>82</v>
      </c>
      <c r="E81" s="6" t="s">
        <v>573</v>
      </c>
      <c r="F81" s="8" t="str">
        <f aca="false">IF(D81="N","N/A - excluded",IF(N81&gt;=3,"Implemented",IF(N81&gt;=1,"Partial","Not started")))</f>
        <v>Not started</v>
      </c>
      <c r="G81" s="6" t="s">
        <v>574</v>
      </c>
      <c r="H81" s="6" t="s">
        <v>157</v>
      </c>
      <c r="I81" s="6" t="s">
        <v>575</v>
      </c>
      <c r="J81" s="6" t="s">
        <v>175</v>
      </c>
      <c r="K81" s="6" t="s">
        <v>53</v>
      </c>
      <c r="L81" s="6" t="s">
        <v>134</v>
      </c>
      <c r="M81" s="6" t="s">
        <v>89</v>
      </c>
      <c r="N81" s="7" t="n">
        <v>0</v>
      </c>
      <c r="O81" s="6" t="s">
        <v>152</v>
      </c>
      <c r="P81" s="6" t="s">
        <v>53</v>
      </c>
      <c r="Q81" s="6" t="s">
        <v>520</v>
      </c>
      <c r="R81" s="8" t="n">
        <f aca="false">IF(D81="N","",IF(F81="Implemented",1,IF(F81="Partial",0.5,0)))</f>
        <v>0</v>
      </c>
      <c r="S81" s="8" t="str">
        <f aca="false">IF(D81="N","N/A",IF(T81="","No category",IF(N81&lt;=W81,"PASS","FAIL")))</f>
        <v>PASS</v>
      </c>
      <c r="T81" s="6" t="s">
        <v>175</v>
      </c>
      <c r="U81" s="6"/>
      <c r="V81" s="6"/>
      <c r="W81" s="8" t="n">
        <f aca="false">MAX(IF(T81="",0,IFERROR(INDEX(09_GAP_Impact!$F$6:$F$27,MATCH(T81,09_GAP_Impact!$B$6:$B$27,0)),0)),IF(U81="",0,IFERROR(INDEX(09_GAP_Impact!$F$6:$F$27,MATCH(U81,09_GAP_Impact!$B$6:$B$27,0)),0)),IF(V81="",0,IFERROR(INDEX(09_GAP_Impact!$F$6:$F$27,MATCH(V81,09_GAP_Impact!$B$6:$B$27,0)),0)))</f>
        <v>2</v>
      </c>
    </row>
    <row r="82" customFormat="false" ht="23.25" hidden="false" customHeight="true" outlineLevel="0" collapsed="false">
      <c r="A82" s="6" t="s">
        <v>576</v>
      </c>
      <c r="B82" s="6" t="s">
        <v>577</v>
      </c>
      <c r="C82" s="6" t="s">
        <v>470</v>
      </c>
      <c r="D82" s="7" t="s">
        <v>82</v>
      </c>
      <c r="E82" s="6" t="s">
        <v>578</v>
      </c>
      <c r="F82" s="8" t="str">
        <f aca="false">IF(D82="N","N/A - excluded",IF(N82&gt;=3,"Implemented",IF(N82&gt;=1,"Partial","Not started")))</f>
        <v>Not started</v>
      </c>
      <c r="G82" s="6" t="s">
        <v>579</v>
      </c>
      <c r="H82" s="6" t="s">
        <v>106</v>
      </c>
      <c r="I82" s="6" t="s">
        <v>580</v>
      </c>
      <c r="J82" s="6" t="s">
        <v>145</v>
      </c>
      <c r="K82" s="6" t="s">
        <v>53</v>
      </c>
      <c r="L82" s="6" t="s">
        <v>108</v>
      </c>
      <c r="M82" s="6" t="s">
        <v>89</v>
      </c>
      <c r="N82" s="7" t="n">
        <v>0</v>
      </c>
      <c r="O82" s="6" t="s">
        <v>152</v>
      </c>
      <c r="P82" s="6" t="s">
        <v>53</v>
      </c>
      <c r="Q82" s="6" t="s">
        <v>109</v>
      </c>
      <c r="R82" s="8" t="n">
        <f aca="false">IF(D82="N","",IF(F82="Implemented",1,IF(F82="Partial",0.5,0)))</f>
        <v>0</v>
      </c>
      <c r="S82" s="8" t="str">
        <f aca="false">IF(D82="N","N/A",IF(T82="","No category",IF(N82&lt;=W82,"PASS","FAIL")))</f>
        <v>PASS</v>
      </c>
      <c r="T82" s="6" t="s">
        <v>145</v>
      </c>
      <c r="U82" s="6"/>
      <c r="V82" s="6"/>
      <c r="W82" s="8" t="n">
        <f aca="false">MAX(IF(T82="",0,IFERROR(INDEX(09_GAP_Impact!$F$6:$F$27,MATCH(T82,09_GAP_Impact!$B$6:$B$27,0)),0)),IF(U82="",0,IFERROR(INDEX(09_GAP_Impact!$F$6:$F$27,MATCH(U82,09_GAP_Impact!$B$6:$B$27,0)),0)),IF(V82="",0,IFERROR(INDEX(09_GAP_Impact!$F$6:$F$27,MATCH(V82,09_GAP_Impact!$B$6:$B$27,0)),0)))</f>
        <v>0</v>
      </c>
    </row>
    <row r="83" customFormat="false" ht="23.25" hidden="false" customHeight="true" outlineLevel="0" collapsed="false">
      <c r="A83" s="6" t="s">
        <v>581</v>
      </c>
      <c r="B83" s="6" t="s">
        <v>582</v>
      </c>
      <c r="C83" s="6" t="s">
        <v>470</v>
      </c>
      <c r="D83" s="7" t="s">
        <v>82</v>
      </c>
      <c r="E83" s="6" t="s">
        <v>583</v>
      </c>
      <c r="F83" s="8" t="str">
        <f aca="false">IF(D83="N","N/A - excluded",IF(N83&gt;=3,"Implemented",IF(N83&gt;=1,"Partial","Not started")))</f>
        <v>Not started</v>
      </c>
      <c r="G83" s="6" t="s">
        <v>584</v>
      </c>
      <c r="H83" s="6" t="s">
        <v>157</v>
      </c>
      <c r="I83" s="6" t="s">
        <v>585</v>
      </c>
      <c r="J83" s="6" t="s">
        <v>262</v>
      </c>
      <c r="K83" s="6" t="s">
        <v>53</v>
      </c>
      <c r="L83" s="6" t="s">
        <v>134</v>
      </c>
      <c r="M83" s="6" t="s">
        <v>89</v>
      </c>
      <c r="N83" s="7" t="n">
        <v>0</v>
      </c>
      <c r="O83" s="6" t="s">
        <v>82</v>
      </c>
      <c r="P83" s="6" t="s">
        <v>262</v>
      </c>
      <c r="Q83" s="6" t="s">
        <v>520</v>
      </c>
      <c r="R83" s="8" t="n">
        <f aca="false">IF(D83="N","",IF(F83="Implemented",1,IF(F83="Partial",0.5,0)))</f>
        <v>0</v>
      </c>
      <c r="S83" s="8" t="str">
        <f aca="false">IF(D83="N","N/A",IF(T83="","No category",IF(N83&lt;=W83,"PASS","FAIL")))</f>
        <v>PASS</v>
      </c>
      <c r="T83" s="6" t="s">
        <v>262</v>
      </c>
      <c r="U83" s="6"/>
      <c r="V83" s="6"/>
      <c r="W83" s="8" t="n">
        <f aca="false">MAX(IF(T83="",0,IFERROR(INDEX(09_GAP_Impact!$F$6:$F$27,MATCH(T83,09_GAP_Impact!$B$6:$B$27,0)),0)),IF(U83="",0,IFERROR(INDEX(09_GAP_Impact!$F$6:$F$27,MATCH(U83,09_GAP_Impact!$B$6:$B$27,0)),0)),IF(V83="",0,IFERROR(INDEX(09_GAP_Impact!$F$6:$F$27,MATCH(V83,09_GAP_Impact!$B$6:$B$27,0)),0)))</f>
        <v>0</v>
      </c>
    </row>
    <row r="84" customFormat="false" ht="23.25" hidden="false" customHeight="true" outlineLevel="0" collapsed="false">
      <c r="A84" s="6" t="s">
        <v>586</v>
      </c>
      <c r="B84" s="6" t="s">
        <v>587</v>
      </c>
      <c r="C84" s="6" t="s">
        <v>470</v>
      </c>
      <c r="D84" s="7" t="s">
        <v>82</v>
      </c>
      <c r="E84" s="6" t="s">
        <v>588</v>
      </c>
      <c r="F84" s="8" t="str">
        <f aca="false">IF(D84="N","N/A - excluded",IF(N84&gt;=3,"Implemented",IF(N84&gt;=1,"Partial","Not started")))</f>
        <v>Not started</v>
      </c>
      <c r="G84" s="6" t="s">
        <v>589</v>
      </c>
      <c r="H84" s="6" t="s">
        <v>157</v>
      </c>
      <c r="I84" s="6" t="s">
        <v>590</v>
      </c>
      <c r="J84" s="6" t="s">
        <v>262</v>
      </c>
      <c r="K84" s="6" t="s">
        <v>53</v>
      </c>
      <c r="L84" s="6" t="s">
        <v>134</v>
      </c>
      <c r="M84" s="6" t="s">
        <v>89</v>
      </c>
      <c r="N84" s="7" t="n">
        <v>0</v>
      </c>
      <c r="O84" s="6" t="s">
        <v>152</v>
      </c>
      <c r="P84" s="6" t="s">
        <v>53</v>
      </c>
      <c r="Q84" s="6" t="s">
        <v>520</v>
      </c>
      <c r="R84" s="8" t="n">
        <f aca="false">IF(D84="N","",IF(F84="Implemented",1,IF(F84="Partial",0.5,0)))</f>
        <v>0</v>
      </c>
      <c r="S84" s="8" t="str">
        <f aca="false">IF(D84="N","N/A",IF(T84="","No category",IF(N84&lt;=W84,"PASS","FAIL")))</f>
        <v>PASS</v>
      </c>
      <c r="T84" s="6" t="s">
        <v>262</v>
      </c>
      <c r="U84" s="6"/>
      <c r="V84" s="6"/>
      <c r="W84" s="8" t="n">
        <f aca="false">MAX(IF(T84="",0,IFERROR(INDEX(09_GAP_Impact!$F$6:$F$27,MATCH(T84,09_GAP_Impact!$B$6:$B$27,0)),0)),IF(U84="",0,IFERROR(INDEX(09_GAP_Impact!$F$6:$F$27,MATCH(U84,09_GAP_Impact!$B$6:$B$27,0)),0)),IF(V84="",0,IFERROR(INDEX(09_GAP_Impact!$F$6:$F$27,MATCH(V84,09_GAP_Impact!$B$6:$B$27,0)),0)))</f>
        <v>0</v>
      </c>
    </row>
    <row r="85" customFormat="false" ht="34.5" hidden="false" customHeight="true" outlineLevel="0" collapsed="false">
      <c r="A85" s="6" t="s">
        <v>591</v>
      </c>
      <c r="B85" s="6" t="s">
        <v>592</v>
      </c>
      <c r="C85" s="6" t="s">
        <v>470</v>
      </c>
      <c r="D85" s="7" t="s">
        <v>82</v>
      </c>
      <c r="E85" s="6" t="s">
        <v>593</v>
      </c>
      <c r="F85" s="8" t="str">
        <f aca="false">IF(D85="N","N/A - excluded",IF(N85&gt;=3,"Implemented",IF(N85&gt;=1,"Partial","Not started")))</f>
        <v>Not started</v>
      </c>
      <c r="G85" s="6" t="s">
        <v>594</v>
      </c>
      <c r="H85" s="6" t="s">
        <v>157</v>
      </c>
      <c r="I85" s="6" t="s">
        <v>517</v>
      </c>
      <c r="J85" s="6" t="s">
        <v>262</v>
      </c>
      <c r="K85" s="6" t="s">
        <v>53</v>
      </c>
      <c r="L85" s="6" t="s">
        <v>595</v>
      </c>
      <c r="M85" s="6" t="s">
        <v>89</v>
      </c>
      <c r="N85" s="7" t="n">
        <v>0</v>
      </c>
      <c r="O85" s="6" t="s">
        <v>82</v>
      </c>
      <c r="P85" s="6" t="s">
        <v>262</v>
      </c>
      <c r="Q85" s="6" t="s">
        <v>596</v>
      </c>
      <c r="R85" s="8" t="n">
        <f aca="false">IF(D85="N","",IF(F85="Implemented",1,IF(F85="Partial",0.5,0)))</f>
        <v>0</v>
      </c>
      <c r="S85" s="8" t="str">
        <f aca="false">IF(D85="N","N/A",IF(T85="","No category",IF(N85&lt;=W85,"PASS","FAIL")))</f>
        <v>PASS</v>
      </c>
      <c r="T85" s="6" t="s">
        <v>262</v>
      </c>
      <c r="U85" s="6"/>
      <c r="V85" s="6"/>
      <c r="W85" s="8" t="n">
        <f aca="false">MAX(IF(T85="",0,IFERROR(INDEX(09_GAP_Impact!$F$6:$F$27,MATCH(T85,09_GAP_Impact!$B$6:$B$27,0)),0)),IF(U85="",0,IFERROR(INDEX(09_GAP_Impact!$F$6:$F$27,MATCH(U85,09_GAP_Impact!$B$6:$B$27,0)),0)),IF(V85="",0,IFERROR(INDEX(09_GAP_Impact!$F$6:$F$27,MATCH(V85,09_GAP_Impact!$B$6:$B$27,0)),0)))</f>
        <v>0</v>
      </c>
    </row>
    <row r="86" customFormat="false" ht="23.25" hidden="false" customHeight="true" outlineLevel="0" collapsed="false">
      <c r="A86" s="6" t="s">
        <v>597</v>
      </c>
      <c r="B86" s="6" t="s">
        <v>598</v>
      </c>
      <c r="C86" s="6" t="s">
        <v>470</v>
      </c>
      <c r="D86" s="7" t="s">
        <v>82</v>
      </c>
      <c r="E86" s="6" t="s">
        <v>599</v>
      </c>
      <c r="F86" s="8" t="str">
        <f aca="false">IF(D86="N","N/A - excluded",IF(N86&gt;=3,"Implemented",IF(N86&gt;=1,"Partial","Not started")))</f>
        <v>Not started</v>
      </c>
      <c r="G86" s="6" t="s">
        <v>600</v>
      </c>
      <c r="H86" s="6" t="s">
        <v>157</v>
      </c>
      <c r="I86" s="6" t="s">
        <v>86</v>
      </c>
      <c r="J86" s="6" t="s">
        <v>145</v>
      </c>
      <c r="K86" s="6" t="s">
        <v>53</v>
      </c>
      <c r="L86" s="6" t="s">
        <v>134</v>
      </c>
      <c r="M86" s="6" t="s">
        <v>89</v>
      </c>
      <c r="N86" s="7" t="n">
        <v>0</v>
      </c>
      <c r="O86" s="6" t="s">
        <v>152</v>
      </c>
      <c r="P86" s="6" t="s">
        <v>53</v>
      </c>
      <c r="Q86" s="6" t="s">
        <v>328</v>
      </c>
      <c r="R86" s="8" t="n">
        <f aca="false">IF(D86="N","",IF(F86="Implemented",1,IF(F86="Partial",0.5,0)))</f>
        <v>0</v>
      </c>
      <c r="S86" s="8" t="str">
        <f aca="false">IF(D86="N","N/A",IF(T86="","No category",IF(N86&lt;=W86,"PASS","FAIL")))</f>
        <v>PASS</v>
      </c>
      <c r="T86" s="6" t="s">
        <v>145</v>
      </c>
      <c r="U86" s="6"/>
      <c r="V86" s="6"/>
      <c r="W86" s="8" t="n">
        <f aca="false">MAX(IF(T86="",0,IFERROR(INDEX(09_GAP_Impact!$F$6:$F$27,MATCH(T86,09_GAP_Impact!$B$6:$B$27,0)),0)),IF(U86="",0,IFERROR(INDEX(09_GAP_Impact!$F$6:$F$27,MATCH(U86,09_GAP_Impact!$B$6:$B$27,0)),0)),IF(V86="",0,IFERROR(INDEX(09_GAP_Impact!$F$6:$F$27,MATCH(V86,09_GAP_Impact!$B$6:$B$27,0)),0)))</f>
        <v>0</v>
      </c>
    </row>
    <row r="87" customFormat="false" ht="45.75" hidden="false" customHeight="true" outlineLevel="0" collapsed="false">
      <c r="A87" s="6" t="s">
        <v>601</v>
      </c>
      <c r="B87" s="6" t="s">
        <v>602</v>
      </c>
      <c r="C87" s="6" t="s">
        <v>470</v>
      </c>
      <c r="D87" s="7" t="s">
        <v>82</v>
      </c>
      <c r="E87" s="6" t="s">
        <v>603</v>
      </c>
      <c r="F87" s="8" t="str">
        <f aca="false">IF(D87="N","N/A - excluded",IF(N87&gt;=3,"Implemented",IF(N87&gt;=1,"Partial","Not started")))</f>
        <v>Not started</v>
      </c>
      <c r="G87" s="6" t="s">
        <v>604</v>
      </c>
      <c r="H87" s="6" t="s">
        <v>106</v>
      </c>
      <c r="I87" s="6" t="s">
        <v>605</v>
      </c>
      <c r="J87" s="6" t="s">
        <v>184</v>
      </c>
      <c r="K87" s="6" t="s">
        <v>606</v>
      </c>
      <c r="L87" s="6" t="s">
        <v>108</v>
      </c>
      <c r="M87" s="6" t="s">
        <v>126</v>
      </c>
      <c r="N87" s="7" t="n">
        <v>0</v>
      </c>
      <c r="O87" s="6" t="s">
        <v>82</v>
      </c>
      <c r="P87" s="6" t="s">
        <v>184</v>
      </c>
      <c r="Q87" s="6" t="s">
        <v>328</v>
      </c>
      <c r="R87" s="8" t="n">
        <f aca="false">IF(D87="N","",IF(F87="Implemented",1,IF(F87="Partial",0.5,0)))</f>
        <v>0</v>
      </c>
      <c r="S87" s="8" t="str">
        <f aca="false">IF(D87="N","N/A",IF(T87="","No category",IF(N87&lt;=W87,"PASS","FAIL")))</f>
        <v>PASS</v>
      </c>
      <c r="T87" s="6" t="s">
        <v>184</v>
      </c>
      <c r="U87" s="6"/>
      <c r="V87" s="6"/>
      <c r="W87" s="8" t="n">
        <f aca="false">MAX(IF(T87="",0,IFERROR(INDEX(09_GAP_Impact!$F$6:$F$27,MATCH(T87,09_GAP_Impact!$B$6:$B$27,0)),0)),IF(U87="",0,IFERROR(INDEX(09_GAP_Impact!$F$6:$F$27,MATCH(U87,09_GAP_Impact!$B$6:$B$27,0)),0)),IF(V87="",0,IFERROR(INDEX(09_GAP_Impact!$F$6:$F$27,MATCH(V87,09_GAP_Impact!$B$6:$B$27,0)),0)))</f>
        <v>2</v>
      </c>
    </row>
    <row r="88" customFormat="false" ht="23.25" hidden="false" customHeight="true" outlineLevel="0" collapsed="false">
      <c r="A88" s="6" t="s">
        <v>607</v>
      </c>
      <c r="B88" s="6" t="s">
        <v>608</v>
      </c>
      <c r="C88" s="6" t="s">
        <v>470</v>
      </c>
      <c r="D88" s="7" t="s">
        <v>82</v>
      </c>
      <c r="E88" s="6" t="s">
        <v>609</v>
      </c>
      <c r="F88" s="8" t="str">
        <f aca="false">IF(D88="N","N/A - excluded",IF(N88&gt;=3,"Implemented",IF(N88&gt;=1,"Partial","Not started")))</f>
        <v>Not started</v>
      </c>
      <c r="G88" s="6" t="s">
        <v>610</v>
      </c>
      <c r="H88" s="6" t="s">
        <v>106</v>
      </c>
      <c r="I88" s="6" t="s">
        <v>484</v>
      </c>
      <c r="J88" s="6" t="s">
        <v>145</v>
      </c>
      <c r="K88" s="6" t="s">
        <v>512</v>
      </c>
      <c r="L88" s="6" t="s">
        <v>108</v>
      </c>
      <c r="M88" s="6" t="s">
        <v>126</v>
      </c>
      <c r="N88" s="7" t="n">
        <v>0</v>
      </c>
      <c r="O88" s="6" t="s">
        <v>82</v>
      </c>
      <c r="P88" s="6" t="s">
        <v>145</v>
      </c>
      <c r="Q88" s="6" t="s">
        <v>109</v>
      </c>
      <c r="R88" s="8" t="n">
        <f aca="false">IF(D88="N","",IF(F88="Implemented",1,IF(F88="Partial",0.5,0)))</f>
        <v>0</v>
      </c>
      <c r="S88" s="8" t="str">
        <f aca="false">IF(D88="N","N/A",IF(T88="","No category",IF(N88&lt;=W88,"PASS","FAIL")))</f>
        <v>PASS</v>
      </c>
      <c r="T88" s="6" t="s">
        <v>145</v>
      </c>
      <c r="U88" s="6"/>
      <c r="V88" s="6"/>
      <c r="W88" s="8" t="n">
        <f aca="false">MAX(IF(T88="",0,IFERROR(INDEX(09_GAP_Impact!$F$6:$F$27,MATCH(T88,09_GAP_Impact!$B$6:$B$27,0)),0)),IF(U88="",0,IFERROR(INDEX(09_GAP_Impact!$F$6:$F$27,MATCH(U88,09_GAP_Impact!$B$6:$B$27,0)),0)),IF(V88="",0,IFERROR(INDEX(09_GAP_Impact!$F$6:$F$27,MATCH(V88,09_GAP_Impact!$B$6:$B$27,0)),0)))</f>
        <v>0</v>
      </c>
    </row>
    <row r="89" customFormat="false" ht="23.25" hidden="false" customHeight="true" outlineLevel="0" collapsed="false">
      <c r="A89" s="6" t="s">
        <v>611</v>
      </c>
      <c r="B89" s="6" t="s">
        <v>612</v>
      </c>
      <c r="C89" s="6" t="s">
        <v>470</v>
      </c>
      <c r="D89" s="7" t="s">
        <v>82</v>
      </c>
      <c r="E89" s="6" t="s">
        <v>613</v>
      </c>
      <c r="F89" s="8" t="str">
        <f aca="false">IF(D89="N","N/A - excluded",IF(N89&gt;=3,"Implemented",IF(N89&gt;=1,"Partial","Not started")))</f>
        <v>Not started</v>
      </c>
      <c r="G89" s="6" t="s">
        <v>614</v>
      </c>
      <c r="H89" s="6" t="s">
        <v>106</v>
      </c>
      <c r="I89" s="6" t="s">
        <v>484</v>
      </c>
      <c r="J89" s="6" t="s">
        <v>145</v>
      </c>
      <c r="K89" s="6" t="s">
        <v>53</v>
      </c>
      <c r="L89" s="6" t="s">
        <v>108</v>
      </c>
      <c r="M89" s="6" t="s">
        <v>89</v>
      </c>
      <c r="N89" s="7" t="n">
        <v>0</v>
      </c>
      <c r="O89" s="6" t="s">
        <v>152</v>
      </c>
      <c r="P89" s="6" t="s">
        <v>53</v>
      </c>
      <c r="Q89" s="6" t="s">
        <v>109</v>
      </c>
      <c r="R89" s="8" t="n">
        <f aca="false">IF(D89="N","",IF(F89="Implemented",1,IF(F89="Partial",0.5,0)))</f>
        <v>0</v>
      </c>
      <c r="S89" s="8" t="str">
        <f aca="false">IF(D89="N","N/A",IF(T89="","No category",IF(N89&lt;=W89,"PASS","FAIL")))</f>
        <v>PASS</v>
      </c>
      <c r="T89" s="6" t="s">
        <v>145</v>
      </c>
      <c r="U89" s="6"/>
      <c r="V89" s="6"/>
      <c r="W89" s="8" t="n">
        <f aca="false">MAX(IF(T89="",0,IFERROR(INDEX(09_GAP_Impact!$F$6:$F$27,MATCH(T89,09_GAP_Impact!$B$6:$B$27,0)),0)),IF(U89="",0,IFERROR(INDEX(09_GAP_Impact!$F$6:$F$27,MATCH(U89,09_GAP_Impact!$B$6:$B$27,0)),0)),IF(V89="",0,IFERROR(INDEX(09_GAP_Impact!$F$6:$F$27,MATCH(V89,09_GAP_Impact!$B$6:$B$27,0)),0)))</f>
        <v>0</v>
      </c>
    </row>
    <row r="90" customFormat="false" ht="34.5" hidden="false" customHeight="true" outlineLevel="0" collapsed="false">
      <c r="A90" s="6" t="s">
        <v>615</v>
      </c>
      <c r="B90" s="6" t="s">
        <v>616</v>
      </c>
      <c r="C90" s="6" t="s">
        <v>470</v>
      </c>
      <c r="D90" s="7" t="s">
        <v>82</v>
      </c>
      <c r="E90" s="6" t="s">
        <v>617</v>
      </c>
      <c r="F90" s="8" t="str">
        <f aca="false">IF(D90="N","N/A - excluded",IF(N90&gt;=3,"Implemented",IF(N90&gt;=1,"Partial","Not started")))</f>
        <v>Not started</v>
      </c>
      <c r="G90" s="6" t="s">
        <v>618</v>
      </c>
      <c r="H90" s="6" t="s">
        <v>106</v>
      </c>
      <c r="I90" s="6" t="s">
        <v>619</v>
      </c>
      <c r="J90" s="6" t="s">
        <v>262</v>
      </c>
      <c r="K90" s="6" t="s">
        <v>620</v>
      </c>
      <c r="L90" s="6" t="s">
        <v>595</v>
      </c>
      <c r="M90" s="6" t="s">
        <v>126</v>
      </c>
      <c r="N90" s="7" t="n">
        <v>0</v>
      </c>
      <c r="O90" s="6" t="s">
        <v>152</v>
      </c>
      <c r="P90" s="6" t="s">
        <v>53</v>
      </c>
      <c r="Q90" s="6" t="s">
        <v>621</v>
      </c>
      <c r="R90" s="8" t="n">
        <f aca="false">IF(D90="N","",IF(F90="Implemented",1,IF(F90="Partial",0.5,0)))</f>
        <v>0</v>
      </c>
      <c r="S90" s="8" t="str">
        <f aca="false">IF(D90="N","N/A",IF(T90="","No category",IF(N90&lt;=W90,"PASS","FAIL")))</f>
        <v>PASS</v>
      </c>
      <c r="T90" s="6" t="s">
        <v>262</v>
      </c>
      <c r="U90" s="6"/>
      <c r="V90" s="6"/>
      <c r="W90" s="8" t="n">
        <f aca="false">MAX(IF(T90="",0,IFERROR(INDEX(09_GAP_Impact!$F$6:$F$27,MATCH(T90,09_GAP_Impact!$B$6:$B$27,0)),0)),IF(U90="",0,IFERROR(INDEX(09_GAP_Impact!$F$6:$F$27,MATCH(U90,09_GAP_Impact!$B$6:$B$27,0)),0)),IF(V90="",0,IFERROR(INDEX(09_GAP_Impact!$F$6:$F$27,MATCH(V90,09_GAP_Impact!$B$6:$B$27,0)),0)))</f>
        <v>0</v>
      </c>
    </row>
    <row r="91" customFormat="false" ht="34.5" hidden="false" customHeight="true" outlineLevel="0" collapsed="false">
      <c r="A91" s="6" t="s">
        <v>622</v>
      </c>
      <c r="B91" s="6" t="s">
        <v>623</v>
      </c>
      <c r="C91" s="6" t="s">
        <v>470</v>
      </c>
      <c r="D91" s="7" t="s">
        <v>82</v>
      </c>
      <c r="E91" s="6" t="s">
        <v>624</v>
      </c>
      <c r="F91" s="8" t="str">
        <f aca="false">IF(D91="N","N/A - excluded",IF(N91&gt;=3,"Implemented",IF(N91&gt;=1,"Partial","Not started")))</f>
        <v>Not started</v>
      </c>
      <c r="G91" s="6" t="s">
        <v>625</v>
      </c>
      <c r="H91" s="6" t="s">
        <v>106</v>
      </c>
      <c r="I91" s="6" t="s">
        <v>484</v>
      </c>
      <c r="J91" s="6" t="s">
        <v>145</v>
      </c>
      <c r="K91" s="6" t="s">
        <v>512</v>
      </c>
      <c r="L91" s="6" t="s">
        <v>108</v>
      </c>
      <c r="M91" s="6" t="s">
        <v>126</v>
      </c>
      <c r="N91" s="7" t="n">
        <v>0</v>
      </c>
      <c r="O91" s="6" t="s">
        <v>82</v>
      </c>
      <c r="P91" s="6" t="s">
        <v>145</v>
      </c>
      <c r="Q91" s="6" t="s">
        <v>486</v>
      </c>
      <c r="R91" s="8" t="n">
        <f aca="false">IF(D91="N","",IF(F91="Implemented",1,IF(F91="Partial",0.5,0)))</f>
        <v>0</v>
      </c>
      <c r="S91" s="8" t="str">
        <f aca="false">IF(D91="N","N/A",IF(T91="","No category",IF(N91&lt;=W91,"PASS","FAIL")))</f>
        <v>PASS</v>
      </c>
      <c r="T91" s="6" t="s">
        <v>145</v>
      </c>
      <c r="U91" s="6"/>
      <c r="V91" s="6"/>
      <c r="W91" s="8" t="n">
        <f aca="false">MAX(IF(T91="",0,IFERROR(INDEX(09_GAP_Impact!$F$6:$F$27,MATCH(T91,09_GAP_Impact!$B$6:$B$27,0)),0)),IF(U91="",0,IFERROR(INDEX(09_GAP_Impact!$F$6:$F$27,MATCH(U91,09_GAP_Impact!$B$6:$B$27,0)),0)),IF(V91="",0,IFERROR(INDEX(09_GAP_Impact!$F$6:$F$27,MATCH(V91,09_GAP_Impact!$B$6:$B$27,0)),0)))</f>
        <v>0</v>
      </c>
    </row>
    <row r="92" customFormat="false" ht="23.25" hidden="false" customHeight="true" outlineLevel="0" collapsed="false">
      <c r="A92" s="6" t="s">
        <v>626</v>
      </c>
      <c r="B92" s="6" t="s">
        <v>627</v>
      </c>
      <c r="C92" s="6" t="s">
        <v>470</v>
      </c>
      <c r="D92" s="7" t="s">
        <v>82</v>
      </c>
      <c r="E92" s="6" t="s">
        <v>628</v>
      </c>
      <c r="F92" s="8" t="str">
        <f aca="false">IF(D92="N","N/A - excluded",IF(N92&gt;=3,"Implemented",IF(N92&gt;=1,"Partial","Not started")))</f>
        <v>Not started</v>
      </c>
      <c r="G92" s="6" t="s">
        <v>629</v>
      </c>
      <c r="H92" s="6" t="s">
        <v>106</v>
      </c>
      <c r="I92" s="6" t="s">
        <v>484</v>
      </c>
      <c r="J92" s="6" t="s">
        <v>145</v>
      </c>
      <c r="K92" s="6" t="s">
        <v>512</v>
      </c>
      <c r="L92" s="6" t="s">
        <v>230</v>
      </c>
      <c r="M92" s="6" t="s">
        <v>126</v>
      </c>
      <c r="N92" s="7" t="n">
        <v>0</v>
      </c>
      <c r="O92" s="6" t="s">
        <v>82</v>
      </c>
      <c r="P92" s="6" t="s">
        <v>145</v>
      </c>
      <c r="Q92" s="6" t="s">
        <v>630</v>
      </c>
      <c r="R92" s="8" t="n">
        <f aca="false">IF(D92="N","",IF(F92="Implemented",1,IF(F92="Partial",0.5,0)))</f>
        <v>0</v>
      </c>
      <c r="S92" s="8" t="str">
        <f aca="false">IF(D92="N","N/A",IF(T92="","No category",IF(N92&lt;=W92,"PASS","FAIL")))</f>
        <v>PASS</v>
      </c>
      <c r="T92" s="6" t="s">
        <v>145</v>
      </c>
      <c r="U92" s="6"/>
      <c r="V92" s="6"/>
      <c r="W92" s="8" t="n">
        <f aca="false">MAX(IF(T92="",0,IFERROR(INDEX(09_GAP_Impact!$F$6:$F$27,MATCH(T92,09_GAP_Impact!$B$6:$B$27,0)),0)),IF(U92="",0,IFERROR(INDEX(09_GAP_Impact!$F$6:$F$27,MATCH(U92,09_GAP_Impact!$B$6:$B$27,0)),0)),IF(V92="",0,IFERROR(INDEX(09_GAP_Impact!$F$6:$F$27,MATCH(V92,09_GAP_Impact!$B$6:$B$27,0)),0)))</f>
        <v>0</v>
      </c>
    </row>
    <row r="93" customFormat="false" ht="45.75" hidden="false" customHeight="true" outlineLevel="0" collapsed="false">
      <c r="A93" s="6" t="s">
        <v>631</v>
      </c>
      <c r="B93" s="6" t="s">
        <v>632</v>
      </c>
      <c r="C93" s="6" t="s">
        <v>470</v>
      </c>
      <c r="D93" s="7" t="s">
        <v>152</v>
      </c>
      <c r="E93" s="6" t="s">
        <v>633</v>
      </c>
      <c r="F93" s="8" t="str">
        <f aca="false">IF(D93="N","N/A - excluded",IF(N93&gt;=3,"Implemented",IF(N93&gt;=1,"Partial","Not started")))</f>
        <v>N/A - excluded</v>
      </c>
      <c r="G93" s="6" t="s">
        <v>434</v>
      </c>
      <c r="H93" s="6" t="s">
        <v>106</v>
      </c>
      <c r="I93" s="6" t="s">
        <v>53</v>
      </c>
      <c r="J93" s="6" t="s">
        <v>53</v>
      </c>
      <c r="K93" s="6" t="s">
        <v>53</v>
      </c>
      <c r="L93" s="6" t="s">
        <v>425</v>
      </c>
      <c r="M93" s="6" t="s">
        <v>426</v>
      </c>
      <c r="N93" s="7" t="n">
        <v>0</v>
      </c>
      <c r="O93" s="6" t="s">
        <v>152</v>
      </c>
      <c r="P93" s="6" t="s">
        <v>53</v>
      </c>
      <c r="Q93" s="6" t="s">
        <v>53</v>
      </c>
      <c r="R93" s="8" t="str">
        <f aca="false">IF(D93="N","",IF(F93="Implemented",1,IF(F93="Partial",0.5,0)))</f>
        <v/>
      </c>
      <c r="S93" s="8" t="str">
        <f aca="false">IF(D93="N","N/A",IF(T93="","No category",IF(N93&lt;=W93,"PASS","FAIL")))</f>
        <v>N/A</v>
      </c>
      <c r="T93" s="6"/>
      <c r="U93" s="6"/>
      <c r="V93" s="6"/>
      <c r="W93" s="8" t="n">
        <f aca="false">MAX(IF(T93="",0,IFERROR(INDEX(09_GAP_Impact!$F$6:$F$27,MATCH(T93,09_GAP_Impact!$B$6:$B$27,0)),0)),IF(U93="",0,IFERROR(INDEX(09_GAP_Impact!$F$6:$F$27,MATCH(U93,09_GAP_Impact!$B$6:$B$27,0)),0)),IF(V93="",0,IFERROR(INDEX(09_GAP_Impact!$F$6:$F$27,MATCH(V93,09_GAP_Impact!$B$6:$B$27,0)),0)))</f>
        <v>0</v>
      </c>
    </row>
    <row r="94" customFormat="false" ht="34.5" hidden="false" customHeight="true" outlineLevel="0" collapsed="false">
      <c r="A94" s="6" t="s">
        <v>634</v>
      </c>
      <c r="B94" s="6" t="s">
        <v>635</v>
      </c>
      <c r="C94" s="6" t="s">
        <v>470</v>
      </c>
      <c r="D94" s="7" t="s">
        <v>82</v>
      </c>
      <c r="E94" s="6" t="s">
        <v>636</v>
      </c>
      <c r="F94" s="8" t="str">
        <f aca="false">IF(D94="N","N/A - excluded",IF(N94&gt;=3,"Implemented",IF(N94&gt;=1,"Partial","Not started")))</f>
        <v>Not started</v>
      </c>
      <c r="G94" s="6" t="s">
        <v>637</v>
      </c>
      <c r="H94" s="6" t="s">
        <v>106</v>
      </c>
      <c r="I94" s="6" t="s">
        <v>107</v>
      </c>
      <c r="J94" s="6" t="s">
        <v>145</v>
      </c>
      <c r="K94" s="6" t="s">
        <v>53</v>
      </c>
      <c r="L94" s="6" t="s">
        <v>108</v>
      </c>
      <c r="M94" s="6" t="s">
        <v>89</v>
      </c>
      <c r="N94" s="7" t="n">
        <v>0</v>
      </c>
      <c r="O94" s="6" t="s">
        <v>82</v>
      </c>
      <c r="P94" s="6" t="s">
        <v>145</v>
      </c>
      <c r="Q94" s="6" t="s">
        <v>109</v>
      </c>
      <c r="R94" s="8" t="n">
        <f aca="false">IF(D94="N","",IF(F94="Implemented",1,IF(F94="Partial",0.5,0)))</f>
        <v>0</v>
      </c>
      <c r="S94" s="8" t="str">
        <f aca="false">IF(D94="N","N/A",IF(T94="","No category",IF(N94&lt;=W94,"PASS","FAIL")))</f>
        <v>PASS</v>
      </c>
      <c r="T94" s="6" t="s">
        <v>145</v>
      </c>
      <c r="U94" s="6"/>
      <c r="V94" s="6"/>
      <c r="W94" s="8" t="n">
        <f aca="false">MAX(IF(T94="",0,IFERROR(INDEX(09_GAP_Impact!$F$6:$F$27,MATCH(T94,09_GAP_Impact!$B$6:$B$27,0)),0)),IF(U94="",0,IFERROR(INDEX(09_GAP_Impact!$F$6:$F$27,MATCH(U94,09_GAP_Impact!$B$6:$B$27,0)),0)),IF(V94="",0,IFERROR(INDEX(09_GAP_Impact!$F$6:$F$27,MATCH(V94,09_GAP_Impact!$B$6:$B$27,0)),0)))</f>
        <v>0</v>
      </c>
    </row>
    <row r="95" customFormat="false" ht="23.25" hidden="false" customHeight="true" outlineLevel="0" collapsed="false">
      <c r="A95" s="6" t="s">
        <v>638</v>
      </c>
      <c r="B95" s="6" t="s">
        <v>639</v>
      </c>
      <c r="C95" s="6" t="s">
        <v>470</v>
      </c>
      <c r="D95" s="7" t="s">
        <v>82</v>
      </c>
      <c r="E95" s="6" t="s">
        <v>640</v>
      </c>
      <c r="F95" s="8" t="str">
        <f aca="false">IF(D95="N","N/A - excluded",IF(N95&gt;=3,"Implemented",IF(N95&gt;=1,"Partial","Not started")))</f>
        <v>Not started</v>
      </c>
      <c r="G95" s="6" t="s">
        <v>641</v>
      </c>
      <c r="H95" s="6" t="s">
        <v>106</v>
      </c>
      <c r="I95" s="6" t="s">
        <v>347</v>
      </c>
      <c r="J95" s="6" t="s">
        <v>145</v>
      </c>
      <c r="K95" s="6" t="s">
        <v>512</v>
      </c>
      <c r="L95" s="6" t="s">
        <v>108</v>
      </c>
      <c r="M95" s="6" t="s">
        <v>126</v>
      </c>
      <c r="N95" s="7" t="n">
        <v>0</v>
      </c>
      <c r="O95" s="6" t="s">
        <v>82</v>
      </c>
      <c r="P95" s="6" t="s">
        <v>145</v>
      </c>
      <c r="Q95" s="6" t="s">
        <v>109</v>
      </c>
      <c r="R95" s="8" t="n">
        <f aca="false">IF(D95="N","",IF(F95="Implemented",1,IF(F95="Partial",0.5,0)))</f>
        <v>0</v>
      </c>
      <c r="S95" s="8" t="str">
        <f aca="false">IF(D95="N","N/A",IF(T95="","No category",IF(N95&lt;=W95,"PASS","FAIL")))</f>
        <v>PASS</v>
      </c>
      <c r="T95" s="6" t="s">
        <v>145</v>
      </c>
      <c r="U95" s="6"/>
      <c r="V95" s="6"/>
      <c r="W95" s="8" t="n">
        <f aca="false">MAX(IF(T95="",0,IFERROR(INDEX(09_GAP_Impact!$F$6:$F$27,MATCH(T95,09_GAP_Impact!$B$6:$B$27,0)),0)),IF(U95="",0,IFERROR(INDEX(09_GAP_Impact!$F$6:$F$27,MATCH(U95,09_GAP_Impact!$B$6:$B$27,0)),0)),IF(V95="",0,IFERROR(INDEX(09_GAP_Impact!$F$6:$F$27,MATCH(V95,09_GAP_Impact!$B$6:$B$27,0)),0)))</f>
        <v>0</v>
      </c>
    </row>
    <row r="96" customFormat="false" ht="23.25" hidden="false" customHeight="true" outlineLevel="0" collapsed="false">
      <c r="A96" s="6" t="s">
        <v>642</v>
      </c>
      <c r="B96" s="6" t="s">
        <v>643</v>
      </c>
      <c r="C96" s="6" t="s">
        <v>470</v>
      </c>
      <c r="D96" s="7" t="s">
        <v>82</v>
      </c>
      <c r="E96" s="6" t="s">
        <v>644</v>
      </c>
      <c r="F96" s="8" t="str">
        <f aca="false">IF(D96="N","N/A - excluded",IF(N96&gt;=3,"Implemented",IF(N96&gt;=1,"Partial","Not started")))</f>
        <v>Not started</v>
      </c>
      <c r="G96" s="6" t="s">
        <v>645</v>
      </c>
      <c r="H96" s="6" t="s">
        <v>106</v>
      </c>
      <c r="I96" s="6" t="s">
        <v>646</v>
      </c>
      <c r="J96" s="6" t="s">
        <v>184</v>
      </c>
      <c r="K96" s="6" t="s">
        <v>53</v>
      </c>
      <c r="L96" s="6" t="s">
        <v>108</v>
      </c>
      <c r="M96" s="6" t="s">
        <v>89</v>
      </c>
      <c r="N96" s="7" t="n">
        <v>0</v>
      </c>
      <c r="O96" s="6" t="s">
        <v>152</v>
      </c>
      <c r="P96" s="6" t="s">
        <v>53</v>
      </c>
      <c r="Q96" s="6" t="s">
        <v>109</v>
      </c>
      <c r="R96" s="8" t="n">
        <f aca="false">IF(D96="N","",IF(F96="Implemented",1,IF(F96="Partial",0.5,0)))</f>
        <v>0</v>
      </c>
      <c r="S96" s="8" t="str">
        <f aca="false">IF(D96="N","N/A",IF(T96="","No category",IF(N96&lt;=W96,"PASS","FAIL")))</f>
        <v>PASS</v>
      </c>
      <c r="T96" s="6" t="s">
        <v>184</v>
      </c>
      <c r="U96" s="6"/>
      <c r="V96" s="6"/>
      <c r="W96" s="8" t="n">
        <f aca="false">MAX(IF(T96="",0,IFERROR(INDEX(09_GAP_Impact!$F$6:$F$27,MATCH(T96,09_GAP_Impact!$B$6:$B$27,0)),0)),IF(U96="",0,IFERROR(INDEX(09_GAP_Impact!$F$6:$F$27,MATCH(U96,09_GAP_Impact!$B$6:$B$27,0)),0)),IF(V96="",0,IFERROR(INDEX(09_GAP_Impact!$F$6:$F$27,MATCH(V96,09_GAP_Impact!$B$6:$B$27,0)),0)))</f>
        <v>2</v>
      </c>
    </row>
    <row r="97" customFormat="false" ht="34.5" hidden="false" customHeight="true" outlineLevel="0" collapsed="false">
      <c r="A97" s="6" t="s">
        <v>647</v>
      </c>
      <c r="B97" s="6" t="s">
        <v>648</v>
      </c>
      <c r="C97" s="6" t="s">
        <v>470</v>
      </c>
      <c r="D97" s="7" t="s">
        <v>82</v>
      </c>
      <c r="E97" s="6" t="s">
        <v>649</v>
      </c>
      <c r="F97" s="8" t="str">
        <f aca="false">IF(D97="N","N/A - excluded",IF(N97&gt;=3,"Implemented",IF(N97&gt;=1,"Partial","Not started")))</f>
        <v>Not started</v>
      </c>
      <c r="G97" s="6" t="s">
        <v>650</v>
      </c>
      <c r="H97" s="6" t="s">
        <v>106</v>
      </c>
      <c r="I97" s="6" t="s">
        <v>53</v>
      </c>
      <c r="J97" s="6" t="s">
        <v>53</v>
      </c>
      <c r="K97" s="6" t="s">
        <v>53</v>
      </c>
      <c r="L97" s="6" t="s">
        <v>134</v>
      </c>
      <c r="M97" s="6" t="s">
        <v>412</v>
      </c>
      <c r="N97" s="7" t="n">
        <v>0</v>
      </c>
      <c r="O97" s="6" t="s">
        <v>152</v>
      </c>
      <c r="P97" s="6" t="s">
        <v>53</v>
      </c>
      <c r="Q97" s="6" t="s">
        <v>651</v>
      </c>
      <c r="R97" s="8" t="n">
        <f aca="false">IF(D97="N","",IF(F97="Implemented",1,IF(F97="Partial",0.5,0)))</f>
        <v>0</v>
      </c>
      <c r="S97" s="8" t="str">
        <f aca="false">IF(D97="N","N/A",IF(T97="","No category",IF(N97&lt;=W97,"PASS","FAIL")))</f>
        <v>No category</v>
      </c>
      <c r="T97" s="6"/>
      <c r="U97" s="6"/>
      <c r="V97" s="6"/>
      <c r="W97" s="8" t="n">
        <f aca="false">MAX(IF(T97="",0,IFERROR(INDEX(09_GAP_Impact!$F$6:$F$27,MATCH(T97,09_GAP_Impact!$B$6:$B$27,0)),0)),IF(U97="",0,IFERROR(INDEX(09_GAP_Impact!$F$6:$F$27,MATCH(U97,09_GAP_Impact!$B$6:$B$27,0)),0)),IF(V97="",0,IFERROR(INDEX(09_GAP_Impact!$F$6:$F$27,MATCH(V97,09_GAP_Impact!$B$6:$B$27,0)),0)))</f>
        <v>0</v>
      </c>
    </row>
  </sheetData>
  <autoFilter ref="A4:W97"/>
  <conditionalFormatting sqref="F5:F97">
    <cfRule type="expression" priority="2" aboveAverage="0" equalAverage="0" bottom="0" percent="0" rank="0" text="" dxfId="8">
      <formula>F5="Implemented"</formula>
    </cfRule>
    <cfRule type="expression" priority="3" aboveAverage="0" equalAverage="0" bottom="0" percent="0" rank="0" text="" dxfId="9">
      <formula>F5="Partial"</formula>
    </cfRule>
    <cfRule type="expression" priority="4" aboveAverage="0" equalAverage="0" bottom="0" percent="0" rank="0" text="" dxfId="10">
      <formula>F5="Not started"</formula>
    </cfRule>
  </conditionalFormatting>
  <conditionalFormatting sqref="S5:S97">
    <cfRule type="expression" priority="5" aboveAverage="0" equalAverage="0" bottom="0" percent="0" rank="0" text="" dxfId="10">
      <formula>S5="FAIL"</formula>
    </cfRule>
    <cfRule type="expression" priority="6" aboveAverage="0" equalAverage="0" bottom="0" percent="0" rank="0" text="" dxfId="8">
      <formula>S5="PASS"</formula>
    </cfRule>
  </conditionalFormatting>
  <dataValidations count="3">
    <dataValidation allowBlank="false" errorStyle="stop" operator="between" showDropDown="false" showErrorMessage="false" showInputMessage="false" sqref="D5:D97" type="list">
      <formula1>"Y,N"</formula1>
      <formula2>0</formula2>
    </dataValidation>
    <dataValidation allowBlank="false" errorStyle="stop" operator="between" showDropDown="false" showErrorMessage="false" showInputMessage="false" sqref="N5:N97" type="whole">
      <formula1>0</formula1>
      <formula2>4</formula2>
    </dataValidation>
    <dataValidation allowBlank="false" errorStyle="stop" operator="between" showDropDown="false" showErrorMessage="false" showInputMessage="false" sqref="H5:H97" type="list">
      <formula1>12_Lists!$D$5:$D$10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10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22"/>
  </cols>
  <sheetData>
    <row r="1" customFormat="false" ht="17.25" hidden="false" customHeight="true" outlineLevel="0" collapsed="false">
      <c r="A1" s="2" t="s">
        <v>652</v>
      </c>
    </row>
    <row r="2" customFormat="false" ht="15" hidden="false" customHeight="true" outlineLevel="0" collapsed="false">
      <c r="A2" s="3" t="s">
        <v>1</v>
      </c>
    </row>
    <row r="4" customFormat="false" ht="26.25" hidden="false" customHeight="true" outlineLevel="0" collapsed="false">
      <c r="A4" s="4" t="s">
        <v>58</v>
      </c>
      <c r="B4" s="4" t="s">
        <v>653</v>
      </c>
      <c r="C4" s="4" t="s">
        <v>654</v>
      </c>
      <c r="D4" s="4" t="s">
        <v>426</v>
      </c>
      <c r="E4" s="4" t="s">
        <v>655</v>
      </c>
      <c r="F4" s="4" t="s">
        <v>656</v>
      </c>
      <c r="G4" s="4" t="s">
        <v>657</v>
      </c>
      <c r="H4" s="4" t="s">
        <v>658</v>
      </c>
    </row>
    <row r="5" customFormat="false" ht="15" hidden="false" customHeight="true" outlineLevel="0" collapsed="false">
      <c r="A5" s="6" t="s">
        <v>81</v>
      </c>
      <c r="B5" s="8" t="n">
        <f aca="false">COUNTIF(02_SoA!$C$5:$C$97,A5)</f>
        <v>37</v>
      </c>
      <c r="C5" s="8" t="n">
        <f aca="false">COUNTIFS(02_SoA!$C$5:$C$97,A5,02_SoA!$D$5:$D$97,"Y")</f>
        <v>37</v>
      </c>
      <c r="D5" s="8" t="n">
        <f aca="false">B5-C5</f>
        <v>0</v>
      </c>
      <c r="E5" s="8" t="n">
        <f aca="false">COUNTIFS(02_SoA!$C$5:$C$97,A5,02_SoA!$F$5:$F$97,"Implemented")</f>
        <v>0</v>
      </c>
      <c r="F5" s="8" t="n">
        <f aca="false">COUNTIFS(02_SoA!$C$5:$C$97,A5,02_SoA!$F$5:$F$97,"Partial")</f>
        <v>31</v>
      </c>
      <c r="G5" s="8" t="n">
        <f aca="false">COUNTIFS(02_SoA!$C$5:$C$97,A5,02_SoA!$F$5:$F$97,"Not started")</f>
        <v>6</v>
      </c>
      <c r="H5" s="8" t="str">
        <f aca="false">IF(E5+F5+G5=C5,"PASS","FAIL")</f>
        <v>PASS</v>
      </c>
    </row>
    <row r="6" customFormat="false" ht="15" hidden="false" customHeight="true" outlineLevel="0" collapsed="false">
      <c r="A6" s="6" t="s">
        <v>365</v>
      </c>
      <c r="B6" s="8" t="n">
        <f aca="false">COUNTIF(02_SoA!$C$5:$C$97,A6)</f>
        <v>8</v>
      </c>
      <c r="C6" s="8" t="n">
        <f aca="false">COUNTIFS(02_SoA!$C$5:$C$97,A6,02_SoA!$D$5:$D$97,"Y")</f>
        <v>8</v>
      </c>
      <c r="D6" s="8" t="n">
        <f aca="false">B6-C6</f>
        <v>0</v>
      </c>
      <c r="E6" s="8" t="n">
        <f aca="false">COUNTIFS(02_SoA!$C$5:$C$97,A6,02_SoA!$F$5:$F$97,"Implemented")</f>
        <v>0</v>
      </c>
      <c r="F6" s="8" t="n">
        <f aca="false">COUNTIFS(02_SoA!$C$5:$C$97,A6,02_SoA!$F$5:$F$97,"Partial")</f>
        <v>5</v>
      </c>
      <c r="G6" s="8" t="n">
        <f aca="false">COUNTIFS(02_SoA!$C$5:$C$97,A6,02_SoA!$F$5:$F$97,"Not started")</f>
        <v>3</v>
      </c>
      <c r="H6" s="8" t="str">
        <f aca="false">IF(E6+F6+G6=C6,"PASS","FAIL")</f>
        <v>PASS</v>
      </c>
    </row>
    <row r="7" customFormat="false" ht="15" hidden="false" customHeight="true" outlineLevel="0" collapsed="false">
      <c r="A7" s="6" t="s">
        <v>409</v>
      </c>
      <c r="B7" s="8" t="n">
        <f aca="false">COUNTIF(02_SoA!$C$5:$C$97,A7)</f>
        <v>14</v>
      </c>
      <c r="C7" s="8" t="n">
        <f aca="false">COUNTIFS(02_SoA!$C$5:$C$97,A7,02_SoA!$D$5:$D$97,"Y")</f>
        <v>10</v>
      </c>
      <c r="D7" s="8" t="n">
        <f aca="false">B7-C7</f>
        <v>4</v>
      </c>
      <c r="E7" s="8" t="n">
        <f aca="false">COUNTIFS(02_SoA!$C$5:$C$97,A7,02_SoA!$F$5:$F$97,"Implemented")</f>
        <v>0</v>
      </c>
      <c r="F7" s="8" t="n">
        <f aca="false">COUNTIFS(02_SoA!$C$5:$C$97,A7,02_SoA!$F$5:$F$97,"Partial")</f>
        <v>3</v>
      </c>
      <c r="G7" s="8" t="n">
        <f aca="false">COUNTIFS(02_SoA!$C$5:$C$97,A7,02_SoA!$F$5:$F$97,"Not started")</f>
        <v>7</v>
      </c>
      <c r="H7" s="8" t="str">
        <f aca="false">IF(E7+F7+G7=C7,"PASS","FAIL")</f>
        <v>PASS</v>
      </c>
    </row>
    <row r="8" customFormat="false" ht="15" hidden="false" customHeight="true" outlineLevel="0" collapsed="false">
      <c r="A8" s="6" t="s">
        <v>470</v>
      </c>
      <c r="B8" s="8" t="n">
        <f aca="false">COUNTIF(02_SoA!$C$5:$C$97,A8)</f>
        <v>34</v>
      </c>
      <c r="C8" s="8" t="n">
        <f aca="false">COUNTIFS(02_SoA!$C$5:$C$97,A8,02_SoA!$D$5:$D$97,"Y")</f>
        <v>33</v>
      </c>
      <c r="D8" s="8" t="n">
        <f aca="false">B8-C8</f>
        <v>1</v>
      </c>
      <c r="E8" s="8" t="n">
        <f aca="false">COUNTIFS(02_SoA!$C$5:$C$97,A8,02_SoA!$F$5:$F$97,"Implemented")</f>
        <v>0</v>
      </c>
      <c r="F8" s="8" t="n">
        <f aca="false">COUNTIFS(02_SoA!$C$5:$C$97,A8,02_SoA!$F$5:$F$97,"Partial")</f>
        <v>6</v>
      </c>
      <c r="G8" s="8" t="n">
        <f aca="false">COUNTIFS(02_SoA!$C$5:$C$97,A8,02_SoA!$F$5:$F$97,"Not started")</f>
        <v>27</v>
      </c>
      <c r="H8" s="8" t="str">
        <f aca="false">IF(E8+F8+G8=C8,"PASS","FAIL")</f>
        <v>PASS</v>
      </c>
    </row>
    <row r="9" customFormat="false" ht="15" hidden="false" customHeight="true" outlineLevel="0" collapsed="false">
      <c r="A9" s="5" t="s">
        <v>659</v>
      </c>
      <c r="B9" s="13" t="n">
        <f aca="false">SUM(B5:B8)</f>
        <v>93</v>
      </c>
      <c r="C9" s="13" t="n">
        <f aca="false">SUM(C5:C8)</f>
        <v>88</v>
      </c>
      <c r="D9" s="13" t="n">
        <f aca="false">SUM(D5:D8)</f>
        <v>5</v>
      </c>
      <c r="E9" s="13" t="n">
        <f aca="false">SUM(E5:E8)</f>
        <v>0</v>
      </c>
      <c r="F9" s="13" t="n">
        <f aca="false">SUM(F5:F8)</f>
        <v>45</v>
      </c>
      <c r="G9" s="13" t="n">
        <f aca="false">SUM(G5:G8)</f>
        <v>43</v>
      </c>
      <c r="H9" s="13" t="str">
        <f aca="false">IF(AND(B9=93,E9+F9+G9=C9),"PASS","FAIL")</f>
        <v>PASS</v>
      </c>
    </row>
    <row r="11" customFormat="false" ht="15" hidden="false" customHeight="true" outlineLevel="0" collapsed="false">
      <c r="A11" s="5" t="s">
        <v>660</v>
      </c>
      <c r="B11" s="8" t="n">
        <f aca="false">SUM(02_SoA!R5:R97)</f>
        <v>22.5</v>
      </c>
    </row>
    <row r="12" customFormat="false" ht="15" hidden="false" customHeight="true" outlineLevel="0" collapsed="false">
      <c r="A12" s="5" t="s">
        <v>661</v>
      </c>
      <c r="B12" s="14" t="n">
        <f aca="false">IF(C9=0,0,B11/C9)</f>
        <v>0.255681818181818</v>
      </c>
    </row>
    <row r="13" customFormat="false" ht="15" hidden="false" customHeight="true" outlineLevel="0" collapsed="false">
      <c r="A13" s="5" t="s">
        <v>662</v>
      </c>
      <c r="B13" s="8" t="n">
        <f aca="false">COUNTIF(02_SoA!S5:S97,"FAIL")</f>
        <v>0</v>
      </c>
    </row>
    <row r="14" customFormat="false" ht="15" hidden="false" customHeight="true" outlineLevel="0" collapsed="false">
      <c r="A14" s="5" t="s">
        <v>663</v>
      </c>
      <c r="B14" s="8" t="n">
        <f aca="false">COUNTIF(02_SoA!O5:O97,"Y")</f>
        <v>55</v>
      </c>
    </row>
    <row r="15" customFormat="false" ht="15" hidden="false" customHeight="true" outlineLevel="0" collapsed="false">
      <c r="A15" s="5" t="s">
        <v>664</v>
      </c>
      <c r="B15" s="8" t="n">
        <f aca="false">COUNTIF(02_SoA!O5:O97,"N")</f>
        <v>38</v>
      </c>
    </row>
    <row r="16" customFormat="false" ht="15" hidden="false" customHeight="true" outlineLevel="0" collapsed="false">
      <c r="A16" s="5" t="s">
        <v>665</v>
      </c>
      <c r="B16" s="8" t="n">
        <f aca="false">COUNTIFS(02_SoA!O5:O97,"N",02_SoA!D5:D97,"Y")</f>
        <v>33</v>
      </c>
    </row>
    <row r="17" customFormat="false" ht="15" hidden="false" customHeight="true" outlineLevel="0" collapsed="false">
      <c r="A17" s="5" t="s">
        <v>666</v>
      </c>
      <c r="B17" s="8" t="n">
        <f aca="false">COUNTIFS(02_SoA!D5:D97,"Y",02_SoA!I5:I97,"&lt;&gt;-")</f>
        <v>75</v>
      </c>
    </row>
    <row r="18" customFormat="false" ht="15" hidden="false" customHeight="true" outlineLevel="0" collapsed="false">
      <c r="A18" s="5" t="s">
        <v>667</v>
      </c>
      <c r="B18" s="8" t="n">
        <f aca="false">COUNTIF(02_SoA!M5:M97,"*NOT risk-based*")</f>
        <v>10</v>
      </c>
    </row>
    <row r="20" customFormat="false" ht="39" hidden="false" customHeight="true" outlineLevel="0" collapsed="false">
      <c r="A20" s="4" t="s">
        <v>668</v>
      </c>
      <c r="B20" s="4" t="s">
        <v>669</v>
      </c>
    </row>
    <row r="21" customFormat="false" ht="15" hidden="false" customHeight="true" outlineLevel="0" collapsed="false">
      <c r="A21" s="6" t="n">
        <v>0</v>
      </c>
      <c r="B21" s="8" t="n">
        <f aca="false">COUNTIFS(02_SoA!D5:D97,"Y",02_SoA!N5:N97,0)</f>
        <v>43</v>
      </c>
    </row>
    <row r="22" customFormat="false" ht="15" hidden="false" customHeight="true" outlineLevel="0" collapsed="false">
      <c r="A22" s="6" t="n">
        <v>1</v>
      </c>
      <c r="B22" s="8" t="n">
        <f aca="false">COUNTIFS(02_SoA!D5:D97,"Y",02_SoA!N5:N97,1)</f>
        <v>23</v>
      </c>
    </row>
    <row r="23" customFormat="false" ht="15" hidden="false" customHeight="true" outlineLevel="0" collapsed="false">
      <c r="A23" s="6" t="n">
        <v>2</v>
      </c>
      <c r="B23" s="8" t="n">
        <f aca="false">COUNTIFS(02_SoA!D5:D97,"Y",02_SoA!N5:N97,2)</f>
        <v>22</v>
      </c>
    </row>
    <row r="24" customFormat="false" ht="15" hidden="false" customHeight="true" outlineLevel="0" collapsed="false">
      <c r="A24" s="6" t="n">
        <v>3</v>
      </c>
      <c r="B24" s="8" t="n">
        <f aca="false">COUNTIFS(02_SoA!D5:D97,"Y",02_SoA!N5:N97,3)</f>
        <v>0</v>
      </c>
    </row>
    <row r="25" customFormat="false" ht="15" hidden="false" customHeight="true" outlineLevel="0" collapsed="false">
      <c r="A25" s="6" t="n">
        <v>4</v>
      </c>
      <c r="B25" s="8" t="n">
        <f aca="false">COUNTIFS(02_SoA!D5:D97,"Y",02_SoA!N5:N97,4)</f>
        <v>0</v>
      </c>
    </row>
    <row r="27" customFormat="false" ht="51.75" hidden="false" customHeight="true" outlineLevel="0" collapsed="false">
      <c r="A27" s="4" t="s">
        <v>63</v>
      </c>
      <c r="B27" s="4" t="s">
        <v>670</v>
      </c>
    </row>
    <row r="28" customFormat="false" ht="15" hidden="false" customHeight="true" outlineLevel="0" collapsed="false">
      <c r="A28" s="6" t="s">
        <v>85</v>
      </c>
      <c r="B28" s="8" t="n">
        <f aca="false">COUNTIFS(02_SoA!D5:D97,"Y",02_SoA!H5:H97,A28)</f>
        <v>5</v>
      </c>
    </row>
    <row r="29" customFormat="false" ht="15" hidden="false" customHeight="true" outlineLevel="0" collapsed="false">
      <c r="A29" s="6" t="s">
        <v>106</v>
      </c>
      <c r="B29" s="8" t="n">
        <f aca="false">COUNTIFS(02_SoA!D5:D97,"Y",02_SoA!H5:H97,A29)</f>
        <v>39</v>
      </c>
    </row>
    <row r="30" customFormat="false" ht="15" hidden="false" customHeight="true" outlineLevel="0" collapsed="false">
      <c r="A30" s="6" t="s">
        <v>166</v>
      </c>
      <c r="B30" s="8" t="n">
        <f aca="false">COUNTIFS(02_SoA!D5:D97,"Y",02_SoA!H5:H97,A30)</f>
        <v>9</v>
      </c>
    </row>
    <row r="31" customFormat="false" ht="15" hidden="false" customHeight="true" outlineLevel="0" collapsed="false">
      <c r="A31" s="6" t="s">
        <v>157</v>
      </c>
      <c r="B31" s="8" t="n">
        <f aca="false">COUNTIFS(02_SoA!D5:D97,"Y",02_SoA!H5:H97,A31)</f>
        <v>34</v>
      </c>
    </row>
    <row r="32" customFormat="false" ht="15" hidden="false" customHeight="true" outlineLevel="0" collapsed="false">
      <c r="A32" s="6" t="s">
        <v>122</v>
      </c>
      <c r="B32" s="8" t="n">
        <f aca="false">COUNTIFS(02_SoA!D5:D97,"Y",02_SoA!H5:H97,A32)</f>
        <v>1</v>
      </c>
    </row>
    <row r="33" customFormat="false" ht="15" hidden="false" customHeight="true" outlineLevel="0" collapsed="false">
      <c r="A33" s="6" t="s">
        <v>671</v>
      </c>
      <c r="B33" s="8" t="n">
        <f aca="false">COUNTIFS(02_SoA!D5:D97,"Y",02_SoA!H5:H97,A33)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0"/>
    <col collapsed="false" customWidth="true" hidden="false" outlineLevel="0" max="3" min="3" style="1" width="9"/>
    <col collapsed="false" customWidth="true" hidden="false" outlineLevel="0" max="4" min="4" style="1" width="8"/>
    <col collapsed="false" customWidth="true" hidden="false" outlineLevel="0" max="6" min="5" style="1" width="42"/>
    <col collapsed="false" customWidth="true" hidden="false" outlineLevel="0" max="7" min="7" style="1" width="36"/>
    <col collapsed="false" customWidth="true" hidden="false" outlineLevel="0" max="8" min="8" style="1" width="22"/>
    <col collapsed="false" customWidth="true" hidden="false" outlineLevel="0" max="9" min="9" style="1" width="18"/>
    <col collapsed="false" customWidth="true" hidden="false" outlineLevel="0" max="10" min="10" style="1" width="12"/>
    <col collapsed="false" customWidth="true" hidden="false" outlineLevel="0" max="12" min="11" style="1" width="10"/>
  </cols>
  <sheetData>
    <row r="1" customFormat="false" ht="17.25" hidden="false" customHeight="true" outlineLevel="0" collapsed="false">
      <c r="A1" s="2" t="s">
        <v>672</v>
      </c>
    </row>
    <row r="2" customFormat="false" ht="15" hidden="false" customHeight="true" outlineLevel="0" collapsed="false">
      <c r="A2" s="3" t="s">
        <v>1</v>
      </c>
    </row>
    <row r="4" customFormat="false" ht="39" hidden="false" customHeight="true" outlineLevel="0" collapsed="false">
      <c r="A4" s="4" t="s">
        <v>673</v>
      </c>
      <c r="B4" s="4" t="s">
        <v>674</v>
      </c>
      <c r="C4" s="4" t="s">
        <v>675</v>
      </c>
      <c r="D4" s="4" t="s">
        <v>676</v>
      </c>
      <c r="E4" s="4" t="s">
        <v>677</v>
      </c>
      <c r="F4" s="4" t="s">
        <v>678</v>
      </c>
      <c r="G4" s="4" t="s">
        <v>679</v>
      </c>
      <c r="H4" s="4" t="s">
        <v>63</v>
      </c>
      <c r="I4" s="4" t="s">
        <v>680</v>
      </c>
      <c r="J4" s="4" t="s">
        <v>681</v>
      </c>
      <c r="K4" s="4" t="s">
        <v>682</v>
      </c>
      <c r="L4" s="4" t="s">
        <v>683</v>
      </c>
    </row>
    <row r="5" customFormat="false" ht="34.5" hidden="false" customHeight="true" outlineLevel="0" collapsed="false">
      <c r="A5" s="6" t="s">
        <v>684</v>
      </c>
      <c r="B5" s="6" t="s">
        <v>685</v>
      </c>
      <c r="C5" s="6" t="s">
        <v>152</v>
      </c>
      <c r="D5" s="7" t="n">
        <v>1</v>
      </c>
      <c r="E5" s="6" t="s">
        <v>686</v>
      </c>
      <c r="F5" s="6" t="s">
        <v>687</v>
      </c>
      <c r="G5" s="6" t="s">
        <v>688</v>
      </c>
      <c r="H5" s="6" t="s">
        <v>85</v>
      </c>
      <c r="I5" s="6" t="s">
        <v>322</v>
      </c>
      <c r="J5" s="6" t="s">
        <v>88</v>
      </c>
      <c r="K5" s="8" t="str">
        <f aca="false">IF(AND(C5="Y",D5&lt;2),"YES","no")</f>
        <v>no</v>
      </c>
      <c r="L5" s="8" t="str">
        <f aca="false">IF(D5=2,"Met",IF(D5=1,"Partial","Absent"))</f>
        <v>Partial</v>
      </c>
    </row>
    <row r="6" customFormat="false" ht="34.5" hidden="false" customHeight="true" outlineLevel="0" collapsed="false">
      <c r="A6" s="6" t="s">
        <v>689</v>
      </c>
      <c r="B6" s="6" t="s">
        <v>690</v>
      </c>
      <c r="C6" s="6" t="s">
        <v>152</v>
      </c>
      <c r="D6" s="7" t="n">
        <v>1</v>
      </c>
      <c r="E6" s="6" t="s">
        <v>691</v>
      </c>
      <c r="F6" s="6" t="s">
        <v>692</v>
      </c>
      <c r="G6" s="6" t="s">
        <v>693</v>
      </c>
      <c r="H6" s="6" t="s">
        <v>85</v>
      </c>
      <c r="I6" s="6" t="s">
        <v>322</v>
      </c>
      <c r="J6" s="6" t="s">
        <v>88</v>
      </c>
      <c r="K6" s="8" t="str">
        <f aca="false">IF(AND(C6="Y",D6&lt;2),"YES","no")</f>
        <v>no</v>
      </c>
      <c r="L6" s="8" t="str">
        <f aca="false">IF(D6=2,"Met",IF(D6=1,"Partial","Absent"))</f>
        <v>Partial</v>
      </c>
    </row>
    <row r="7" customFormat="false" ht="23.25" hidden="false" customHeight="true" outlineLevel="0" collapsed="false">
      <c r="A7" s="6" t="s">
        <v>694</v>
      </c>
      <c r="B7" s="6" t="s">
        <v>695</v>
      </c>
      <c r="C7" s="6" t="s">
        <v>82</v>
      </c>
      <c r="D7" s="7" t="n">
        <v>1</v>
      </c>
      <c r="E7" s="6" t="s">
        <v>696</v>
      </c>
      <c r="F7" s="6" t="s">
        <v>697</v>
      </c>
      <c r="G7" s="6" t="s">
        <v>698</v>
      </c>
      <c r="H7" s="6" t="s">
        <v>85</v>
      </c>
      <c r="I7" s="6" t="s">
        <v>699</v>
      </c>
      <c r="J7" s="6" t="s">
        <v>88</v>
      </c>
      <c r="K7" s="8" t="str">
        <f aca="false">IF(AND(C7="Y",D7&lt;2),"YES","no")</f>
        <v>YES</v>
      </c>
      <c r="L7" s="8" t="str">
        <f aca="false">IF(D7=2,"Met",IF(D7=1,"Partial","Absent"))</f>
        <v>Partial</v>
      </c>
    </row>
    <row r="8" customFormat="false" ht="34.5" hidden="false" customHeight="true" outlineLevel="0" collapsed="false">
      <c r="A8" s="6" t="s">
        <v>700</v>
      </c>
      <c r="B8" s="6" t="s">
        <v>701</v>
      </c>
      <c r="C8" s="6" t="s">
        <v>152</v>
      </c>
      <c r="D8" s="7" t="n">
        <v>1</v>
      </c>
      <c r="E8" s="6" t="s">
        <v>702</v>
      </c>
      <c r="F8" s="6" t="s">
        <v>703</v>
      </c>
      <c r="G8" s="6" t="s">
        <v>704</v>
      </c>
      <c r="H8" s="6" t="s">
        <v>106</v>
      </c>
      <c r="I8" s="6" t="s">
        <v>705</v>
      </c>
      <c r="J8" s="6" t="s">
        <v>115</v>
      </c>
      <c r="K8" s="8" t="str">
        <f aca="false">IF(AND(C8="Y",D8&lt;2),"YES","no")</f>
        <v>no</v>
      </c>
      <c r="L8" s="8" t="str">
        <f aca="false">IF(D8=2,"Met",IF(D8=1,"Partial","Absent"))</f>
        <v>Partial</v>
      </c>
    </row>
    <row r="9" customFormat="false" ht="34.5" hidden="false" customHeight="true" outlineLevel="0" collapsed="false">
      <c r="A9" s="6" t="s">
        <v>706</v>
      </c>
      <c r="B9" s="6" t="s">
        <v>707</v>
      </c>
      <c r="C9" s="6" t="s">
        <v>152</v>
      </c>
      <c r="D9" s="7" t="n">
        <v>1</v>
      </c>
      <c r="E9" s="6" t="s">
        <v>708</v>
      </c>
      <c r="F9" s="6" t="s">
        <v>709</v>
      </c>
      <c r="G9" s="6" t="s">
        <v>710</v>
      </c>
      <c r="H9" s="6" t="s">
        <v>85</v>
      </c>
      <c r="I9" s="6" t="s">
        <v>711</v>
      </c>
      <c r="J9" s="6" t="s">
        <v>88</v>
      </c>
      <c r="K9" s="8" t="str">
        <f aca="false">IF(AND(C9="Y",D9&lt;2),"YES","no")</f>
        <v>no</v>
      </c>
      <c r="L9" s="8" t="str">
        <f aca="false">IF(D9=2,"Met",IF(D9=1,"Partial","Absent"))</f>
        <v>Partial</v>
      </c>
    </row>
    <row r="10" customFormat="false" ht="34.5" hidden="false" customHeight="true" outlineLevel="0" collapsed="false">
      <c r="A10" s="6" t="s">
        <v>712</v>
      </c>
      <c r="B10" s="6" t="s">
        <v>713</v>
      </c>
      <c r="C10" s="6" t="s">
        <v>152</v>
      </c>
      <c r="D10" s="7" t="n">
        <v>1</v>
      </c>
      <c r="E10" s="6" t="s">
        <v>714</v>
      </c>
      <c r="F10" s="6" t="s">
        <v>715</v>
      </c>
      <c r="G10" s="6" t="s">
        <v>716</v>
      </c>
      <c r="H10" s="6" t="s">
        <v>85</v>
      </c>
      <c r="I10" s="6" t="s">
        <v>711</v>
      </c>
      <c r="J10" s="6" t="s">
        <v>88</v>
      </c>
      <c r="K10" s="8" t="str">
        <f aca="false">IF(AND(C10="Y",D10&lt;2),"YES","no")</f>
        <v>no</v>
      </c>
      <c r="L10" s="8" t="str">
        <f aca="false">IF(D10=2,"Met",IF(D10=1,"Partial","Absent"))</f>
        <v>Partial</v>
      </c>
    </row>
    <row r="11" customFormat="false" ht="23.25" hidden="false" customHeight="true" outlineLevel="0" collapsed="false">
      <c r="A11" s="6" t="s">
        <v>717</v>
      </c>
      <c r="B11" s="6" t="s">
        <v>718</v>
      </c>
      <c r="C11" s="6" t="s">
        <v>152</v>
      </c>
      <c r="D11" s="7" t="n">
        <v>1</v>
      </c>
      <c r="E11" s="6" t="s">
        <v>719</v>
      </c>
      <c r="F11" s="6" t="s">
        <v>720</v>
      </c>
      <c r="G11" s="6" t="s">
        <v>721</v>
      </c>
      <c r="H11" s="6" t="s">
        <v>85</v>
      </c>
      <c r="I11" s="6" t="s">
        <v>101</v>
      </c>
      <c r="J11" s="6" t="s">
        <v>88</v>
      </c>
      <c r="K11" s="8" t="str">
        <f aca="false">IF(AND(C11="Y",D11&lt;2),"YES","no")</f>
        <v>no</v>
      </c>
      <c r="L11" s="8" t="str">
        <f aca="false">IF(D11=2,"Met",IF(D11=1,"Partial","Absent"))</f>
        <v>Partial</v>
      </c>
    </row>
    <row r="12" customFormat="false" ht="23.25" hidden="false" customHeight="true" outlineLevel="0" collapsed="false">
      <c r="A12" s="6" t="s">
        <v>722</v>
      </c>
      <c r="B12" s="6" t="s">
        <v>723</v>
      </c>
      <c r="C12" s="6" t="s">
        <v>152</v>
      </c>
      <c r="D12" s="7" t="n">
        <v>0</v>
      </c>
      <c r="E12" s="6" t="s">
        <v>724</v>
      </c>
      <c r="F12" s="6" t="s">
        <v>725</v>
      </c>
      <c r="G12" s="6" t="s">
        <v>726</v>
      </c>
      <c r="H12" s="6" t="s">
        <v>106</v>
      </c>
      <c r="I12" s="6" t="s">
        <v>705</v>
      </c>
      <c r="J12" s="6" t="s">
        <v>115</v>
      </c>
      <c r="K12" s="8" t="str">
        <f aca="false">IF(AND(C12="Y",D12&lt;2),"YES","no")</f>
        <v>no</v>
      </c>
      <c r="L12" s="8" t="str">
        <f aca="false">IF(D12=2,"Met",IF(D12=1,"Partial","Absent"))</f>
        <v>Absent</v>
      </c>
    </row>
    <row r="13" customFormat="false" ht="34.5" hidden="false" customHeight="true" outlineLevel="0" collapsed="false">
      <c r="A13" s="6" t="s">
        <v>727</v>
      </c>
      <c r="B13" s="6" t="s">
        <v>728</v>
      </c>
      <c r="C13" s="6" t="s">
        <v>82</v>
      </c>
      <c r="D13" s="7" t="n">
        <v>1</v>
      </c>
      <c r="E13" s="6" t="s">
        <v>729</v>
      </c>
      <c r="F13" s="6" t="s">
        <v>730</v>
      </c>
      <c r="G13" s="6" t="s">
        <v>731</v>
      </c>
      <c r="H13" s="6" t="s">
        <v>85</v>
      </c>
      <c r="I13" s="6" t="s">
        <v>732</v>
      </c>
      <c r="J13" s="6" t="s">
        <v>88</v>
      </c>
      <c r="K13" s="8" t="str">
        <f aca="false">IF(AND(C13="Y",D13&lt;2),"YES","no")</f>
        <v>YES</v>
      </c>
      <c r="L13" s="8" t="str">
        <f aca="false">IF(D13=2,"Met",IF(D13=1,"Partial","Absent"))</f>
        <v>Partial</v>
      </c>
    </row>
    <row r="14" customFormat="false" ht="34.5" hidden="false" customHeight="true" outlineLevel="0" collapsed="false">
      <c r="A14" s="6" t="s">
        <v>733</v>
      </c>
      <c r="B14" s="6" t="s">
        <v>734</v>
      </c>
      <c r="C14" s="6" t="s">
        <v>82</v>
      </c>
      <c r="D14" s="7" t="n">
        <v>1</v>
      </c>
      <c r="E14" s="6" t="s">
        <v>735</v>
      </c>
      <c r="F14" s="6" t="s">
        <v>736</v>
      </c>
      <c r="G14" s="6" t="s">
        <v>737</v>
      </c>
      <c r="H14" s="6" t="s">
        <v>85</v>
      </c>
      <c r="I14" s="6" t="s">
        <v>738</v>
      </c>
      <c r="J14" s="6" t="s">
        <v>739</v>
      </c>
      <c r="K14" s="8" t="str">
        <f aca="false">IF(AND(C14="Y",D14&lt;2),"YES","no")</f>
        <v>YES</v>
      </c>
      <c r="L14" s="8" t="str">
        <f aca="false">IF(D14=2,"Met",IF(D14=1,"Partial","Absent"))</f>
        <v>Partial</v>
      </c>
    </row>
    <row r="15" customFormat="false" ht="23.25" hidden="false" customHeight="true" outlineLevel="0" collapsed="false">
      <c r="A15" s="6" t="s">
        <v>740</v>
      </c>
      <c r="B15" s="6" t="s">
        <v>741</v>
      </c>
      <c r="C15" s="6" t="s">
        <v>152</v>
      </c>
      <c r="D15" s="7" t="n">
        <v>0</v>
      </c>
      <c r="E15" s="6" t="s">
        <v>742</v>
      </c>
      <c r="F15" s="6" t="s">
        <v>743</v>
      </c>
      <c r="G15" s="6" t="s">
        <v>744</v>
      </c>
      <c r="H15" s="6" t="s">
        <v>106</v>
      </c>
      <c r="I15" s="6" t="s">
        <v>745</v>
      </c>
      <c r="J15" s="6" t="s">
        <v>739</v>
      </c>
      <c r="K15" s="8" t="str">
        <f aca="false">IF(AND(C15="Y",D15&lt;2),"YES","no")</f>
        <v>no</v>
      </c>
      <c r="L15" s="8" t="str">
        <f aca="false">IF(D15=2,"Met",IF(D15=1,"Partial","Absent"))</f>
        <v>Absent</v>
      </c>
    </row>
    <row r="16" customFormat="false" ht="23.25" hidden="false" customHeight="true" outlineLevel="0" collapsed="false">
      <c r="A16" s="6" t="s">
        <v>746</v>
      </c>
      <c r="B16" s="6" t="s">
        <v>747</v>
      </c>
      <c r="C16" s="6" t="s">
        <v>152</v>
      </c>
      <c r="D16" s="7" t="n">
        <v>0</v>
      </c>
      <c r="E16" s="6" t="s">
        <v>724</v>
      </c>
      <c r="F16" s="6" t="s">
        <v>748</v>
      </c>
      <c r="G16" s="6" t="s">
        <v>749</v>
      </c>
      <c r="H16" s="6" t="s">
        <v>106</v>
      </c>
      <c r="I16" s="6" t="s">
        <v>705</v>
      </c>
      <c r="J16" s="6" t="s">
        <v>115</v>
      </c>
      <c r="K16" s="8" t="str">
        <f aca="false">IF(AND(C16="Y",D16&lt;2),"YES","no")</f>
        <v>no</v>
      </c>
      <c r="L16" s="8" t="str">
        <f aca="false">IF(D16=2,"Met",IF(D16=1,"Partial","Absent"))</f>
        <v>Absent</v>
      </c>
    </row>
    <row r="17" customFormat="false" ht="23.25" hidden="false" customHeight="true" outlineLevel="0" collapsed="false">
      <c r="A17" s="6" t="s">
        <v>750</v>
      </c>
      <c r="B17" s="6" t="s">
        <v>751</v>
      </c>
      <c r="C17" s="6" t="s">
        <v>152</v>
      </c>
      <c r="D17" s="7" t="n">
        <v>1</v>
      </c>
      <c r="E17" s="6" t="s">
        <v>752</v>
      </c>
      <c r="F17" s="6" t="s">
        <v>753</v>
      </c>
      <c r="G17" s="6" t="s">
        <v>754</v>
      </c>
      <c r="H17" s="6" t="s">
        <v>85</v>
      </c>
      <c r="I17" s="6" t="s">
        <v>711</v>
      </c>
      <c r="J17" s="6" t="s">
        <v>88</v>
      </c>
      <c r="K17" s="8" t="str">
        <f aca="false">IF(AND(C17="Y",D17&lt;2),"YES","no")</f>
        <v>no</v>
      </c>
      <c r="L17" s="8" t="str">
        <f aca="false">IF(D17=2,"Met",IF(D17=1,"Partial","Absent"))</f>
        <v>Partial</v>
      </c>
    </row>
    <row r="18" customFormat="false" ht="23.25" hidden="false" customHeight="true" outlineLevel="0" collapsed="false">
      <c r="A18" s="6" t="s">
        <v>755</v>
      </c>
      <c r="B18" s="6" t="s">
        <v>756</v>
      </c>
      <c r="C18" s="6" t="s">
        <v>152</v>
      </c>
      <c r="D18" s="7" t="n">
        <v>0</v>
      </c>
      <c r="E18" s="6" t="s">
        <v>757</v>
      </c>
      <c r="F18" s="6" t="s">
        <v>758</v>
      </c>
      <c r="G18" s="6" t="s">
        <v>759</v>
      </c>
      <c r="H18" s="6" t="s">
        <v>166</v>
      </c>
      <c r="I18" s="6" t="s">
        <v>760</v>
      </c>
      <c r="J18" s="6" t="s">
        <v>108</v>
      </c>
      <c r="K18" s="8" t="str">
        <f aca="false">IF(AND(C18="Y",D18&lt;2),"YES","no")</f>
        <v>no</v>
      </c>
      <c r="L18" s="8" t="str">
        <f aca="false">IF(D18=2,"Met",IF(D18=1,"Partial","Absent"))</f>
        <v>Absent</v>
      </c>
    </row>
    <row r="19" customFormat="false" ht="23.25" hidden="false" customHeight="true" outlineLevel="0" collapsed="false">
      <c r="A19" s="6" t="s">
        <v>761</v>
      </c>
      <c r="B19" s="6" t="s">
        <v>762</v>
      </c>
      <c r="C19" s="6" t="s">
        <v>152</v>
      </c>
      <c r="D19" s="7" t="n">
        <v>1</v>
      </c>
      <c r="E19" s="6" t="s">
        <v>763</v>
      </c>
      <c r="F19" s="6" t="s">
        <v>764</v>
      </c>
      <c r="G19" s="6" t="s">
        <v>765</v>
      </c>
      <c r="H19" s="6" t="s">
        <v>166</v>
      </c>
      <c r="I19" s="6" t="s">
        <v>766</v>
      </c>
      <c r="J19" s="6" t="s">
        <v>108</v>
      </c>
      <c r="K19" s="8" t="str">
        <f aca="false">IF(AND(C19="Y",D19&lt;2),"YES","no")</f>
        <v>no</v>
      </c>
      <c r="L19" s="8" t="str">
        <f aca="false">IF(D19=2,"Met",IF(D19=1,"Partial","Absent"))</f>
        <v>Partial</v>
      </c>
    </row>
    <row r="20" customFormat="false" ht="23.25" hidden="false" customHeight="true" outlineLevel="0" collapsed="false">
      <c r="A20" s="6" t="s">
        <v>767</v>
      </c>
      <c r="B20" s="6" t="s">
        <v>768</v>
      </c>
      <c r="C20" s="6" t="s">
        <v>152</v>
      </c>
      <c r="D20" s="7" t="n">
        <v>1</v>
      </c>
      <c r="E20" s="6" t="s">
        <v>769</v>
      </c>
      <c r="F20" s="6" t="s">
        <v>770</v>
      </c>
      <c r="G20" s="6" t="s">
        <v>771</v>
      </c>
      <c r="H20" s="6" t="s">
        <v>106</v>
      </c>
      <c r="I20" s="6" t="s">
        <v>705</v>
      </c>
      <c r="J20" s="6" t="s">
        <v>115</v>
      </c>
      <c r="K20" s="8" t="str">
        <f aca="false">IF(AND(C20="Y",D20&lt;2),"YES","no")</f>
        <v>no</v>
      </c>
      <c r="L20" s="8" t="str">
        <f aca="false">IF(D20=2,"Met",IF(D20=1,"Partial","Absent"))</f>
        <v>Partial</v>
      </c>
    </row>
    <row r="21" customFormat="false" ht="23.25" hidden="false" customHeight="true" outlineLevel="0" collapsed="false">
      <c r="A21" s="6" t="s">
        <v>772</v>
      </c>
      <c r="B21" s="6" t="s">
        <v>773</v>
      </c>
      <c r="C21" s="6" t="s">
        <v>152</v>
      </c>
      <c r="D21" s="7" t="n">
        <v>1</v>
      </c>
      <c r="E21" s="6" t="s">
        <v>774</v>
      </c>
      <c r="F21" s="6" t="s">
        <v>775</v>
      </c>
      <c r="G21" s="6" t="s">
        <v>776</v>
      </c>
      <c r="H21" s="6" t="s">
        <v>106</v>
      </c>
      <c r="I21" s="6" t="s">
        <v>705</v>
      </c>
      <c r="J21" s="6" t="s">
        <v>115</v>
      </c>
      <c r="K21" s="8" t="str">
        <f aca="false">IF(AND(C21="Y",D21&lt;2),"YES","no")</f>
        <v>no</v>
      </c>
      <c r="L21" s="8" t="str">
        <f aca="false">IF(D21=2,"Met",IF(D21=1,"Partial","Absent"))</f>
        <v>Partial</v>
      </c>
    </row>
    <row r="22" customFormat="false" ht="23.25" hidden="false" customHeight="true" outlineLevel="0" collapsed="false">
      <c r="A22" s="6" t="s">
        <v>777</v>
      </c>
      <c r="B22" s="6" t="s">
        <v>778</v>
      </c>
      <c r="C22" s="6" t="s">
        <v>152</v>
      </c>
      <c r="D22" s="7" t="n">
        <v>1</v>
      </c>
      <c r="E22" s="6" t="s">
        <v>779</v>
      </c>
      <c r="F22" s="6" t="s">
        <v>780</v>
      </c>
      <c r="G22" s="6" t="s">
        <v>781</v>
      </c>
      <c r="H22" s="6" t="s">
        <v>106</v>
      </c>
      <c r="I22" s="6" t="s">
        <v>738</v>
      </c>
      <c r="J22" s="6" t="s">
        <v>108</v>
      </c>
      <c r="K22" s="8" t="str">
        <f aca="false">IF(AND(C22="Y",D22&lt;2),"YES","no")</f>
        <v>no</v>
      </c>
      <c r="L22" s="8" t="str">
        <f aca="false">IF(D22=2,"Met",IF(D22=1,"Partial","Absent"))</f>
        <v>Partial</v>
      </c>
    </row>
    <row r="23" customFormat="false" ht="23.25" hidden="false" customHeight="true" outlineLevel="0" collapsed="false">
      <c r="A23" s="6" t="s">
        <v>782</v>
      </c>
      <c r="B23" s="6" t="s">
        <v>783</v>
      </c>
      <c r="C23" s="6" t="s">
        <v>152</v>
      </c>
      <c r="D23" s="7" t="n">
        <v>2</v>
      </c>
      <c r="E23" s="6" t="s">
        <v>784</v>
      </c>
      <c r="F23" s="6" t="s">
        <v>785</v>
      </c>
      <c r="G23" s="6" t="s">
        <v>786</v>
      </c>
      <c r="H23" s="6" t="s">
        <v>106</v>
      </c>
      <c r="I23" s="6" t="s">
        <v>787</v>
      </c>
      <c r="J23" s="6" t="s">
        <v>88</v>
      </c>
      <c r="K23" s="8" t="str">
        <f aca="false">IF(AND(C23="Y",D23&lt;2),"YES","no")</f>
        <v>no</v>
      </c>
      <c r="L23" s="8" t="str">
        <f aca="false">IF(D23=2,"Met",IF(D23=1,"Partial","Absent"))</f>
        <v>Met</v>
      </c>
    </row>
    <row r="24" customFormat="false" ht="23.25" hidden="false" customHeight="true" outlineLevel="0" collapsed="false">
      <c r="A24" s="6" t="s">
        <v>788</v>
      </c>
      <c r="B24" s="6" t="s">
        <v>789</v>
      </c>
      <c r="C24" s="6" t="s">
        <v>152</v>
      </c>
      <c r="D24" s="7" t="n">
        <v>1</v>
      </c>
      <c r="E24" s="6" t="s">
        <v>790</v>
      </c>
      <c r="F24" s="6" t="s">
        <v>791</v>
      </c>
      <c r="G24" s="6" t="s">
        <v>792</v>
      </c>
      <c r="H24" s="6" t="s">
        <v>106</v>
      </c>
      <c r="I24" s="6" t="s">
        <v>738</v>
      </c>
      <c r="J24" s="6" t="s">
        <v>108</v>
      </c>
      <c r="K24" s="8" t="str">
        <f aca="false">IF(AND(C24="Y",D24&lt;2),"YES","no")</f>
        <v>no</v>
      </c>
      <c r="L24" s="8" t="str">
        <f aca="false">IF(D24=2,"Met",IF(D24=1,"Partial","Absent"))</f>
        <v>Partial</v>
      </c>
    </row>
    <row r="25" customFormat="false" ht="23.25" hidden="false" customHeight="true" outlineLevel="0" collapsed="false">
      <c r="A25" s="6" t="s">
        <v>793</v>
      </c>
      <c r="B25" s="6" t="s">
        <v>794</v>
      </c>
      <c r="C25" s="6" t="s">
        <v>152</v>
      </c>
      <c r="D25" s="7" t="n">
        <v>1</v>
      </c>
      <c r="E25" s="6" t="s">
        <v>795</v>
      </c>
      <c r="F25" s="6" t="s">
        <v>796</v>
      </c>
      <c r="G25" s="6" t="s">
        <v>797</v>
      </c>
      <c r="H25" s="6" t="s">
        <v>106</v>
      </c>
      <c r="I25" s="6" t="s">
        <v>798</v>
      </c>
      <c r="J25" s="6" t="s">
        <v>108</v>
      </c>
      <c r="K25" s="8" t="str">
        <f aca="false">IF(AND(C25="Y",D25&lt;2),"YES","no")</f>
        <v>no</v>
      </c>
      <c r="L25" s="8" t="str">
        <f aca="false">IF(D25=2,"Met",IF(D25=1,"Partial","Absent"))</f>
        <v>Partial</v>
      </c>
    </row>
    <row r="26" customFormat="false" ht="23.25" hidden="false" customHeight="true" outlineLevel="0" collapsed="false">
      <c r="A26" s="6" t="s">
        <v>799</v>
      </c>
      <c r="B26" s="6" t="s">
        <v>800</v>
      </c>
      <c r="C26" s="6" t="s">
        <v>82</v>
      </c>
      <c r="D26" s="7" t="n">
        <v>0</v>
      </c>
      <c r="E26" s="6" t="s">
        <v>724</v>
      </c>
      <c r="F26" s="6" t="s">
        <v>801</v>
      </c>
      <c r="G26" s="6" t="s">
        <v>802</v>
      </c>
      <c r="H26" s="6" t="s">
        <v>85</v>
      </c>
      <c r="I26" s="6" t="s">
        <v>350</v>
      </c>
      <c r="J26" s="6" t="s">
        <v>349</v>
      </c>
      <c r="K26" s="8" t="str">
        <f aca="false">IF(AND(C26="Y",D26&lt;2),"YES","no")</f>
        <v>YES</v>
      </c>
      <c r="L26" s="8" t="str">
        <f aca="false">IF(D26=2,"Met",IF(D26=1,"Partial","Absent"))</f>
        <v>Absent</v>
      </c>
    </row>
    <row r="27" customFormat="false" ht="34.5" hidden="false" customHeight="true" outlineLevel="0" collapsed="false">
      <c r="A27" s="6" t="s">
        <v>803</v>
      </c>
      <c r="B27" s="6" t="s">
        <v>804</v>
      </c>
      <c r="C27" s="6" t="s">
        <v>82</v>
      </c>
      <c r="D27" s="7" t="n">
        <v>0</v>
      </c>
      <c r="E27" s="6" t="s">
        <v>724</v>
      </c>
      <c r="F27" s="6" t="s">
        <v>805</v>
      </c>
      <c r="G27" s="6" t="s">
        <v>806</v>
      </c>
      <c r="H27" s="6" t="s">
        <v>85</v>
      </c>
      <c r="I27" s="6" t="s">
        <v>350</v>
      </c>
      <c r="J27" s="6" t="s">
        <v>108</v>
      </c>
      <c r="K27" s="8" t="str">
        <f aca="false">IF(AND(C27="Y",D27&lt;2),"YES","no")</f>
        <v>YES</v>
      </c>
      <c r="L27" s="8" t="str">
        <f aca="false">IF(D27=2,"Met",IF(D27=1,"Partial","Absent"))</f>
        <v>Absent</v>
      </c>
    </row>
    <row r="28" customFormat="false" ht="23.25" hidden="false" customHeight="true" outlineLevel="0" collapsed="false">
      <c r="A28" s="6" t="s">
        <v>807</v>
      </c>
      <c r="B28" s="6" t="s">
        <v>808</v>
      </c>
      <c r="C28" s="6" t="s">
        <v>82</v>
      </c>
      <c r="D28" s="7" t="n">
        <v>0</v>
      </c>
      <c r="E28" s="6" t="s">
        <v>809</v>
      </c>
      <c r="F28" s="6" t="s">
        <v>810</v>
      </c>
      <c r="G28" s="6" t="s">
        <v>811</v>
      </c>
      <c r="H28" s="6" t="s">
        <v>85</v>
      </c>
      <c r="I28" s="6" t="s">
        <v>812</v>
      </c>
      <c r="J28" s="6" t="s">
        <v>108</v>
      </c>
      <c r="K28" s="8" t="str">
        <f aca="false">IF(AND(C28="Y",D28&lt;2),"YES","no")</f>
        <v>YES</v>
      </c>
      <c r="L28" s="8" t="str">
        <f aca="false">IF(D28=2,"Met",IF(D28=1,"Partial","Absent"))</f>
        <v>Absent</v>
      </c>
    </row>
    <row r="29" customFormat="false" ht="23.25" hidden="false" customHeight="true" outlineLevel="0" collapsed="false">
      <c r="A29" s="6" t="s">
        <v>813</v>
      </c>
      <c r="B29" s="6" t="s">
        <v>814</v>
      </c>
      <c r="C29" s="6" t="s">
        <v>82</v>
      </c>
      <c r="D29" s="7" t="n">
        <v>0</v>
      </c>
      <c r="E29" s="6" t="s">
        <v>724</v>
      </c>
      <c r="F29" s="6" t="s">
        <v>815</v>
      </c>
      <c r="G29" s="6" t="s">
        <v>816</v>
      </c>
      <c r="H29" s="6" t="s">
        <v>85</v>
      </c>
      <c r="I29" s="6" t="s">
        <v>817</v>
      </c>
      <c r="J29" s="6" t="s">
        <v>108</v>
      </c>
      <c r="K29" s="8" t="str">
        <f aca="false">IF(AND(C29="Y",D29&lt;2),"YES","no")</f>
        <v>YES</v>
      </c>
      <c r="L29" s="8" t="str">
        <f aca="false">IF(D29=2,"Met",IF(D29=1,"Partial","Absent"))</f>
        <v>Absent</v>
      </c>
    </row>
    <row r="30" customFormat="false" ht="23.25" hidden="false" customHeight="true" outlineLevel="0" collapsed="false">
      <c r="A30" s="6" t="s">
        <v>818</v>
      </c>
      <c r="B30" s="6" t="s">
        <v>819</v>
      </c>
      <c r="C30" s="6" t="s">
        <v>82</v>
      </c>
      <c r="D30" s="7" t="n">
        <v>0</v>
      </c>
      <c r="E30" s="6" t="s">
        <v>724</v>
      </c>
      <c r="F30" s="6" t="s">
        <v>810</v>
      </c>
      <c r="G30" s="6" t="s">
        <v>820</v>
      </c>
      <c r="H30" s="6" t="s">
        <v>85</v>
      </c>
      <c r="I30" s="6" t="s">
        <v>817</v>
      </c>
      <c r="J30" s="6" t="s">
        <v>108</v>
      </c>
      <c r="K30" s="8" t="str">
        <f aca="false">IF(AND(C30="Y",D30&lt;2),"YES","no")</f>
        <v>YES</v>
      </c>
      <c r="L30" s="8" t="str">
        <f aca="false">IF(D30=2,"Met",IF(D30=1,"Partial","Absent"))</f>
        <v>Absent</v>
      </c>
    </row>
    <row r="31" customFormat="false" ht="23.25" hidden="false" customHeight="true" outlineLevel="0" collapsed="false">
      <c r="A31" s="6" t="s">
        <v>821</v>
      </c>
      <c r="B31" s="6" t="s">
        <v>822</v>
      </c>
      <c r="C31" s="6" t="s">
        <v>152</v>
      </c>
      <c r="D31" s="7" t="n">
        <v>1</v>
      </c>
      <c r="E31" s="6" t="s">
        <v>823</v>
      </c>
      <c r="F31" s="6" t="s">
        <v>824</v>
      </c>
      <c r="G31" s="6" t="s">
        <v>825</v>
      </c>
      <c r="H31" s="6" t="s">
        <v>106</v>
      </c>
      <c r="I31" s="6" t="s">
        <v>705</v>
      </c>
      <c r="J31" s="6" t="s">
        <v>115</v>
      </c>
      <c r="K31" s="8" t="str">
        <f aca="false">IF(AND(C31="Y",D31&lt;2),"YES","no")</f>
        <v>no</v>
      </c>
      <c r="L31" s="8" t="str">
        <f aca="false">IF(D31=2,"Met",IF(D31=1,"Partial","Absent"))</f>
        <v>Partial</v>
      </c>
    </row>
    <row r="32" customFormat="false" ht="23.25" hidden="false" customHeight="true" outlineLevel="0" collapsed="false">
      <c r="A32" s="6" t="s">
        <v>826</v>
      </c>
      <c r="B32" s="6" t="s">
        <v>827</v>
      </c>
      <c r="C32" s="6" t="s">
        <v>152</v>
      </c>
      <c r="D32" s="7" t="n">
        <v>0</v>
      </c>
      <c r="E32" s="6" t="s">
        <v>828</v>
      </c>
      <c r="F32" s="6" t="s">
        <v>829</v>
      </c>
      <c r="G32" s="6" t="s">
        <v>830</v>
      </c>
      <c r="H32" s="6" t="s">
        <v>106</v>
      </c>
      <c r="I32" s="6" t="s">
        <v>705</v>
      </c>
      <c r="J32" s="6" t="s">
        <v>115</v>
      </c>
      <c r="K32" s="8" t="str">
        <f aca="false">IF(AND(C32="Y",D32&lt;2),"YES","no")</f>
        <v>no</v>
      </c>
      <c r="L32" s="8" t="str">
        <f aca="false">IF(D32=2,"Met",IF(D32=1,"Partial","Absent"))</f>
        <v>Absent</v>
      </c>
    </row>
    <row r="34" customFormat="false" ht="15" hidden="false" customHeight="true" outlineLevel="0" collapsed="false">
      <c r="A34" s="5" t="s">
        <v>831</v>
      </c>
      <c r="D34" s="8" t="n">
        <f aca="false">SUM(D5:D32)</f>
        <v>19</v>
      </c>
    </row>
    <row r="35" customFormat="false" ht="23.25" hidden="false" customHeight="true" outlineLevel="0" collapsed="false">
      <c r="A35" s="5" t="s">
        <v>832</v>
      </c>
      <c r="D35" s="8" t="n">
        <f aca="false">2*COUNT(D5:D32)</f>
        <v>56</v>
      </c>
    </row>
    <row r="36" customFormat="false" ht="23.25" hidden="false" customHeight="true" outlineLevel="0" collapsed="false">
      <c r="A36" s="5" t="s">
        <v>833</v>
      </c>
      <c r="D36" s="14" t="n">
        <f aca="false">D34/D35</f>
        <v>0.339285714285714</v>
      </c>
    </row>
    <row r="37" customFormat="false" ht="15" hidden="false" customHeight="true" outlineLevel="0" collapsed="false">
      <c r="A37" s="5" t="s">
        <v>834</v>
      </c>
      <c r="D37" s="8" t="n">
        <f aca="false">COUNTIF(C5:C32,"Y")</f>
        <v>8</v>
      </c>
    </row>
    <row r="38" customFormat="false" ht="23.25" hidden="false" customHeight="true" outlineLevel="0" collapsed="false">
      <c r="A38" s="5" t="s">
        <v>835</v>
      </c>
      <c r="D38" s="8" t="n">
        <f aca="false">COUNTIF(K5:K32,"YES")</f>
        <v>8</v>
      </c>
    </row>
  </sheetData>
  <conditionalFormatting sqref="L5:L32">
    <cfRule type="expression" priority="2" aboveAverage="0" equalAverage="0" bottom="0" percent="0" rank="0" text="" dxfId="8">
      <formula>L5="Met"</formula>
    </cfRule>
    <cfRule type="expression" priority="3" aboveAverage="0" equalAverage="0" bottom="0" percent="0" rank="0" text="" dxfId="9">
      <formula>L5="Partial"</formula>
    </cfRule>
    <cfRule type="expression" priority="4" aboveAverage="0" equalAverage="0" bottom="0" percent="0" rank="0" text="" dxfId="10">
      <formula>L5="Absent"</formula>
    </cfRule>
  </conditionalFormatting>
  <conditionalFormatting sqref="K5:K32">
    <cfRule type="expression" priority="5" aboveAverage="0" equalAverage="0" bottom="0" percent="0" rank="0" text="" dxfId="10">
      <formula>K5="YES"</formula>
    </cfRule>
  </conditionalFormatting>
  <dataValidations count="1">
    <dataValidation allowBlank="false" errorStyle="stop" operator="between" showDropDown="false" showErrorMessage="false" showInputMessage="false" sqref="D5:D32" type="whole">
      <formula1>0</formula1>
      <formula2>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0"/>
    <col collapsed="false" customWidth="true" hidden="false" outlineLevel="0" max="3" min="3" style="1" width="26"/>
    <col collapsed="false" customWidth="true" hidden="false" outlineLevel="0" max="4" min="4" style="1" width="14"/>
    <col collapsed="false" customWidth="true" hidden="false" outlineLevel="0" max="5" min="5" style="1" width="48"/>
    <col collapsed="false" customWidth="true" hidden="false" outlineLevel="0" max="6" min="6" style="1" width="42"/>
    <col collapsed="false" customWidth="true" hidden="false" outlineLevel="0" max="7" min="7" style="1" width="24"/>
    <col collapsed="false" customWidth="true" hidden="false" outlineLevel="0" max="8" min="8" style="1" width="12"/>
  </cols>
  <sheetData>
    <row r="1" customFormat="false" ht="17.25" hidden="false" customHeight="true" outlineLevel="0" collapsed="false">
      <c r="A1" s="2" t="s">
        <v>836</v>
      </c>
    </row>
    <row r="2" customFormat="false" ht="15" hidden="false" customHeight="true" outlineLevel="0" collapsed="false">
      <c r="A2" s="3" t="s">
        <v>1</v>
      </c>
    </row>
    <row r="4" customFormat="false" ht="39" hidden="false" customHeight="true" outlineLevel="0" collapsed="false">
      <c r="A4" s="4" t="s">
        <v>837</v>
      </c>
      <c r="B4" s="4" t="s">
        <v>838</v>
      </c>
      <c r="C4" s="4" t="s">
        <v>839</v>
      </c>
      <c r="D4" s="4" t="s">
        <v>840</v>
      </c>
      <c r="E4" s="4" t="s">
        <v>841</v>
      </c>
      <c r="F4" s="4" t="s">
        <v>842</v>
      </c>
      <c r="G4" s="4" t="s">
        <v>63</v>
      </c>
      <c r="H4" s="4" t="s">
        <v>681</v>
      </c>
    </row>
    <row r="5" customFormat="false" ht="15" hidden="false" customHeight="true" outlineLevel="0" collapsed="false">
      <c r="A5" s="6" t="s">
        <v>843</v>
      </c>
      <c r="B5" s="6" t="s">
        <v>844</v>
      </c>
      <c r="C5" s="6" t="s">
        <v>845</v>
      </c>
      <c r="D5" s="7" t="s">
        <v>656</v>
      </c>
      <c r="E5" s="6" t="s">
        <v>846</v>
      </c>
      <c r="F5" s="6" t="s">
        <v>847</v>
      </c>
      <c r="G5" s="6" t="s">
        <v>85</v>
      </c>
      <c r="H5" s="6" t="s">
        <v>88</v>
      </c>
    </row>
    <row r="6" customFormat="false" ht="23.25" hidden="false" customHeight="true" outlineLevel="0" collapsed="false">
      <c r="A6" s="6" t="s">
        <v>848</v>
      </c>
      <c r="B6" s="6" t="s">
        <v>849</v>
      </c>
      <c r="C6" s="6" t="s">
        <v>850</v>
      </c>
      <c r="D6" s="7" t="s">
        <v>851</v>
      </c>
      <c r="E6" s="6" t="s">
        <v>852</v>
      </c>
      <c r="F6" s="6" t="s">
        <v>853</v>
      </c>
      <c r="G6" s="6" t="s">
        <v>85</v>
      </c>
      <c r="H6" s="6" t="s">
        <v>88</v>
      </c>
    </row>
    <row r="7" customFormat="false" ht="23.25" hidden="false" customHeight="true" outlineLevel="0" collapsed="false">
      <c r="A7" s="6" t="s">
        <v>854</v>
      </c>
      <c r="B7" s="6" t="s">
        <v>855</v>
      </c>
      <c r="C7" s="6" t="s">
        <v>856</v>
      </c>
      <c r="D7" s="7" t="s">
        <v>656</v>
      </c>
      <c r="E7" s="6" t="s">
        <v>857</v>
      </c>
      <c r="F7" s="6" t="s">
        <v>858</v>
      </c>
      <c r="G7" s="6" t="s">
        <v>85</v>
      </c>
      <c r="H7" s="6" t="s">
        <v>88</v>
      </c>
    </row>
    <row r="8" customFormat="false" ht="23.25" hidden="false" customHeight="true" outlineLevel="0" collapsed="false">
      <c r="A8" s="6" t="s">
        <v>859</v>
      </c>
      <c r="B8" s="6" t="s">
        <v>860</v>
      </c>
      <c r="C8" s="6" t="s">
        <v>861</v>
      </c>
      <c r="D8" s="7" t="s">
        <v>656</v>
      </c>
      <c r="E8" s="6" t="s">
        <v>862</v>
      </c>
      <c r="F8" s="6" t="s">
        <v>863</v>
      </c>
      <c r="G8" s="6" t="s">
        <v>106</v>
      </c>
      <c r="H8" s="6" t="s">
        <v>739</v>
      </c>
    </row>
    <row r="9" customFormat="false" ht="15" hidden="false" customHeight="true" outlineLevel="0" collapsed="false">
      <c r="A9" s="6" t="s">
        <v>864</v>
      </c>
      <c r="B9" s="6" t="s">
        <v>865</v>
      </c>
      <c r="C9" s="6" t="s">
        <v>866</v>
      </c>
      <c r="D9" s="7" t="s">
        <v>656</v>
      </c>
      <c r="E9" s="6" t="s">
        <v>867</v>
      </c>
      <c r="F9" s="6" t="s">
        <v>847</v>
      </c>
      <c r="G9" s="6" t="s">
        <v>85</v>
      </c>
      <c r="H9" s="6" t="s">
        <v>739</v>
      </c>
    </row>
    <row r="10" customFormat="false" ht="34.5" hidden="false" customHeight="true" outlineLevel="0" collapsed="false">
      <c r="A10" s="6" t="s">
        <v>868</v>
      </c>
      <c r="B10" s="6" t="s">
        <v>869</v>
      </c>
      <c r="C10" s="6" t="s">
        <v>870</v>
      </c>
      <c r="D10" s="7" t="s">
        <v>656</v>
      </c>
      <c r="E10" s="6" t="s">
        <v>871</v>
      </c>
      <c r="F10" s="6" t="s">
        <v>872</v>
      </c>
      <c r="G10" s="6" t="s">
        <v>85</v>
      </c>
      <c r="H10" s="6" t="s">
        <v>739</v>
      </c>
    </row>
    <row r="11" customFormat="false" ht="15" hidden="false" customHeight="true" outlineLevel="0" collapsed="false">
      <c r="A11" s="6" t="s">
        <v>873</v>
      </c>
      <c r="B11" s="6" t="s">
        <v>874</v>
      </c>
      <c r="C11" s="6" t="s">
        <v>875</v>
      </c>
      <c r="D11" s="7" t="s">
        <v>851</v>
      </c>
      <c r="E11" s="6" t="s">
        <v>876</v>
      </c>
      <c r="F11" s="6" t="s">
        <v>877</v>
      </c>
      <c r="G11" s="6" t="s">
        <v>106</v>
      </c>
      <c r="H11" s="6" t="s">
        <v>739</v>
      </c>
    </row>
    <row r="12" customFormat="false" ht="23.25" hidden="false" customHeight="true" outlineLevel="0" collapsed="false">
      <c r="A12" s="6" t="s">
        <v>878</v>
      </c>
      <c r="B12" s="6" t="s">
        <v>879</v>
      </c>
      <c r="C12" s="6" t="s">
        <v>880</v>
      </c>
      <c r="D12" s="7" t="s">
        <v>851</v>
      </c>
      <c r="E12" s="6" t="s">
        <v>50</v>
      </c>
      <c r="F12" s="6" t="s">
        <v>881</v>
      </c>
      <c r="G12" s="6" t="s">
        <v>166</v>
      </c>
      <c r="H12" s="6" t="s">
        <v>108</v>
      </c>
    </row>
    <row r="13" customFormat="false" ht="23.25" hidden="false" customHeight="true" outlineLevel="0" collapsed="false">
      <c r="A13" s="6" t="s">
        <v>882</v>
      </c>
      <c r="B13" s="6" t="s">
        <v>883</v>
      </c>
      <c r="C13" s="6" t="s">
        <v>884</v>
      </c>
      <c r="D13" s="7" t="s">
        <v>656</v>
      </c>
      <c r="E13" s="6" t="s">
        <v>885</v>
      </c>
      <c r="F13" s="6" t="s">
        <v>886</v>
      </c>
      <c r="G13" s="6" t="s">
        <v>106</v>
      </c>
      <c r="H13" s="6" t="s">
        <v>115</v>
      </c>
    </row>
    <row r="14" customFormat="false" ht="15" hidden="false" customHeight="true" outlineLevel="0" collapsed="false">
      <c r="A14" s="6" t="s">
        <v>887</v>
      </c>
      <c r="B14" s="6" t="s">
        <v>888</v>
      </c>
      <c r="C14" s="6" t="s">
        <v>889</v>
      </c>
      <c r="D14" s="7" t="s">
        <v>656</v>
      </c>
      <c r="E14" s="6" t="s">
        <v>890</v>
      </c>
      <c r="F14" s="6" t="s">
        <v>891</v>
      </c>
      <c r="G14" s="6" t="s">
        <v>106</v>
      </c>
      <c r="H14" s="6" t="s">
        <v>108</v>
      </c>
    </row>
    <row r="15" customFormat="false" ht="23.25" hidden="false" customHeight="true" outlineLevel="0" collapsed="false">
      <c r="A15" s="6" t="s">
        <v>892</v>
      </c>
      <c r="B15" s="6" t="s">
        <v>893</v>
      </c>
      <c r="C15" s="6" t="s">
        <v>894</v>
      </c>
      <c r="D15" s="7" t="s">
        <v>895</v>
      </c>
      <c r="E15" s="6" t="s">
        <v>896</v>
      </c>
      <c r="F15" s="6" t="s">
        <v>897</v>
      </c>
      <c r="G15" s="6" t="s">
        <v>106</v>
      </c>
      <c r="H15" s="6" t="s">
        <v>88</v>
      </c>
    </row>
    <row r="16" customFormat="false" ht="23.25" hidden="false" customHeight="true" outlineLevel="0" collapsed="false">
      <c r="A16" s="6" t="s">
        <v>898</v>
      </c>
      <c r="B16" s="6" t="s">
        <v>899</v>
      </c>
      <c r="C16" s="6" t="s">
        <v>900</v>
      </c>
      <c r="D16" s="7" t="s">
        <v>656</v>
      </c>
      <c r="E16" s="6" t="s">
        <v>901</v>
      </c>
      <c r="F16" s="6" t="s">
        <v>902</v>
      </c>
      <c r="G16" s="6" t="s">
        <v>106</v>
      </c>
      <c r="H16" s="6" t="s">
        <v>108</v>
      </c>
    </row>
    <row r="17" customFormat="false" ht="15" hidden="false" customHeight="true" outlineLevel="0" collapsed="false">
      <c r="A17" s="6" t="s">
        <v>903</v>
      </c>
      <c r="B17" s="6" t="s">
        <v>904</v>
      </c>
      <c r="C17" s="6" t="s">
        <v>905</v>
      </c>
      <c r="D17" s="7" t="s">
        <v>656</v>
      </c>
      <c r="E17" s="6" t="s">
        <v>906</v>
      </c>
      <c r="F17" s="6" t="s">
        <v>907</v>
      </c>
      <c r="G17" s="6" t="s">
        <v>106</v>
      </c>
      <c r="H17" s="6" t="s">
        <v>108</v>
      </c>
    </row>
    <row r="18" customFormat="false" ht="15" hidden="false" customHeight="true" outlineLevel="0" collapsed="false">
      <c r="A18" s="6" t="s">
        <v>908</v>
      </c>
      <c r="B18" s="6" t="s">
        <v>909</v>
      </c>
      <c r="C18" s="6" t="s">
        <v>910</v>
      </c>
      <c r="D18" s="7" t="s">
        <v>851</v>
      </c>
      <c r="E18" s="6" t="s">
        <v>50</v>
      </c>
      <c r="F18" s="6" t="s">
        <v>911</v>
      </c>
      <c r="G18" s="6" t="s">
        <v>85</v>
      </c>
      <c r="H18" s="6" t="s">
        <v>349</v>
      </c>
    </row>
    <row r="19" customFormat="false" ht="15" hidden="false" customHeight="true" outlineLevel="0" collapsed="false">
      <c r="A19" s="6" t="s">
        <v>912</v>
      </c>
      <c r="B19" s="6" t="s">
        <v>913</v>
      </c>
      <c r="C19" s="6" t="s">
        <v>914</v>
      </c>
      <c r="D19" s="7" t="s">
        <v>851</v>
      </c>
      <c r="E19" s="6" t="s">
        <v>50</v>
      </c>
      <c r="F19" s="6" t="s">
        <v>915</v>
      </c>
      <c r="G19" s="6" t="s">
        <v>85</v>
      </c>
      <c r="H19" s="6" t="s">
        <v>134</v>
      </c>
    </row>
    <row r="20" customFormat="false" ht="23.25" hidden="false" customHeight="true" outlineLevel="0" collapsed="false">
      <c r="A20" s="6" t="s">
        <v>916</v>
      </c>
      <c r="B20" s="6" t="s">
        <v>917</v>
      </c>
      <c r="C20" s="6" t="s">
        <v>918</v>
      </c>
      <c r="D20" s="7" t="s">
        <v>851</v>
      </c>
      <c r="E20" s="6" t="s">
        <v>919</v>
      </c>
      <c r="F20" s="6" t="s">
        <v>920</v>
      </c>
      <c r="G20" s="6" t="s">
        <v>106</v>
      </c>
      <c r="H20" s="6" t="s">
        <v>115</v>
      </c>
    </row>
    <row r="21" customFormat="false" ht="34.5" hidden="false" customHeight="true" outlineLevel="0" collapsed="false">
      <c r="A21" s="6" t="s">
        <v>921</v>
      </c>
      <c r="B21" s="6" t="s">
        <v>922</v>
      </c>
      <c r="C21" s="6" t="s">
        <v>79</v>
      </c>
      <c r="D21" s="7" t="s">
        <v>656</v>
      </c>
      <c r="E21" s="6" t="s">
        <v>923</v>
      </c>
      <c r="F21" s="6" t="s">
        <v>924</v>
      </c>
      <c r="G21" s="6" t="s">
        <v>106</v>
      </c>
      <c r="H21" s="6" t="s">
        <v>108</v>
      </c>
    </row>
    <row r="22" customFormat="false" ht="23.25" hidden="false" customHeight="true" outlineLevel="0" collapsed="false">
      <c r="A22" s="6" t="s">
        <v>925</v>
      </c>
      <c r="B22" s="6" t="s">
        <v>154</v>
      </c>
      <c r="C22" s="6" t="s">
        <v>153</v>
      </c>
      <c r="D22" s="7" t="s">
        <v>656</v>
      </c>
      <c r="E22" s="6" t="s">
        <v>926</v>
      </c>
      <c r="F22" s="6" t="s">
        <v>927</v>
      </c>
      <c r="G22" s="6" t="s">
        <v>157</v>
      </c>
      <c r="H22" s="6" t="s">
        <v>108</v>
      </c>
    </row>
    <row r="23" customFormat="false" ht="23.25" hidden="false" customHeight="true" outlineLevel="0" collapsed="false">
      <c r="A23" s="6" t="s">
        <v>928</v>
      </c>
      <c r="B23" s="6" t="s">
        <v>929</v>
      </c>
      <c r="C23" s="6" t="s">
        <v>930</v>
      </c>
      <c r="D23" s="7" t="s">
        <v>895</v>
      </c>
      <c r="E23" s="6" t="s">
        <v>931</v>
      </c>
      <c r="F23" s="6" t="s">
        <v>932</v>
      </c>
      <c r="G23" s="6" t="s">
        <v>166</v>
      </c>
      <c r="H23" s="6" t="s">
        <v>115</v>
      </c>
    </row>
    <row r="24" customFormat="false" ht="23.25" hidden="false" customHeight="true" outlineLevel="0" collapsed="false">
      <c r="A24" s="6" t="s">
        <v>933</v>
      </c>
      <c r="B24" s="6" t="s">
        <v>317</v>
      </c>
      <c r="C24" s="6" t="s">
        <v>934</v>
      </c>
      <c r="D24" s="7" t="s">
        <v>851</v>
      </c>
      <c r="E24" s="6" t="s">
        <v>50</v>
      </c>
      <c r="F24" s="6" t="s">
        <v>935</v>
      </c>
      <c r="G24" s="6" t="s">
        <v>85</v>
      </c>
      <c r="H24" s="6" t="s">
        <v>88</v>
      </c>
    </row>
    <row r="25" customFormat="false" ht="23.25" hidden="false" customHeight="true" outlineLevel="0" collapsed="false">
      <c r="A25" s="6" t="s">
        <v>936</v>
      </c>
      <c r="B25" s="6" t="s">
        <v>358</v>
      </c>
      <c r="C25" s="6" t="s">
        <v>937</v>
      </c>
      <c r="D25" s="7" t="s">
        <v>851</v>
      </c>
      <c r="E25" s="6" t="s">
        <v>938</v>
      </c>
      <c r="F25" s="6" t="s">
        <v>939</v>
      </c>
      <c r="G25" s="6" t="s">
        <v>157</v>
      </c>
      <c r="H25" s="6" t="s">
        <v>134</v>
      </c>
    </row>
    <row r="26" customFormat="false" ht="23.25" hidden="false" customHeight="true" outlineLevel="0" collapsed="false">
      <c r="A26" s="6" t="s">
        <v>940</v>
      </c>
      <c r="B26" s="6" t="s">
        <v>391</v>
      </c>
      <c r="C26" s="6" t="s">
        <v>941</v>
      </c>
      <c r="D26" s="7" t="s">
        <v>851</v>
      </c>
      <c r="E26" s="6" t="s">
        <v>942</v>
      </c>
      <c r="F26" s="6" t="s">
        <v>943</v>
      </c>
      <c r="G26" s="6" t="s">
        <v>166</v>
      </c>
      <c r="H26" s="6" t="s">
        <v>115</v>
      </c>
    </row>
    <row r="27" customFormat="false" ht="23.25" hidden="false" customHeight="true" outlineLevel="0" collapsed="false">
      <c r="A27" s="6" t="s">
        <v>944</v>
      </c>
      <c r="B27" s="6" t="s">
        <v>945</v>
      </c>
      <c r="C27" s="6" t="s">
        <v>946</v>
      </c>
      <c r="D27" s="7" t="s">
        <v>851</v>
      </c>
      <c r="E27" s="6" t="s">
        <v>50</v>
      </c>
      <c r="F27" s="6" t="s">
        <v>947</v>
      </c>
      <c r="G27" s="6" t="s">
        <v>157</v>
      </c>
      <c r="H27" s="6" t="s">
        <v>134</v>
      </c>
    </row>
    <row r="28" customFormat="false" ht="23.25" hidden="false" customHeight="true" outlineLevel="0" collapsed="false">
      <c r="A28" s="6" t="s">
        <v>948</v>
      </c>
      <c r="B28" s="6" t="s">
        <v>949</v>
      </c>
      <c r="C28" s="6" t="s">
        <v>950</v>
      </c>
      <c r="D28" s="7" t="s">
        <v>895</v>
      </c>
      <c r="E28" s="6" t="s">
        <v>951</v>
      </c>
      <c r="F28" s="6" t="s">
        <v>952</v>
      </c>
      <c r="G28" s="6" t="s">
        <v>106</v>
      </c>
      <c r="H28" s="6" t="s">
        <v>134</v>
      </c>
    </row>
    <row r="29" customFormat="false" ht="15" hidden="false" customHeight="true" outlineLevel="0" collapsed="false">
      <c r="A29" s="6" t="s">
        <v>953</v>
      </c>
      <c r="B29" s="6" t="s">
        <v>954</v>
      </c>
      <c r="C29" s="6" t="s">
        <v>955</v>
      </c>
      <c r="D29" s="7" t="s">
        <v>851</v>
      </c>
      <c r="E29" s="6" t="s">
        <v>50</v>
      </c>
      <c r="F29" s="6" t="s">
        <v>956</v>
      </c>
      <c r="G29" s="6" t="s">
        <v>157</v>
      </c>
      <c r="H29" s="6" t="s">
        <v>260</v>
      </c>
    </row>
    <row r="30" customFormat="false" ht="23.25" hidden="false" customHeight="true" outlineLevel="0" collapsed="false">
      <c r="A30" s="6" t="s">
        <v>957</v>
      </c>
      <c r="B30" s="6" t="s">
        <v>958</v>
      </c>
      <c r="C30" s="6" t="s">
        <v>959</v>
      </c>
      <c r="D30" s="7" t="s">
        <v>895</v>
      </c>
      <c r="E30" s="6" t="s">
        <v>960</v>
      </c>
      <c r="F30" s="6" t="s">
        <v>961</v>
      </c>
      <c r="G30" s="6" t="s">
        <v>106</v>
      </c>
      <c r="H30" s="6" t="s">
        <v>230</v>
      </c>
    </row>
    <row r="31" customFormat="false" ht="23.25" hidden="false" customHeight="true" outlineLevel="0" collapsed="false">
      <c r="A31" s="6" t="s">
        <v>962</v>
      </c>
      <c r="B31" s="6" t="s">
        <v>963</v>
      </c>
      <c r="C31" s="6" t="s">
        <v>964</v>
      </c>
      <c r="D31" s="7" t="s">
        <v>851</v>
      </c>
      <c r="E31" s="6" t="s">
        <v>965</v>
      </c>
      <c r="F31" s="6" t="s">
        <v>966</v>
      </c>
      <c r="G31" s="6" t="s">
        <v>106</v>
      </c>
      <c r="H31" s="6" t="s">
        <v>115</v>
      </c>
    </row>
    <row r="33" customFormat="false" ht="15" hidden="false" customHeight="true" outlineLevel="0" collapsed="false">
      <c r="B33" s="5" t="s">
        <v>895</v>
      </c>
      <c r="D33" s="8" t="n">
        <f aca="false">COUNTIF(D5:D31,B33)</f>
        <v>4</v>
      </c>
    </row>
    <row r="34" customFormat="false" ht="15" hidden="false" customHeight="true" outlineLevel="0" collapsed="false">
      <c r="B34" s="5" t="s">
        <v>656</v>
      </c>
      <c r="D34" s="8" t="n">
        <f aca="false">COUNTIF(D5:D31,B34)</f>
        <v>11</v>
      </c>
    </row>
    <row r="35" customFormat="false" ht="15" hidden="false" customHeight="true" outlineLevel="0" collapsed="false">
      <c r="B35" s="5" t="s">
        <v>851</v>
      </c>
      <c r="D35" s="8" t="n">
        <f aca="false">COUNTIF(D5:D31,B35)</f>
        <v>12</v>
      </c>
    </row>
    <row r="36" customFormat="false" ht="15" hidden="false" customHeight="true" outlineLevel="0" collapsed="false">
      <c r="B36" s="5" t="s">
        <v>967</v>
      </c>
      <c r="D36" s="8" t="n">
        <f aca="false">SUM(D33:D35)</f>
        <v>27</v>
      </c>
    </row>
  </sheetData>
  <conditionalFormatting sqref="D5:D31">
    <cfRule type="expression" priority="2" aboveAverage="0" equalAverage="0" bottom="0" percent="0" rank="0" text="" dxfId="8">
      <formula>D5="Have"</formula>
    </cfRule>
    <cfRule type="expression" priority="3" aboveAverage="0" equalAverage="0" bottom="0" percent="0" rank="0" text="" dxfId="9">
      <formula>D5="Partial"</formula>
    </cfRule>
    <cfRule type="expression" priority="4" aboveAverage="0" equalAverage="0" bottom="0" percent="0" rank="0" text="" dxfId="10">
      <formula>D5="Missing"</formula>
    </cfRule>
  </conditionalFormatting>
  <dataValidations count="1">
    <dataValidation allowBlank="false" errorStyle="stop" operator="between" showDropDown="false" showErrorMessage="false" showInputMessage="false" sqref="D5:D31" type="list">
      <formula1>"Have,Partial,Missing"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80"/>
  </cols>
  <sheetData>
    <row r="1" customFormat="false" ht="17.25" hidden="false" customHeight="true" outlineLevel="0" collapsed="false">
      <c r="A1" s="2" t="s">
        <v>968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969</v>
      </c>
      <c r="B4" s="4" t="s">
        <v>970</v>
      </c>
      <c r="C4" s="4" t="s">
        <v>971</v>
      </c>
    </row>
    <row r="5" customFormat="false" ht="15" hidden="false" customHeight="true" outlineLevel="0" collapsed="false">
      <c r="A5" s="5" t="s">
        <v>972</v>
      </c>
      <c r="B5" s="14" t="n">
        <f aca="false">04_Clauses!D36</f>
        <v>0.339285714285714</v>
      </c>
      <c r="C5" s="6" t="s">
        <v>973</v>
      </c>
    </row>
    <row r="6" customFormat="false" ht="15" hidden="false" customHeight="true" outlineLevel="0" collapsed="false">
      <c r="A6" s="5" t="s">
        <v>974</v>
      </c>
      <c r="B6" s="14" t="n">
        <f aca="false">03_SoA_Summary!B12</f>
        <v>0.255681818181818</v>
      </c>
      <c r="C6" s="6" t="s">
        <v>975</v>
      </c>
    </row>
    <row r="7" customFormat="false" ht="15" hidden="false" customHeight="true" outlineLevel="0" collapsed="false">
      <c r="A7" s="5" t="s">
        <v>976</v>
      </c>
      <c r="B7" s="15" t="n">
        <v>0.6</v>
      </c>
      <c r="C7" s="6" t="s">
        <v>977</v>
      </c>
    </row>
    <row r="8" customFormat="false" ht="15" hidden="false" customHeight="true" outlineLevel="0" collapsed="false">
      <c r="A8" s="5" t="s">
        <v>978</v>
      </c>
      <c r="B8" s="15" t="n">
        <v>0.4</v>
      </c>
      <c r="C8" s="6" t="s">
        <v>979</v>
      </c>
    </row>
    <row r="9" customFormat="false" ht="15" hidden="false" customHeight="true" outlineLevel="0" collapsed="false">
      <c r="A9" s="5" t="s">
        <v>980</v>
      </c>
      <c r="B9" s="8" t="str">
        <f aca="false">IF(ROUND(B7+B8,6)=1,"PASS","FAIL")</f>
        <v>PASS</v>
      </c>
      <c r="C9" s="6" t="s">
        <v>981</v>
      </c>
    </row>
    <row r="10" customFormat="false" ht="15" hidden="false" customHeight="true" outlineLevel="0" collapsed="false">
      <c r="A10" s="5" t="s">
        <v>982</v>
      </c>
      <c r="B10" s="14" t="n">
        <f aca="false">B7*B5+B8*B6</f>
        <v>0.305844155844156</v>
      </c>
      <c r="C10" s="6"/>
    </row>
    <row r="11" customFormat="false" ht="15" hidden="false" customHeight="true" outlineLevel="0" collapsed="false">
      <c r="A11" s="5" t="s">
        <v>983</v>
      </c>
      <c r="B11" s="8" t="n">
        <f aca="false">04_Clauses!D37</f>
        <v>8</v>
      </c>
      <c r="C11" s="6" t="s">
        <v>984</v>
      </c>
    </row>
    <row r="12" customFormat="false" ht="15" hidden="false" customHeight="true" outlineLevel="0" collapsed="false">
      <c r="A12" s="5" t="s">
        <v>835</v>
      </c>
      <c r="B12" s="8" t="n">
        <f aca="false">04_Clauses!D38</f>
        <v>8</v>
      </c>
      <c r="C12" s="6" t="s">
        <v>985</v>
      </c>
    </row>
    <row r="13" customFormat="false" ht="15" hidden="false" customHeight="true" outlineLevel="0" collapsed="false">
      <c r="A13" s="5" t="s">
        <v>986</v>
      </c>
      <c r="B13" s="15" t="n">
        <v>0.85</v>
      </c>
      <c r="C13" s="6" t="s">
        <v>979</v>
      </c>
    </row>
    <row r="14" customFormat="false" ht="15" hidden="false" customHeight="true" outlineLevel="0" collapsed="false">
      <c r="A14" s="5" t="s">
        <v>987</v>
      </c>
      <c r="B14" s="15" t="n">
        <v>0.6</v>
      </c>
      <c r="C14" s="6" t="s">
        <v>979</v>
      </c>
    </row>
    <row r="15" customFormat="false" ht="15" hidden="false" customHeight="true" outlineLevel="0" collapsed="false">
      <c r="A15" s="5" t="s">
        <v>988</v>
      </c>
      <c r="B15" s="8" t="str">
        <f aca="false">IF(B10&gt;=B13,"Ready for Stage 1",IF(B10&gt;=B14,"Ready within 90 days","Not ready"))</f>
        <v>Not ready</v>
      </c>
      <c r="C15" s="6"/>
    </row>
    <row r="16" customFormat="false" ht="15" hidden="false" customHeight="true" outlineLevel="0" collapsed="false">
      <c r="A16" s="5" t="s">
        <v>989</v>
      </c>
      <c r="B16" s="8" t="str">
        <f aca="false">IF(OR(B12&gt;0,B10&lt;B13),"NO-GO","GO")</f>
        <v>NO-GO</v>
      </c>
      <c r="C16" s="6" t="s">
        <v>990</v>
      </c>
    </row>
    <row r="17" customFormat="false" ht="15" hidden="false" customHeight="true" outlineLevel="0" collapsed="false">
      <c r="A17" s="5" t="s">
        <v>991</v>
      </c>
      <c r="B17" s="7" t="s">
        <v>992</v>
      </c>
      <c r="C17" s="6" t="s">
        <v>993</v>
      </c>
    </row>
  </sheetData>
  <conditionalFormatting sqref="B16">
    <cfRule type="expression" priority="2" aboveAverage="0" equalAverage="0" bottom="0" percent="0" rank="0" text="" dxfId="10">
      <formula>B16="NO-GO"</formula>
    </cfRule>
    <cfRule type="expression" priority="3" aboveAverage="0" equalAverage="0" bottom="0" percent="0" rank="0" text="" dxfId="8">
      <formula>B16="GO"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8"/>
    <col collapsed="false" customWidth="true" hidden="false" outlineLevel="0" max="4" min="3" style="1" width="22"/>
    <col collapsed="false" customWidth="true" hidden="false" outlineLevel="0" max="6" min="5" style="1" width="12"/>
    <col collapsed="false" customWidth="true" hidden="false" outlineLevel="0" max="7" min="7" style="1" width="20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40"/>
  </cols>
  <sheetData>
    <row r="1" customFormat="false" ht="17.25" hidden="false" customHeight="true" outlineLevel="0" collapsed="false">
      <c r="A1" s="2" t="s">
        <v>994</v>
      </c>
    </row>
    <row r="2" customFormat="false" ht="15" hidden="false" customHeight="true" outlineLevel="0" collapsed="false">
      <c r="A2" s="3" t="s">
        <v>1</v>
      </c>
    </row>
    <row r="4" customFormat="false" ht="26.25" hidden="false" customHeight="true" outlineLevel="0" collapsed="false">
      <c r="A4" s="4" t="s">
        <v>995</v>
      </c>
      <c r="B4" s="4" t="s">
        <v>680</v>
      </c>
      <c r="C4" s="4" t="s">
        <v>996</v>
      </c>
      <c r="D4" s="4" t="s">
        <v>63</v>
      </c>
      <c r="E4" s="4" t="s">
        <v>997</v>
      </c>
      <c r="F4" s="4" t="s">
        <v>681</v>
      </c>
      <c r="G4" s="4" t="s">
        <v>998</v>
      </c>
      <c r="H4" s="4" t="s">
        <v>999</v>
      </c>
      <c r="I4" s="4" t="s">
        <v>1000</v>
      </c>
      <c r="J4" s="4" t="s">
        <v>1001</v>
      </c>
    </row>
    <row r="5" customFormat="false" ht="23.25" hidden="false" customHeight="true" outlineLevel="0" collapsed="false">
      <c r="A5" s="6" t="s">
        <v>322</v>
      </c>
      <c r="B5" s="6" t="s">
        <v>1002</v>
      </c>
      <c r="C5" s="6" t="s">
        <v>1003</v>
      </c>
      <c r="D5" s="6" t="s">
        <v>85</v>
      </c>
      <c r="E5" s="6" t="s">
        <v>1004</v>
      </c>
      <c r="F5" s="6" t="s">
        <v>88</v>
      </c>
      <c r="G5" s="6" t="s">
        <v>1005</v>
      </c>
      <c r="H5" s="16" t="n">
        <v>0</v>
      </c>
      <c r="I5" s="6" t="s">
        <v>50</v>
      </c>
      <c r="J5" s="6" t="s">
        <v>1006</v>
      </c>
    </row>
    <row r="6" customFormat="false" ht="23.25" hidden="false" customHeight="true" outlineLevel="0" collapsed="false">
      <c r="A6" s="6" t="s">
        <v>699</v>
      </c>
      <c r="B6" s="6" t="s">
        <v>1007</v>
      </c>
      <c r="C6" s="6" t="s">
        <v>1008</v>
      </c>
      <c r="D6" s="6" t="s">
        <v>85</v>
      </c>
      <c r="E6" s="6" t="s">
        <v>1004</v>
      </c>
      <c r="F6" s="6" t="s">
        <v>88</v>
      </c>
      <c r="G6" s="6" t="s">
        <v>1005</v>
      </c>
      <c r="H6" s="16" t="n">
        <v>0</v>
      </c>
      <c r="I6" s="6" t="s">
        <v>322</v>
      </c>
      <c r="J6" s="6" t="s">
        <v>1009</v>
      </c>
    </row>
    <row r="7" customFormat="false" ht="23.25" hidden="false" customHeight="true" outlineLevel="0" collapsed="false">
      <c r="A7" s="6" t="s">
        <v>711</v>
      </c>
      <c r="B7" s="6" t="s">
        <v>1010</v>
      </c>
      <c r="C7" s="6" t="s">
        <v>1011</v>
      </c>
      <c r="D7" s="6" t="s">
        <v>85</v>
      </c>
      <c r="E7" s="6" t="s">
        <v>1004</v>
      </c>
      <c r="F7" s="6" t="s">
        <v>88</v>
      </c>
      <c r="G7" s="6" t="s">
        <v>1005</v>
      </c>
      <c r="H7" s="16" t="n">
        <v>0</v>
      </c>
      <c r="I7" s="6" t="s">
        <v>322</v>
      </c>
      <c r="J7" s="6" t="s">
        <v>1012</v>
      </c>
    </row>
    <row r="8" customFormat="false" ht="15" hidden="false" customHeight="true" outlineLevel="0" collapsed="false">
      <c r="A8" s="6" t="s">
        <v>101</v>
      </c>
      <c r="B8" s="6" t="s">
        <v>1013</v>
      </c>
      <c r="C8" s="6" t="s">
        <v>1014</v>
      </c>
      <c r="D8" s="6" t="s">
        <v>85</v>
      </c>
      <c r="E8" s="6" t="s">
        <v>1004</v>
      </c>
      <c r="F8" s="6" t="s">
        <v>88</v>
      </c>
      <c r="G8" s="6" t="s">
        <v>1005</v>
      </c>
      <c r="H8" s="16" t="n">
        <v>0</v>
      </c>
      <c r="I8" s="6" t="s">
        <v>50</v>
      </c>
      <c r="J8" s="6" t="s">
        <v>1015</v>
      </c>
    </row>
    <row r="9" customFormat="false" ht="23.25" hidden="false" customHeight="true" outlineLevel="0" collapsed="false">
      <c r="A9" s="6" t="s">
        <v>787</v>
      </c>
      <c r="B9" s="6" t="s">
        <v>1016</v>
      </c>
      <c r="C9" s="6" t="s">
        <v>1017</v>
      </c>
      <c r="D9" s="6" t="s">
        <v>85</v>
      </c>
      <c r="E9" s="6" t="s">
        <v>1004</v>
      </c>
      <c r="F9" s="6" t="s">
        <v>88</v>
      </c>
      <c r="G9" s="6" t="s">
        <v>1005</v>
      </c>
      <c r="H9" s="16" t="n">
        <v>0</v>
      </c>
      <c r="I9" s="6" t="s">
        <v>50</v>
      </c>
      <c r="J9" s="6" t="s">
        <v>1018</v>
      </c>
    </row>
    <row r="10" customFormat="false" ht="23.25" hidden="false" customHeight="true" outlineLevel="0" collapsed="false">
      <c r="A10" s="6" t="s">
        <v>738</v>
      </c>
      <c r="B10" s="6" t="s">
        <v>1019</v>
      </c>
      <c r="C10" s="6" t="s">
        <v>1020</v>
      </c>
      <c r="D10" s="6" t="s">
        <v>85</v>
      </c>
      <c r="E10" s="6" t="s">
        <v>1021</v>
      </c>
      <c r="F10" s="6" t="s">
        <v>739</v>
      </c>
      <c r="G10" s="6" t="s">
        <v>1022</v>
      </c>
      <c r="H10" s="16" t="n">
        <v>0</v>
      </c>
      <c r="I10" s="6" t="s">
        <v>787</v>
      </c>
      <c r="J10" s="6" t="s">
        <v>1023</v>
      </c>
    </row>
    <row r="11" customFormat="false" ht="23.25" hidden="false" customHeight="true" outlineLevel="0" collapsed="false">
      <c r="A11" s="6" t="s">
        <v>745</v>
      </c>
      <c r="B11" s="6" t="s">
        <v>1024</v>
      </c>
      <c r="C11" s="6" t="s">
        <v>1025</v>
      </c>
      <c r="D11" s="6" t="s">
        <v>106</v>
      </c>
      <c r="E11" s="6" t="s">
        <v>1021</v>
      </c>
      <c r="F11" s="6" t="s">
        <v>739</v>
      </c>
      <c r="G11" s="6" t="s">
        <v>1022</v>
      </c>
      <c r="H11" s="16" t="n">
        <v>0</v>
      </c>
      <c r="I11" s="6" t="s">
        <v>738</v>
      </c>
      <c r="J11" s="6" t="s">
        <v>1026</v>
      </c>
    </row>
    <row r="12" customFormat="false" ht="34.5" hidden="false" customHeight="true" outlineLevel="0" collapsed="false">
      <c r="A12" s="6" t="s">
        <v>705</v>
      </c>
      <c r="B12" s="6" t="s">
        <v>1027</v>
      </c>
      <c r="C12" s="6" t="s">
        <v>1028</v>
      </c>
      <c r="D12" s="6" t="s">
        <v>106</v>
      </c>
      <c r="E12" s="6" t="s">
        <v>1021</v>
      </c>
      <c r="F12" s="6" t="s">
        <v>115</v>
      </c>
      <c r="G12" s="6" t="s">
        <v>1022</v>
      </c>
      <c r="H12" s="16" t="n">
        <v>0</v>
      </c>
      <c r="I12" s="6" t="s">
        <v>711</v>
      </c>
      <c r="J12" s="6" t="s">
        <v>1029</v>
      </c>
    </row>
    <row r="13" customFormat="false" ht="23.25" hidden="false" customHeight="true" outlineLevel="0" collapsed="false">
      <c r="A13" s="6" t="s">
        <v>195</v>
      </c>
      <c r="B13" s="6" t="s">
        <v>1030</v>
      </c>
      <c r="C13" s="6" t="s">
        <v>1031</v>
      </c>
      <c r="D13" s="6" t="s">
        <v>106</v>
      </c>
      <c r="E13" s="6" t="s">
        <v>1004</v>
      </c>
      <c r="F13" s="6" t="s">
        <v>115</v>
      </c>
      <c r="G13" s="6" t="s">
        <v>1022</v>
      </c>
      <c r="H13" s="16" t="n">
        <v>0</v>
      </c>
      <c r="I13" s="6" t="s">
        <v>50</v>
      </c>
      <c r="J13" s="6" t="s">
        <v>1032</v>
      </c>
    </row>
    <row r="14" customFormat="false" ht="23.25" hidden="false" customHeight="true" outlineLevel="0" collapsed="false">
      <c r="A14" s="6" t="s">
        <v>760</v>
      </c>
      <c r="B14" s="6" t="s">
        <v>1033</v>
      </c>
      <c r="C14" s="6" t="s">
        <v>755</v>
      </c>
      <c r="D14" s="6" t="s">
        <v>166</v>
      </c>
      <c r="E14" s="6" t="s">
        <v>1034</v>
      </c>
      <c r="F14" s="6" t="s">
        <v>108</v>
      </c>
      <c r="G14" s="6" t="s">
        <v>1035</v>
      </c>
      <c r="H14" s="16" t="n">
        <v>2500</v>
      </c>
      <c r="I14" s="6" t="s">
        <v>101</v>
      </c>
      <c r="J14" s="6" t="s">
        <v>1036</v>
      </c>
    </row>
    <row r="15" customFormat="false" ht="45.75" hidden="false" customHeight="true" outlineLevel="0" collapsed="false">
      <c r="A15" s="6" t="s">
        <v>328</v>
      </c>
      <c r="B15" s="6" t="s">
        <v>1037</v>
      </c>
      <c r="C15" s="6" t="s">
        <v>1038</v>
      </c>
      <c r="D15" s="6" t="s">
        <v>166</v>
      </c>
      <c r="E15" s="6" t="s">
        <v>1034</v>
      </c>
      <c r="F15" s="6" t="s">
        <v>134</v>
      </c>
      <c r="G15" s="6" t="s">
        <v>1035</v>
      </c>
      <c r="H15" s="16" t="n">
        <v>0</v>
      </c>
      <c r="I15" s="6" t="s">
        <v>711</v>
      </c>
      <c r="J15" s="6" t="s">
        <v>1039</v>
      </c>
    </row>
    <row r="16" customFormat="false" ht="23.25" hidden="false" customHeight="true" outlineLevel="0" collapsed="false">
      <c r="A16" s="6" t="s">
        <v>350</v>
      </c>
      <c r="B16" s="6" t="s">
        <v>1040</v>
      </c>
      <c r="C16" s="6" t="s">
        <v>1041</v>
      </c>
      <c r="D16" s="6" t="s">
        <v>85</v>
      </c>
      <c r="E16" s="6" t="s">
        <v>1042</v>
      </c>
      <c r="F16" s="6" t="s">
        <v>349</v>
      </c>
      <c r="G16" s="6" t="s">
        <v>1043</v>
      </c>
      <c r="H16" s="16" t="n">
        <v>6000</v>
      </c>
      <c r="I16" s="6" t="s">
        <v>738</v>
      </c>
      <c r="J16" s="6" t="s">
        <v>1044</v>
      </c>
    </row>
    <row r="17" customFormat="false" ht="23.25" hidden="false" customHeight="true" outlineLevel="0" collapsed="false">
      <c r="A17" s="6" t="s">
        <v>817</v>
      </c>
      <c r="B17" s="6" t="s">
        <v>1045</v>
      </c>
      <c r="C17" s="6" t="s">
        <v>1046</v>
      </c>
      <c r="D17" s="6" t="s">
        <v>85</v>
      </c>
      <c r="E17" s="6" t="s">
        <v>1042</v>
      </c>
      <c r="F17" s="6" t="s">
        <v>134</v>
      </c>
      <c r="G17" s="6" t="s">
        <v>1043</v>
      </c>
      <c r="H17" s="16" t="n">
        <v>0</v>
      </c>
      <c r="I17" s="6" t="s">
        <v>1047</v>
      </c>
      <c r="J17" s="6" t="s">
        <v>1048</v>
      </c>
    </row>
    <row r="18" customFormat="false" ht="23.25" hidden="false" customHeight="true" outlineLevel="0" collapsed="false">
      <c r="A18" s="6" t="s">
        <v>1049</v>
      </c>
      <c r="B18" s="6" t="s">
        <v>1050</v>
      </c>
      <c r="C18" s="6" t="s">
        <v>1051</v>
      </c>
      <c r="D18" s="6" t="s">
        <v>85</v>
      </c>
      <c r="E18" s="6" t="s">
        <v>1034</v>
      </c>
      <c r="F18" s="6" t="s">
        <v>108</v>
      </c>
      <c r="G18" s="6" t="s">
        <v>1035</v>
      </c>
      <c r="H18" s="16" t="n">
        <v>0</v>
      </c>
      <c r="I18" s="6" t="s">
        <v>699</v>
      </c>
      <c r="J18" s="6" t="s">
        <v>1052</v>
      </c>
    </row>
    <row r="19" customFormat="false" ht="15" hidden="false" customHeight="true" outlineLevel="0" collapsed="false">
      <c r="A19" s="6" t="s">
        <v>1053</v>
      </c>
      <c r="B19" s="6" t="s">
        <v>1054</v>
      </c>
      <c r="C19" s="6" t="s">
        <v>826</v>
      </c>
      <c r="D19" s="6" t="s">
        <v>106</v>
      </c>
      <c r="E19" s="6" t="s">
        <v>1055</v>
      </c>
      <c r="F19" s="6" t="s">
        <v>1056</v>
      </c>
      <c r="G19" s="6" t="s">
        <v>1057</v>
      </c>
      <c r="H19" s="16" t="n">
        <v>0</v>
      </c>
      <c r="I19" s="6" t="s">
        <v>350</v>
      </c>
      <c r="J19" s="6" t="s">
        <v>1058</v>
      </c>
    </row>
    <row r="20" customFormat="false" ht="15" hidden="false" customHeight="true" outlineLevel="0" collapsed="false">
      <c r="A20" s="6" t="s">
        <v>1059</v>
      </c>
      <c r="B20" s="6" t="s">
        <v>1060</v>
      </c>
      <c r="C20" s="6" t="s">
        <v>1061</v>
      </c>
      <c r="D20" s="6" t="s">
        <v>106</v>
      </c>
      <c r="E20" s="6" t="s">
        <v>1004</v>
      </c>
      <c r="F20" s="6" t="s">
        <v>1062</v>
      </c>
      <c r="G20" s="6" t="s">
        <v>1005</v>
      </c>
      <c r="H20" s="16" t="n">
        <v>400</v>
      </c>
      <c r="I20" s="6" t="s">
        <v>50</v>
      </c>
      <c r="J20" s="6" t="s">
        <v>1063</v>
      </c>
    </row>
    <row r="21" customFormat="false" ht="23.25" hidden="false" customHeight="true" outlineLevel="0" collapsed="false">
      <c r="A21" s="6" t="s">
        <v>1064</v>
      </c>
      <c r="B21" s="6" t="s">
        <v>1065</v>
      </c>
      <c r="C21" s="6" t="s">
        <v>1051</v>
      </c>
      <c r="D21" s="6" t="s">
        <v>85</v>
      </c>
      <c r="E21" s="6" t="s">
        <v>1066</v>
      </c>
      <c r="F21" s="6" t="s">
        <v>1067</v>
      </c>
      <c r="G21" s="6" t="s">
        <v>1057</v>
      </c>
      <c r="H21" s="16" t="n">
        <v>14000</v>
      </c>
      <c r="I21" s="6" t="s">
        <v>1068</v>
      </c>
      <c r="J21" s="6" t="s">
        <v>1069</v>
      </c>
    </row>
    <row r="23" customFormat="false" ht="15" hidden="false" customHeight="true" outlineLevel="0" collapsed="false">
      <c r="B23" s="5" t="s">
        <v>1070</v>
      </c>
      <c r="H23" s="17" t="n">
        <f aca="false">SUM(H5:H21)</f>
        <v>22900</v>
      </c>
    </row>
    <row r="24" customFormat="false" ht="15" hidden="false" customHeight="true" outlineLevel="0" collapsed="false">
      <c r="B24" s="5" t="s">
        <v>1071</v>
      </c>
      <c r="H24" s="16" t="n">
        <v>32100</v>
      </c>
    </row>
    <row r="25" customFormat="false" ht="15" hidden="false" customHeight="true" outlineLevel="0" collapsed="false">
      <c r="B25" s="5" t="s">
        <v>1072</v>
      </c>
      <c r="H25" s="17" t="n">
        <f aca="false">H23+H24</f>
        <v>55000</v>
      </c>
    </row>
    <row r="26" customFormat="false" ht="15" hidden="false" customHeight="true" outlineLevel="0" collapsed="false">
      <c r="B26" s="5" t="s">
        <v>1073</v>
      </c>
      <c r="H26" s="16" t="n">
        <v>3600000</v>
      </c>
    </row>
    <row r="27" customFormat="false" ht="15" hidden="false" customHeight="true" outlineLevel="0" collapsed="false">
      <c r="B27" s="5" t="s">
        <v>1074</v>
      </c>
      <c r="H27" s="18" t="n">
        <f aca="false">H25/H26</f>
        <v>0.0152777777777778</v>
      </c>
    </row>
    <row r="28" customFormat="false" ht="15" hidden="false" customHeight="true" outlineLevel="0" collapsed="false">
      <c r="B28" s="5" t="s">
        <v>1075</v>
      </c>
      <c r="H28" s="16" t="n">
        <v>7000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4" min="4" style="1" width="30"/>
    <col collapsed="false" customWidth="true" hidden="false" outlineLevel="0" max="5" min="5" style="1" width="26"/>
    <col collapsed="false" customWidth="true" hidden="false" outlineLevel="0" max="6" min="6" style="1" width="22"/>
    <col collapsed="false" customWidth="true" hidden="false" outlineLevel="0" max="7" min="7" style="1" width="70"/>
  </cols>
  <sheetData>
    <row r="1" customFormat="false" ht="17.25" hidden="false" customHeight="true" outlineLevel="0" collapsed="false">
      <c r="A1" s="2" t="s">
        <v>1076</v>
      </c>
    </row>
    <row r="2" customFormat="false" ht="15" hidden="false" customHeight="true" outlineLevel="0" collapsed="false">
      <c r="A2" s="3" t="s">
        <v>1</v>
      </c>
    </row>
    <row r="4" customFormat="false" ht="26.25" hidden="false" customHeight="true" outlineLevel="0" collapsed="false">
      <c r="A4" s="4" t="s">
        <v>1077</v>
      </c>
      <c r="B4" s="4" t="s">
        <v>1078</v>
      </c>
      <c r="C4" s="4" t="s">
        <v>1079</v>
      </c>
      <c r="D4" s="4" t="s">
        <v>1080</v>
      </c>
      <c r="E4" s="4" t="s">
        <v>1081</v>
      </c>
      <c r="F4" s="4" t="s">
        <v>1082</v>
      </c>
      <c r="G4" s="4" t="s">
        <v>1083</v>
      </c>
    </row>
    <row r="5" customFormat="false" ht="15" hidden="false" customHeight="true" outlineLevel="0" collapsed="false">
      <c r="A5" s="6" t="s">
        <v>215</v>
      </c>
      <c r="B5" s="6" t="s">
        <v>1084</v>
      </c>
      <c r="C5" s="6" t="s">
        <v>1085</v>
      </c>
      <c r="D5" s="6" t="s">
        <v>1086</v>
      </c>
      <c r="E5" s="6" t="s">
        <v>1087</v>
      </c>
      <c r="F5" s="9" t="s">
        <v>1088</v>
      </c>
      <c r="G5" s="6" t="s">
        <v>1089</v>
      </c>
    </row>
    <row r="6" customFormat="false" ht="15" hidden="false" customHeight="true" outlineLevel="0" collapsed="false">
      <c r="A6" s="6" t="s">
        <v>202</v>
      </c>
      <c r="B6" s="6" t="s">
        <v>1090</v>
      </c>
      <c r="C6" s="6" t="s">
        <v>1085</v>
      </c>
      <c r="D6" s="6" t="s">
        <v>1091</v>
      </c>
      <c r="E6" s="6" t="s">
        <v>1092</v>
      </c>
      <c r="F6" s="9" t="s">
        <v>1088</v>
      </c>
      <c r="G6" s="6" t="s">
        <v>1093</v>
      </c>
    </row>
    <row r="7" customFormat="false" ht="15" hidden="false" customHeight="true" outlineLevel="0" collapsed="false">
      <c r="A7" s="6" t="s">
        <v>547</v>
      </c>
      <c r="B7" s="6" t="s">
        <v>1094</v>
      </c>
      <c r="C7" s="6" t="s">
        <v>1085</v>
      </c>
      <c r="D7" s="6" t="s">
        <v>1095</v>
      </c>
      <c r="E7" s="6" t="s">
        <v>1087</v>
      </c>
      <c r="F7" s="9" t="s">
        <v>1088</v>
      </c>
      <c r="G7" s="6" t="s">
        <v>1096</v>
      </c>
    </row>
    <row r="8" customFormat="false" ht="15" hidden="false" customHeight="true" outlineLevel="0" collapsed="false">
      <c r="A8" s="6" t="s">
        <v>117</v>
      </c>
      <c r="B8" s="6" t="s">
        <v>1097</v>
      </c>
      <c r="C8" s="6" t="s">
        <v>1085</v>
      </c>
      <c r="D8" s="6" t="s">
        <v>1098</v>
      </c>
      <c r="E8" s="6" t="s">
        <v>1087</v>
      </c>
      <c r="F8" s="9" t="s">
        <v>1088</v>
      </c>
      <c r="G8" s="6" t="s">
        <v>1089</v>
      </c>
    </row>
    <row r="9" customFormat="false" ht="23.25" hidden="false" customHeight="true" outlineLevel="0" collapsed="false">
      <c r="A9" s="6" t="s">
        <v>161</v>
      </c>
      <c r="B9" s="6" t="s">
        <v>1099</v>
      </c>
      <c r="C9" s="6" t="s">
        <v>1100</v>
      </c>
      <c r="D9" s="6" t="s">
        <v>1101</v>
      </c>
      <c r="E9" s="6" t="s">
        <v>1087</v>
      </c>
      <c r="F9" s="9" t="s">
        <v>1088</v>
      </c>
      <c r="G9" s="6" t="s">
        <v>1102</v>
      </c>
    </row>
    <row r="10" customFormat="false" ht="23.25" hidden="false" customHeight="true" outlineLevel="0" collapsed="false">
      <c r="A10" s="6" t="s">
        <v>109</v>
      </c>
      <c r="B10" s="6" t="s">
        <v>1103</v>
      </c>
      <c r="C10" s="6" t="s">
        <v>1100</v>
      </c>
      <c r="D10" s="6" t="s">
        <v>1104</v>
      </c>
      <c r="E10" s="6" t="s">
        <v>1105</v>
      </c>
      <c r="F10" s="11" t="s">
        <v>1106</v>
      </c>
      <c r="G10" s="6" t="s">
        <v>1107</v>
      </c>
    </row>
    <row r="11" customFormat="false" ht="15" hidden="false" customHeight="true" outlineLevel="0" collapsed="false">
      <c r="A11" s="6" t="s">
        <v>277</v>
      </c>
      <c r="B11" s="6" t="s">
        <v>1108</v>
      </c>
      <c r="C11" s="6" t="s">
        <v>1100</v>
      </c>
      <c r="D11" s="6" t="s">
        <v>1109</v>
      </c>
      <c r="E11" s="6" t="s">
        <v>1087</v>
      </c>
      <c r="F11" s="9" t="s">
        <v>1088</v>
      </c>
      <c r="G11" s="6" t="s">
        <v>1089</v>
      </c>
    </row>
    <row r="12" customFormat="false" ht="23.25" hidden="false" customHeight="true" outlineLevel="0" collapsed="false">
      <c r="A12" s="6" t="s">
        <v>144</v>
      </c>
      <c r="B12" s="6" t="s">
        <v>1110</v>
      </c>
      <c r="C12" s="6" t="s">
        <v>1100</v>
      </c>
      <c r="D12" s="6" t="s">
        <v>1111</v>
      </c>
      <c r="E12" s="6" t="s">
        <v>1105</v>
      </c>
      <c r="F12" s="9" t="s">
        <v>1088</v>
      </c>
      <c r="G12" s="6" t="s">
        <v>1089</v>
      </c>
    </row>
    <row r="13" customFormat="false" ht="15" hidden="false" customHeight="true" outlineLevel="0" collapsed="false">
      <c r="A13" s="6" t="s">
        <v>379</v>
      </c>
      <c r="B13" s="6" t="s">
        <v>1112</v>
      </c>
      <c r="C13" s="6" t="s">
        <v>1100</v>
      </c>
      <c r="D13" s="6" t="s">
        <v>1113</v>
      </c>
      <c r="E13" s="6" t="s">
        <v>1087</v>
      </c>
      <c r="F13" s="9" t="s">
        <v>1088</v>
      </c>
      <c r="G13" s="6" t="s">
        <v>1089</v>
      </c>
    </row>
    <row r="14" customFormat="false" ht="23.25" hidden="false" customHeight="true" outlineLevel="0" collapsed="false">
      <c r="A14" s="6" t="s">
        <v>1114</v>
      </c>
      <c r="B14" s="6" t="s">
        <v>1115</v>
      </c>
      <c r="C14" s="6" t="s">
        <v>1100</v>
      </c>
      <c r="D14" s="6" t="s">
        <v>1116</v>
      </c>
      <c r="E14" s="6" t="s">
        <v>1117</v>
      </c>
      <c r="F14" s="11" t="s">
        <v>1118</v>
      </c>
      <c r="G14" s="6" t="s">
        <v>1119</v>
      </c>
    </row>
    <row r="15" customFormat="false" ht="23.25" hidden="false" customHeight="true" outlineLevel="0" collapsed="false">
      <c r="A15" s="6" t="s">
        <v>520</v>
      </c>
      <c r="B15" s="6" t="s">
        <v>1120</v>
      </c>
      <c r="C15" s="6" t="s">
        <v>1121</v>
      </c>
      <c r="D15" s="6" t="s">
        <v>1122</v>
      </c>
      <c r="E15" s="6" t="s">
        <v>1123</v>
      </c>
      <c r="F15" s="11" t="s">
        <v>1124</v>
      </c>
      <c r="G15" s="6" t="s">
        <v>1125</v>
      </c>
    </row>
    <row r="16" customFormat="false" ht="15" hidden="false" customHeight="true" outlineLevel="0" collapsed="false">
      <c r="A16" s="6" t="s">
        <v>136</v>
      </c>
      <c r="B16" s="6" t="s">
        <v>1126</v>
      </c>
      <c r="C16" s="6" t="s">
        <v>1121</v>
      </c>
      <c r="D16" s="6" t="s">
        <v>1127</v>
      </c>
      <c r="E16" s="6" t="s">
        <v>1087</v>
      </c>
      <c r="F16" s="9" t="s">
        <v>1088</v>
      </c>
      <c r="G16" s="6" t="s">
        <v>1128</v>
      </c>
    </row>
    <row r="17" customFormat="false" ht="23.25" hidden="false" customHeight="true" outlineLevel="0" collapsed="false">
      <c r="A17" s="6" t="s">
        <v>1129</v>
      </c>
      <c r="B17" s="6" t="s">
        <v>1130</v>
      </c>
      <c r="C17" s="6" t="s">
        <v>1121</v>
      </c>
      <c r="D17" s="6" t="s">
        <v>1131</v>
      </c>
      <c r="E17" s="6" t="s">
        <v>1132</v>
      </c>
      <c r="F17" s="10" t="s">
        <v>1133</v>
      </c>
      <c r="G17" s="6" t="s">
        <v>1134</v>
      </c>
    </row>
    <row r="18" customFormat="false" ht="23.25" hidden="false" customHeight="true" outlineLevel="0" collapsed="false">
      <c r="A18" s="6" t="s">
        <v>1135</v>
      </c>
      <c r="B18" s="6" t="s">
        <v>1136</v>
      </c>
      <c r="C18" s="6" t="s">
        <v>1121</v>
      </c>
      <c r="D18" s="6" t="s">
        <v>1137</v>
      </c>
      <c r="E18" s="6" t="s">
        <v>1123</v>
      </c>
      <c r="F18" s="9" t="s">
        <v>1088</v>
      </c>
      <c r="G18" s="6" t="s">
        <v>1138</v>
      </c>
    </row>
    <row r="19" customFormat="false" ht="23.25" hidden="false" customHeight="true" outlineLevel="0" collapsed="false">
      <c r="A19" s="6" t="s">
        <v>1139</v>
      </c>
      <c r="B19" s="6" t="s">
        <v>1140</v>
      </c>
      <c r="C19" s="6" t="s">
        <v>1121</v>
      </c>
      <c r="D19" s="6" t="s">
        <v>1141</v>
      </c>
      <c r="E19" s="6" t="s">
        <v>1142</v>
      </c>
      <c r="F19" s="11" t="s">
        <v>1143</v>
      </c>
      <c r="G19" s="6" t="s">
        <v>1144</v>
      </c>
    </row>
    <row r="20" customFormat="false" ht="23.25" hidden="false" customHeight="true" outlineLevel="0" collapsed="false">
      <c r="A20" s="6" t="s">
        <v>630</v>
      </c>
      <c r="B20" s="6" t="s">
        <v>1145</v>
      </c>
      <c r="C20" s="6" t="s">
        <v>1146</v>
      </c>
      <c r="D20" s="6" t="s">
        <v>1147</v>
      </c>
      <c r="E20" s="6" t="s">
        <v>1148</v>
      </c>
      <c r="F20" s="9" t="s">
        <v>1088</v>
      </c>
      <c r="G20" s="6" t="s">
        <v>1149</v>
      </c>
    </row>
    <row r="21" customFormat="false" ht="23.25" hidden="false" customHeight="true" outlineLevel="0" collapsed="false">
      <c r="A21" s="6" t="s">
        <v>539</v>
      </c>
      <c r="B21" s="6" t="s">
        <v>1150</v>
      </c>
      <c r="C21" s="6" t="s">
        <v>1146</v>
      </c>
      <c r="D21" s="6" t="s">
        <v>1151</v>
      </c>
      <c r="E21" s="6" t="s">
        <v>1148</v>
      </c>
      <c r="F21" s="9" t="s">
        <v>1088</v>
      </c>
      <c r="G21" s="6" t="s">
        <v>1089</v>
      </c>
    </row>
    <row r="22" customFormat="false" ht="23.25" hidden="false" customHeight="true" outlineLevel="0" collapsed="false">
      <c r="A22" s="6" t="s">
        <v>1152</v>
      </c>
      <c r="B22" s="6" t="s">
        <v>1153</v>
      </c>
      <c r="C22" s="6" t="s">
        <v>1154</v>
      </c>
      <c r="D22" s="6" t="s">
        <v>1155</v>
      </c>
      <c r="E22" s="6" t="s">
        <v>1156</v>
      </c>
      <c r="F22" s="10" t="s">
        <v>1157</v>
      </c>
      <c r="G22" s="6" t="s">
        <v>1158</v>
      </c>
    </row>
    <row r="24" customFormat="false" ht="26.25" hidden="false" customHeight="true" outlineLevel="0" collapsed="false">
      <c r="A24" s="4" t="s">
        <v>995</v>
      </c>
      <c r="B24" s="4" t="s">
        <v>1159</v>
      </c>
      <c r="C24" s="4" t="s">
        <v>1160</v>
      </c>
      <c r="D24" s="4" t="s">
        <v>1083</v>
      </c>
    </row>
    <row r="25" customFormat="false" ht="113.25" hidden="false" customHeight="true" outlineLevel="0" collapsed="false">
      <c r="A25" s="6" t="s">
        <v>1161</v>
      </c>
      <c r="B25" s="6" t="s">
        <v>1162</v>
      </c>
      <c r="C25" s="6" t="s">
        <v>1163</v>
      </c>
      <c r="D25" s="6" t="s">
        <v>1164</v>
      </c>
    </row>
    <row r="26" customFormat="false" ht="79.5" hidden="false" customHeight="true" outlineLevel="0" collapsed="false">
      <c r="A26" s="6" t="s">
        <v>1165</v>
      </c>
      <c r="B26" s="6" t="s">
        <v>1166</v>
      </c>
      <c r="C26" s="6" t="s">
        <v>1167</v>
      </c>
      <c r="D26" s="6" t="s">
        <v>1168</v>
      </c>
    </row>
    <row r="27" customFormat="false" ht="79.5" hidden="false" customHeight="true" outlineLevel="0" collapsed="false">
      <c r="A27" s="6" t="s">
        <v>1169</v>
      </c>
      <c r="B27" s="6" t="s">
        <v>1170</v>
      </c>
      <c r="C27" s="6" t="s">
        <v>1171</v>
      </c>
      <c r="D27" s="6" t="s">
        <v>1172</v>
      </c>
    </row>
    <row r="28" customFormat="false" ht="68.25" hidden="false" customHeight="true" outlineLevel="0" collapsed="false">
      <c r="A28" s="6" t="s">
        <v>1173</v>
      </c>
      <c r="B28" s="6" t="s">
        <v>1174</v>
      </c>
      <c r="C28" s="6" t="s">
        <v>1175</v>
      </c>
      <c r="D28" s="6" t="s">
        <v>1176</v>
      </c>
    </row>
    <row r="29" customFormat="false" ht="45.75" hidden="false" customHeight="true" outlineLevel="0" collapsed="false">
      <c r="A29" s="6" t="s">
        <v>1177</v>
      </c>
      <c r="B29" s="6" t="s">
        <v>1178</v>
      </c>
      <c r="C29" s="6" t="s">
        <v>1179</v>
      </c>
      <c r="D29" s="6" t="s">
        <v>1180</v>
      </c>
    </row>
    <row r="30" customFormat="false" ht="135.75" hidden="false" customHeight="true" outlineLevel="0" collapsed="false">
      <c r="A30" s="6" t="s">
        <v>1181</v>
      </c>
      <c r="B30" s="6" t="s">
        <v>1182</v>
      </c>
      <c r="C30" s="6" t="s">
        <v>1183</v>
      </c>
      <c r="D30" s="6" t="s">
        <v>1184</v>
      </c>
    </row>
    <row r="32" customFormat="false" ht="34.5" hidden="false" customHeight="true" outlineLevel="0" collapsed="false">
      <c r="A32" s="5" t="s">
        <v>1185</v>
      </c>
      <c r="C32" s="8" t="n">
        <f aca="false">COUNTIF(F5:F22,"YES*")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9"/>
    <col collapsed="false" customWidth="true" hidden="false" outlineLevel="0" max="3" min="3" style="1" width="44"/>
    <col collapsed="false" customWidth="true" hidden="false" outlineLevel="0" max="6" min="4" style="1" width="12"/>
    <col collapsed="false" customWidth="true" hidden="false" outlineLevel="0" max="7" min="7" style="1" width="9"/>
    <col collapsed="false" customWidth="true" hidden="false" outlineLevel="0" max="9" min="8" style="1" width="12"/>
  </cols>
  <sheetData>
    <row r="1" customFormat="false" ht="17.25" hidden="false" customHeight="true" outlineLevel="0" collapsed="false">
      <c r="A1" s="2" t="s">
        <v>1186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12" t="s">
        <v>1187</v>
      </c>
    </row>
    <row r="5" customFormat="false" ht="26.25" hidden="false" customHeight="true" outlineLevel="0" collapsed="false">
      <c r="A5" s="4" t="s">
        <v>837</v>
      </c>
      <c r="B5" s="4" t="s">
        <v>1188</v>
      </c>
      <c r="C5" s="4" t="s">
        <v>1189</v>
      </c>
      <c r="D5" s="4" t="s">
        <v>1190</v>
      </c>
      <c r="E5" s="4" t="s">
        <v>1191</v>
      </c>
      <c r="F5" s="4" t="s">
        <v>1192</v>
      </c>
      <c r="G5" s="4" t="s">
        <v>1193</v>
      </c>
      <c r="H5" s="4" t="s">
        <v>1194</v>
      </c>
      <c r="I5" s="4" t="s">
        <v>1195</v>
      </c>
    </row>
    <row r="6" customFormat="false" ht="15" hidden="false" customHeight="true" outlineLevel="0" collapsed="false">
      <c r="A6" s="6" t="s">
        <v>1196</v>
      </c>
      <c r="B6" s="6" t="s">
        <v>93</v>
      </c>
      <c r="C6" s="6" t="s">
        <v>1197</v>
      </c>
      <c r="D6" s="7" t="n">
        <v>1</v>
      </c>
      <c r="E6" s="7" t="n">
        <v>1</v>
      </c>
      <c r="F6" s="7" t="n">
        <v>1</v>
      </c>
      <c r="G6" s="7" t="n">
        <v>2</v>
      </c>
      <c r="H6" s="8" t="n">
        <f aca="false">G6-F6</f>
        <v>1</v>
      </c>
      <c r="I6" s="8" t="str">
        <f aca="false">IF(F6=E6,"No","YES")</f>
        <v>No</v>
      </c>
    </row>
    <row r="7" customFormat="false" ht="15" hidden="false" customHeight="true" outlineLevel="0" collapsed="false">
      <c r="A7" s="6" t="s">
        <v>1198</v>
      </c>
      <c r="B7" s="6" t="s">
        <v>94</v>
      </c>
      <c r="C7" s="6" t="s">
        <v>1199</v>
      </c>
      <c r="D7" s="7" t="n">
        <v>2</v>
      </c>
      <c r="E7" s="7" t="n">
        <v>2</v>
      </c>
      <c r="F7" s="7" t="n">
        <v>2</v>
      </c>
      <c r="G7" s="7" t="n">
        <v>3</v>
      </c>
      <c r="H7" s="8" t="n">
        <f aca="false">G7-F7</f>
        <v>1</v>
      </c>
      <c r="I7" s="8" t="str">
        <f aca="false">IF(F7=E7,"No","YES")</f>
        <v>No</v>
      </c>
    </row>
    <row r="8" customFormat="false" ht="15" hidden="false" customHeight="true" outlineLevel="0" collapsed="false">
      <c r="A8" s="6" t="s">
        <v>1200</v>
      </c>
      <c r="B8" s="6" t="s">
        <v>100</v>
      </c>
      <c r="C8" s="6" t="s">
        <v>1201</v>
      </c>
      <c r="D8" s="7" t="n">
        <v>2</v>
      </c>
      <c r="E8" s="7" t="n">
        <v>2</v>
      </c>
      <c r="F8" s="7" t="n">
        <v>2</v>
      </c>
      <c r="G8" s="7" t="n">
        <v>3</v>
      </c>
      <c r="H8" s="8" t="n">
        <f aca="false">G8-F8</f>
        <v>1</v>
      </c>
      <c r="I8" s="8" t="str">
        <f aca="false">IF(F8=E8,"No","YES")</f>
        <v>No</v>
      </c>
    </row>
    <row r="9" customFormat="false" ht="15" hidden="false" customHeight="true" outlineLevel="0" collapsed="false">
      <c r="A9" s="6" t="s">
        <v>1202</v>
      </c>
      <c r="B9" s="6" t="s">
        <v>92</v>
      </c>
      <c r="C9" s="6" t="s">
        <v>1203</v>
      </c>
      <c r="D9" s="7" t="n">
        <v>2</v>
      </c>
      <c r="E9" s="7" t="n">
        <v>2</v>
      </c>
      <c r="F9" s="7" t="n">
        <v>2</v>
      </c>
      <c r="G9" s="7" t="n">
        <v>3</v>
      </c>
      <c r="H9" s="8" t="n">
        <f aca="false">G9-F9</f>
        <v>1</v>
      </c>
      <c r="I9" s="8" t="str">
        <f aca="false">IF(F9=E9,"No","YES")</f>
        <v>No</v>
      </c>
    </row>
    <row r="10" customFormat="false" ht="15" hidden="false" customHeight="true" outlineLevel="0" collapsed="false">
      <c r="A10" s="6" t="s">
        <v>1204</v>
      </c>
      <c r="B10" s="6" t="s">
        <v>348</v>
      </c>
      <c r="C10" s="6" t="s">
        <v>1205</v>
      </c>
      <c r="D10" s="7" t="n">
        <v>1</v>
      </c>
      <c r="E10" s="7" t="n">
        <v>1</v>
      </c>
      <c r="F10" s="7" t="n">
        <v>1</v>
      </c>
      <c r="G10" s="7" t="n">
        <v>3</v>
      </c>
      <c r="H10" s="8" t="n">
        <f aca="false">G10-F10</f>
        <v>2</v>
      </c>
      <c r="I10" s="8" t="str">
        <f aca="false">IF(F10=E10,"No","YES")</f>
        <v>No</v>
      </c>
    </row>
    <row r="11" customFormat="false" ht="15" hidden="false" customHeight="true" outlineLevel="0" collapsed="false">
      <c r="A11" s="6" t="s">
        <v>1206</v>
      </c>
      <c r="B11" s="6" t="s">
        <v>228</v>
      </c>
      <c r="C11" s="6" t="s">
        <v>1207</v>
      </c>
      <c r="D11" s="7" t="n">
        <v>0</v>
      </c>
      <c r="E11" s="7" t="n">
        <v>2</v>
      </c>
      <c r="F11" s="7" t="n">
        <v>2</v>
      </c>
      <c r="G11" s="7" t="n">
        <v>2</v>
      </c>
      <c r="H11" s="8" t="n">
        <f aca="false">G11-F11</f>
        <v>0</v>
      </c>
      <c r="I11" s="8" t="str">
        <f aca="false">IF(F11=E11,"No","YES")</f>
        <v>No</v>
      </c>
    </row>
    <row r="12" customFormat="false" ht="15" hidden="false" customHeight="true" outlineLevel="0" collapsed="false">
      <c r="A12" s="6" t="s">
        <v>1208</v>
      </c>
      <c r="B12" s="6" t="s">
        <v>159</v>
      </c>
      <c r="C12" s="6" t="s">
        <v>1209</v>
      </c>
      <c r="D12" s="7" t="n">
        <v>1</v>
      </c>
      <c r="E12" s="7" t="n">
        <v>1</v>
      </c>
      <c r="F12" s="7" t="n">
        <v>1</v>
      </c>
      <c r="G12" s="7" t="n">
        <v>3</v>
      </c>
      <c r="H12" s="8" t="n">
        <f aca="false">G12-F12</f>
        <v>2</v>
      </c>
      <c r="I12" s="8" t="str">
        <f aca="false">IF(F12=E12,"No","YES")</f>
        <v>No</v>
      </c>
    </row>
    <row r="13" customFormat="false" ht="15" hidden="false" customHeight="true" outlineLevel="0" collapsed="false">
      <c r="A13" s="6" t="s">
        <v>1210</v>
      </c>
      <c r="B13" s="6" t="s">
        <v>143</v>
      </c>
      <c r="C13" s="6" t="s">
        <v>1211</v>
      </c>
      <c r="D13" s="7" t="n">
        <v>3</v>
      </c>
      <c r="E13" s="7" t="n">
        <v>3</v>
      </c>
      <c r="F13" s="7" t="n">
        <v>3</v>
      </c>
      <c r="G13" s="7" t="n">
        <v>3</v>
      </c>
      <c r="H13" s="8" t="n">
        <f aca="false">G13-F13</f>
        <v>0</v>
      </c>
      <c r="I13" s="8" t="str">
        <f aca="false">IF(F13=E13,"No","YES")</f>
        <v>No</v>
      </c>
    </row>
    <row r="14" customFormat="false" ht="15" hidden="false" customHeight="true" outlineLevel="0" collapsed="false">
      <c r="A14" s="6" t="s">
        <v>1212</v>
      </c>
      <c r="B14" s="6" t="s">
        <v>292</v>
      </c>
      <c r="C14" s="6" t="s">
        <v>1213</v>
      </c>
      <c r="D14" s="7" t="n">
        <v>1</v>
      </c>
      <c r="E14" s="7" t="n">
        <v>1</v>
      </c>
      <c r="F14" s="7" t="n">
        <v>1</v>
      </c>
      <c r="G14" s="7" t="n">
        <v>2</v>
      </c>
      <c r="H14" s="8" t="n">
        <f aca="false">G14-F14</f>
        <v>1</v>
      </c>
      <c r="I14" s="8" t="str">
        <f aca="false">IF(F14=E14,"No","YES")</f>
        <v>No</v>
      </c>
    </row>
    <row r="15" customFormat="false" ht="23.25" hidden="false" customHeight="true" outlineLevel="0" collapsed="false">
      <c r="A15" s="6" t="s">
        <v>1214</v>
      </c>
      <c r="B15" s="6" t="s">
        <v>175</v>
      </c>
      <c r="C15" s="6" t="s">
        <v>1215</v>
      </c>
      <c r="D15" s="7" t="n">
        <v>2</v>
      </c>
      <c r="E15" s="7" t="n">
        <v>2</v>
      </c>
      <c r="F15" s="7" t="n">
        <v>2</v>
      </c>
      <c r="G15" s="7" t="n">
        <v>3</v>
      </c>
      <c r="H15" s="8" t="n">
        <f aca="false">G15-F15</f>
        <v>1</v>
      </c>
      <c r="I15" s="8" t="str">
        <f aca="false">IF(F15=E15,"No","YES")</f>
        <v>No</v>
      </c>
    </row>
    <row r="16" customFormat="false" ht="15" hidden="false" customHeight="true" outlineLevel="0" collapsed="false">
      <c r="A16" s="6" t="s">
        <v>1216</v>
      </c>
      <c r="B16" s="6" t="s">
        <v>377</v>
      </c>
      <c r="C16" s="6" t="s">
        <v>1217</v>
      </c>
      <c r="D16" s="7" t="n">
        <v>1</v>
      </c>
      <c r="E16" s="7" t="n">
        <v>1</v>
      </c>
      <c r="F16" s="7" t="n">
        <v>1</v>
      </c>
      <c r="G16" s="7" t="n">
        <v>3</v>
      </c>
      <c r="H16" s="8" t="n">
        <f aca="false">G16-F16</f>
        <v>2</v>
      </c>
      <c r="I16" s="8" t="str">
        <f aca="false">IF(F16=E16,"No","YES")</f>
        <v>No</v>
      </c>
    </row>
    <row r="17" customFormat="false" ht="15" hidden="false" customHeight="true" outlineLevel="0" collapsed="false">
      <c r="A17" s="6" t="s">
        <v>1218</v>
      </c>
      <c r="B17" s="6" t="s">
        <v>184</v>
      </c>
      <c r="C17" s="6" t="s">
        <v>1219</v>
      </c>
      <c r="D17" s="7" t="n">
        <v>2</v>
      </c>
      <c r="E17" s="7" t="n">
        <v>2</v>
      </c>
      <c r="F17" s="7" t="n">
        <v>2</v>
      </c>
      <c r="G17" s="7" t="n">
        <v>3</v>
      </c>
      <c r="H17" s="8" t="n">
        <f aca="false">G17-F17</f>
        <v>1</v>
      </c>
      <c r="I17" s="8" t="str">
        <f aca="false">IF(F17=E17,"No","YES")</f>
        <v>No</v>
      </c>
    </row>
    <row r="18" customFormat="false" ht="15" hidden="false" customHeight="true" outlineLevel="0" collapsed="false">
      <c r="A18" s="6" t="s">
        <v>1220</v>
      </c>
      <c r="B18" s="6" t="s">
        <v>145</v>
      </c>
      <c r="C18" s="6" t="s">
        <v>1221</v>
      </c>
      <c r="D18" s="7" t="n">
        <v>0</v>
      </c>
      <c r="E18" s="7" t="n">
        <v>0</v>
      </c>
      <c r="F18" s="7" t="n">
        <v>0</v>
      </c>
      <c r="G18" s="7" t="n">
        <v>3</v>
      </c>
      <c r="H18" s="8" t="n">
        <f aca="false">G18-F18</f>
        <v>3</v>
      </c>
      <c r="I18" s="8" t="str">
        <f aca="false">IF(F18=E18,"No","YES")</f>
        <v>No</v>
      </c>
    </row>
    <row r="19" customFormat="false" ht="15" hidden="false" customHeight="true" outlineLevel="0" collapsed="false">
      <c r="A19" s="6" t="s">
        <v>1222</v>
      </c>
      <c r="B19" s="6" t="s">
        <v>262</v>
      </c>
      <c r="C19" s="6" t="s">
        <v>1223</v>
      </c>
      <c r="D19" s="7" t="n">
        <v>0</v>
      </c>
      <c r="E19" s="7" t="n">
        <v>0</v>
      </c>
      <c r="F19" s="7" t="n">
        <v>0</v>
      </c>
      <c r="G19" s="7" t="n">
        <v>3</v>
      </c>
      <c r="H19" s="8" t="n">
        <f aca="false">G19-F19</f>
        <v>3</v>
      </c>
      <c r="I19" s="8" t="str">
        <f aca="false">IF(F19=E19,"No","YES")</f>
        <v>No</v>
      </c>
    </row>
    <row r="20" customFormat="false" ht="15" hidden="false" customHeight="true" outlineLevel="0" collapsed="false">
      <c r="A20" s="6" t="s">
        <v>1224</v>
      </c>
      <c r="B20" s="6" t="s">
        <v>540</v>
      </c>
      <c r="C20" s="6" t="s">
        <v>1225</v>
      </c>
      <c r="D20" s="7" t="n">
        <v>1</v>
      </c>
      <c r="E20" s="7" t="n">
        <v>1</v>
      </c>
      <c r="F20" s="7" t="n">
        <v>1</v>
      </c>
      <c r="G20" s="7" t="n">
        <v>3</v>
      </c>
      <c r="H20" s="8" t="n">
        <f aca="false">G20-F20</f>
        <v>2</v>
      </c>
      <c r="I20" s="8" t="str">
        <f aca="false">IF(F20=E20,"No","YES")</f>
        <v>No</v>
      </c>
    </row>
    <row r="21" customFormat="false" ht="15" hidden="false" customHeight="true" outlineLevel="0" collapsed="false">
      <c r="A21" s="6" t="s">
        <v>1226</v>
      </c>
      <c r="B21" s="6" t="s">
        <v>276</v>
      </c>
      <c r="C21" s="6" t="s">
        <v>1227</v>
      </c>
      <c r="D21" s="7" t="n">
        <v>1</v>
      </c>
      <c r="E21" s="7" t="n">
        <v>1</v>
      </c>
      <c r="F21" s="7" t="n">
        <v>1</v>
      </c>
      <c r="G21" s="7" t="n">
        <v>2</v>
      </c>
      <c r="H21" s="8" t="n">
        <f aca="false">G21-F21</f>
        <v>1</v>
      </c>
      <c r="I21" s="8" t="str">
        <f aca="false">IF(F21=E21,"No","YES")</f>
        <v>No</v>
      </c>
    </row>
    <row r="22" customFormat="false" ht="15" hidden="false" customHeight="true" outlineLevel="0" collapsed="false">
      <c r="A22" s="6" t="s">
        <v>1228</v>
      </c>
      <c r="B22" s="6" t="s">
        <v>270</v>
      </c>
      <c r="C22" s="6" t="s">
        <v>1229</v>
      </c>
      <c r="D22" s="7" t="n">
        <v>2</v>
      </c>
      <c r="E22" s="7" t="n">
        <v>2</v>
      </c>
      <c r="F22" s="7" t="n">
        <v>2</v>
      </c>
      <c r="G22" s="7" t="n">
        <v>3</v>
      </c>
      <c r="H22" s="8" t="n">
        <f aca="false">G22-F22</f>
        <v>1</v>
      </c>
      <c r="I22" s="8" t="str">
        <f aca="false">IF(F22=E22,"No","YES")</f>
        <v>No</v>
      </c>
    </row>
    <row r="23" customFormat="false" ht="15" hidden="false" customHeight="true" outlineLevel="0" collapsed="false">
      <c r="A23" s="6" t="s">
        <v>1230</v>
      </c>
      <c r="B23" s="6" t="s">
        <v>293</v>
      </c>
      <c r="C23" s="6" t="s">
        <v>1231</v>
      </c>
      <c r="D23" s="7" t="n">
        <v>1</v>
      </c>
      <c r="E23" s="7" t="n">
        <v>1</v>
      </c>
      <c r="F23" s="7" t="n">
        <v>1</v>
      </c>
      <c r="G23" s="7" t="n">
        <v>2</v>
      </c>
      <c r="H23" s="8" t="n">
        <f aca="false">G23-F23</f>
        <v>1</v>
      </c>
      <c r="I23" s="8" t="str">
        <f aca="false">IF(F23=E23,"No","YES")</f>
        <v>No</v>
      </c>
    </row>
    <row r="24" customFormat="false" ht="15" hidden="false" customHeight="true" outlineLevel="0" collapsed="false">
      <c r="A24" s="6" t="s">
        <v>1232</v>
      </c>
      <c r="B24" s="6" t="s">
        <v>128</v>
      </c>
      <c r="C24" s="6" t="s">
        <v>1233</v>
      </c>
      <c r="D24" s="7" t="n">
        <v>2</v>
      </c>
      <c r="E24" s="7" t="n">
        <v>2</v>
      </c>
      <c r="F24" s="7" t="n">
        <v>2</v>
      </c>
      <c r="G24" s="7" t="n">
        <v>3</v>
      </c>
      <c r="H24" s="8" t="n">
        <f aca="false">G24-F24</f>
        <v>1</v>
      </c>
      <c r="I24" s="8" t="str">
        <f aca="false">IF(F24=E24,"No","YES")</f>
        <v>No</v>
      </c>
    </row>
    <row r="25" customFormat="false" ht="15" hidden="false" customHeight="true" outlineLevel="0" collapsed="false">
      <c r="A25" s="6" t="s">
        <v>1234</v>
      </c>
      <c r="B25" s="6" t="s">
        <v>285</v>
      </c>
      <c r="C25" s="6" t="s">
        <v>1235</v>
      </c>
      <c r="D25" s="7" t="n">
        <v>1</v>
      </c>
      <c r="E25" s="7" t="n">
        <v>1</v>
      </c>
      <c r="F25" s="7" t="n">
        <v>1</v>
      </c>
      <c r="G25" s="7" t="n">
        <v>2</v>
      </c>
      <c r="H25" s="8" t="n">
        <f aca="false">G25-F25</f>
        <v>1</v>
      </c>
      <c r="I25" s="8" t="str">
        <f aca="false">IF(F25=E25,"No","YES")</f>
        <v>No</v>
      </c>
    </row>
    <row r="26" customFormat="false" ht="15" hidden="false" customHeight="true" outlineLevel="0" collapsed="false">
      <c r="A26" s="6" t="s">
        <v>1236</v>
      </c>
      <c r="B26" s="6" t="s">
        <v>308</v>
      </c>
      <c r="C26" s="6" t="s">
        <v>1237</v>
      </c>
      <c r="D26" s="7" t="n">
        <v>1</v>
      </c>
      <c r="E26" s="7" t="n">
        <v>1</v>
      </c>
      <c r="F26" s="7" t="n">
        <v>1</v>
      </c>
      <c r="G26" s="7" t="n">
        <v>3</v>
      </c>
      <c r="H26" s="8" t="n">
        <f aca="false">G26-F26</f>
        <v>2</v>
      </c>
      <c r="I26" s="8" t="str">
        <f aca="false">IF(F26=E26,"No","YES")</f>
        <v>No</v>
      </c>
    </row>
    <row r="27" customFormat="false" ht="15" hidden="false" customHeight="true" outlineLevel="0" collapsed="false">
      <c r="A27" s="6" t="s">
        <v>1238</v>
      </c>
      <c r="B27" s="6" t="s">
        <v>129</v>
      </c>
      <c r="C27" s="6" t="s">
        <v>1239</v>
      </c>
      <c r="D27" s="7" t="n">
        <v>0</v>
      </c>
      <c r="E27" s="7" t="n">
        <v>0</v>
      </c>
      <c r="F27" s="7" t="n">
        <v>0</v>
      </c>
      <c r="G27" s="7" t="n">
        <v>2</v>
      </c>
      <c r="H27" s="8" t="n">
        <f aca="false">G27-F27</f>
        <v>2</v>
      </c>
      <c r="I27" s="8" t="str">
        <f aca="false">IF(F27=E27,"No","YES")</f>
        <v>No</v>
      </c>
    </row>
    <row r="28" customFormat="false" ht="15" hidden="false" customHeight="true" outlineLevel="0" collapsed="false">
      <c r="C28" s="5" t="s">
        <v>1240</v>
      </c>
      <c r="D28" s="8" t="n">
        <f aca="false">SUM(D6:D27)</f>
        <v>27</v>
      </c>
      <c r="E28" s="8" t="n">
        <f aca="false">SUM(E6:E27)</f>
        <v>29</v>
      </c>
      <c r="F28" s="8" t="n">
        <f aca="false">SUM(F6:F27)</f>
        <v>29</v>
      </c>
      <c r="G28" s="8" t="n">
        <f aca="false">SUM(G6:G27)</f>
        <v>59</v>
      </c>
      <c r="H28" s="8" t="n">
        <f aca="false">SUM(H6:H27)</f>
        <v>30</v>
      </c>
    </row>
    <row r="29" customFormat="false" ht="15" hidden="false" customHeight="true" outlineLevel="0" collapsed="false">
      <c r="C29" s="5" t="s">
        <v>1241</v>
      </c>
      <c r="D29" s="19" t="n">
        <f aca="false">AVERAGE(D6:D27)</f>
        <v>1.22727272727273</v>
      </c>
      <c r="E29" s="19" t="n">
        <f aca="false">AVERAGE(E6:E27)</f>
        <v>1.31818181818182</v>
      </c>
      <c r="F29" s="19" t="n">
        <f aca="false">AVERAGE(F6:F27)</f>
        <v>1.31818181818182</v>
      </c>
      <c r="G29" s="19" t="n">
        <f aca="false">AVERAGE(G6:G27)</f>
        <v>2.68181818181818</v>
      </c>
      <c r="H29" s="19" t="n">
        <f aca="false">AVERAGE(H6:H27)</f>
        <v>1.36363636363636</v>
      </c>
    </row>
    <row r="30" customFormat="false" ht="15" hidden="false" customHeight="true" outlineLevel="0" collapsed="false">
      <c r="C30" s="5" t="s">
        <v>1242</v>
      </c>
      <c r="I30" s="8" t="n">
        <f aca="false">COUNTIF(I6:I27,"YES")</f>
        <v>0</v>
      </c>
    </row>
    <row r="31" customFormat="false" ht="23.25" hidden="false" customHeight="true" outlineLevel="0" collapsed="false">
      <c r="C31" s="5" t="s">
        <v>1243</v>
      </c>
      <c r="F31" s="19" t="n">
        <f aca="false">(F28+1)/22</f>
        <v>1.36363636363636</v>
      </c>
    </row>
  </sheetData>
  <conditionalFormatting sqref="F6">
    <cfRule type="cellIs" priority="2" operator="equal" aboveAverage="0" equalAverage="0" bottom="0" percent="0" rank="0" text="" dxfId="10">
      <formula>0</formula>
    </cfRule>
  </conditionalFormatting>
  <conditionalFormatting sqref="F7">
    <cfRule type="cellIs" priority="3" operator="equal" aboveAverage="0" equalAverage="0" bottom="0" percent="0" rank="0" text="" dxfId="10">
      <formula>0</formula>
    </cfRule>
  </conditionalFormatting>
  <conditionalFormatting sqref="F8">
    <cfRule type="cellIs" priority="4" operator="equal" aboveAverage="0" equalAverage="0" bottom="0" percent="0" rank="0" text="" dxfId="10">
      <formula>0</formula>
    </cfRule>
  </conditionalFormatting>
  <conditionalFormatting sqref="F9">
    <cfRule type="cellIs" priority="5" operator="equal" aboveAverage="0" equalAverage="0" bottom="0" percent="0" rank="0" text="" dxfId="10">
      <formula>0</formula>
    </cfRule>
  </conditionalFormatting>
  <conditionalFormatting sqref="F10">
    <cfRule type="cellIs" priority="6" operator="equal" aboveAverage="0" equalAverage="0" bottom="0" percent="0" rank="0" text="" dxfId="10">
      <formula>0</formula>
    </cfRule>
  </conditionalFormatting>
  <conditionalFormatting sqref="F11">
    <cfRule type="cellIs" priority="7" operator="equal" aboveAverage="0" equalAverage="0" bottom="0" percent="0" rank="0" text="" dxfId="10">
      <formula>0</formula>
    </cfRule>
  </conditionalFormatting>
  <conditionalFormatting sqref="F12">
    <cfRule type="cellIs" priority="8" operator="equal" aboveAverage="0" equalAverage="0" bottom="0" percent="0" rank="0" text="" dxfId="10">
      <formula>0</formula>
    </cfRule>
  </conditionalFormatting>
  <conditionalFormatting sqref="F13">
    <cfRule type="cellIs" priority="9" operator="equal" aboveAverage="0" equalAverage="0" bottom="0" percent="0" rank="0" text="" dxfId="10">
      <formula>0</formula>
    </cfRule>
  </conditionalFormatting>
  <conditionalFormatting sqref="F14">
    <cfRule type="cellIs" priority="10" operator="equal" aboveAverage="0" equalAverage="0" bottom="0" percent="0" rank="0" text="" dxfId="10">
      <formula>0</formula>
    </cfRule>
  </conditionalFormatting>
  <conditionalFormatting sqref="F15">
    <cfRule type="cellIs" priority="11" operator="equal" aboveAverage="0" equalAverage="0" bottom="0" percent="0" rank="0" text="" dxfId="10">
      <formula>0</formula>
    </cfRule>
  </conditionalFormatting>
  <conditionalFormatting sqref="F16">
    <cfRule type="cellIs" priority="12" operator="equal" aboveAverage="0" equalAverage="0" bottom="0" percent="0" rank="0" text="" dxfId="10">
      <formula>0</formula>
    </cfRule>
  </conditionalFormatting>
  <conditionalFormatting sqref="F17">
    <cfRule type="cellIs" priority="13" operator="equal" aboveAverage="0" equalAverage="0" bottom="0" percent="0" rank="0" text="" dxfId="10">
      <formula>0</formula>
    </cfRule>
  </conditionalFormatting>
  <conditionalFormatting sqref="F18">
    <cfRule type="cellIs" priority="14" operator="equal" aboveAverage="0" equalAverage="0" bottom="0" percent="0" rank="0" text="" dxfId="10">
      <formula>0</formula>
    </cfRule>
  </conditionalFormatting>
  <conditionalFormatting sqref="F19">
    <cfRule type="cellIs" priority="15" operator="equal" aboveAverage="0" equalAverage="0" bottom="0" percent="0" rank="0" text="" dxfId="10">
      <formula>0</formula>
    </cfRule>
  </conditionalFormatting>
  <conditionalFormatting sqref="F20">
    <cfRule type="cellIs" priority="16" operator="equal" aboveAverage="0" equalAverage="0" bottom="0" percent="0" rank="0" text="" dxfId="10">
      <formula>0</formula>
    </cfRule>
  </conditionalFormatting>
  <conditionalFormatting sqref="F21">
    <cfRule type="cellIs" priority="17" operator="equal" aboveAverage="0" equalAverage="0" bottom="0" percent="0" rank="0" text="" dxfId="10">
      <formula>0</formula>
    </cfRule>
  </conditionalFormatting>
  <conditionalFormatting sqref="F22">
    <cfRule type="cellIs" priority="18" operator="equal" aboveAverage="0" equalAverage="0" bottom="0" percent="0" rank="0" text="" dxfId="10">
      <formula>0</formula>
    </cfRule>
  </conditionalFormatting>
  <conditionalFormatting sqref="F23">
    <cfRule type="cellIs" priority="19" operator="equal" aboveAverage="0" equalAverage="0" bottom="0" percent="0" rank="0" text="" dxfId="10">
      <formula>0</formula>
    </cfRule>
  </conditionalFormatting>
  <conditionalFormatting sqref="F24">
    <cfRule type="cellIs" priority="20" operator="equal" aboveAverage="0" equalAverage="0" bottom="0" percent="0" rank="0" text="" dxfId="10">
      <formula>0</formula>
    </cfRule>
  </conditionalFormatting>
  <conditionalFormatting sqref="F25">
    <cfRule type="cellIs" priority="21" operator="equal" aboveAverage="0" equalAverage="0" bottom="0" percent="0" rank="0" text="" dxfId="10">
      <formula>0</formula>
    </cfRule>
  </conditionalFormatting>
  <conditionalFormatting sqref="F26">
    <cfRule type="cellIs" priority="22" operator="equal" aboveAverage="0" equalAverage="0" bottom="0" percent="0" rank="0" text="" dxfId="10">
      <formula>0</formula>
    </cfRule>
  </conditionalFormatting>
  <conditionalFormatting sqref="F27">
    <cfRule type="cellIs" priority="23" operator="equal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0"/>
    <col collapsed="false" customWidth="true" hidden="false" outlineLevel="0" max="4" min="3" style="1" width="60"/>
  </cols>
  <sheetData>
    <row r="1" customFormat="false" ht="17.25" hidden="false" customHeight="true" outlineLevel="0" collapsed="false">
      <c r="A1" s="2" t="s">
        <v>1244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995</v>
      </c>
      <c r="B4" s="4" t="s">
        <v>1245</v>
      </c>
      <c r="C4" s="4" t="s">
        <v>1160</v>
      </c>
    </row>
    <row r="5" customFormat="false" ht="23.25" hidden="false" customHeight="true" outlineLevel="0" collapsed="false">
      <c r="A5" s="6" t="s">
        <v>1246</v>
      </c>
      <c r="B5" s="6" t="s">
        <v>1247</v>
      </c>
      <c r="C5" s="6" t="s">
        <v>1248</v>
      </c>
    </row>
    <row r="6" customFormat="false" ht="15" hidden="false" customHeight="true" outlineLevel="0" collapsed="false">
      <c r="A6" s="6" t="s">
        <v>1249</v>
      </c>
      <c r="B6" s="6" t="s">
        <v>1250</v>
      </c>
      <c r="C6" s="6" t="s">
        <v>1251</v>
      </c>
    </row>
    <row r="7" customFormat="false" ht="23.25" hidden="false" customHeight="true" outlineLevel="0" collapsed="false">
      <c r="A7" s="6" t="s">
        <v>1252</v>
      </c>
      <c r="B7" s="6" t="s">
        <v>1253</v>
      </c>
      <c r="C7" s="6" t="s">
        <v>1254</v>
      </c>
    </row>
    <row r="8" customFormat="false" ht="23.25" hidden="false" customHeight="true" outlineLevel="0" collapsed="false">
      <c r="A8" s="6" t="s">
        <v>1255</v>
      </c>
      <c r="B8" s="6" t="s">
        <v>1256</v>
      </c>
      <c r="C8" s="6" t="s">
        <v>1257</v>
      </c>
    </row>
    <row r="9" customFormat="false" ht="15" hidden="false" customHeight="true" outlineLevel="0" collapsed="false">
      <c r="A9" s="6" t="s">
        <v>1258</v>
      </c>
      <c r="B9" s="6" t="s">
        <v>1259</v>
      </c>
      <c r="C9" s="6" t="s">
        <v>1260</v>
      </c>
    </row>
    <row r="10" customFormat="false" ht="23.25" hidden="false" customHeight="true" outlineLevel="0" collapsed="false">
      <c r="A10" s="6" t="s">
        <v>1261</v>
      </c>
      <c r="B10" s="6" t="s">
        <v>1262</v>
      </c>
      <c r="C10" s="6" t="s">
        <v>1263</v>
      </c>
    </row>
    <row r="12" customFormat="false" ht="15" hidden="false" customHeight="true" outlineLevel="0" collapsed="false">
      <c r="A12" s="4" t="s">
        <v>995</v>
      </c>
      <c r="B12" s="4" t="s">
        <v>1264</v>
      </c>
      <c r="C12" s="4" t="s">
        <v>1265</v>
      </c>
      <c r="D12" s="4" t="s">
        <v>1266</v>
      </c>
    </row>
    <row r="13" customFormat="false" ht="15" hidden="false" customHeight="true" outlineLevel="0" collapsed="false">
      <c r="A13" s="6" t="s">
        <v>1267</v>
      </c>
      <c r="B13" s="6" t="s">
        <v>1268</v>
      </c>
      <c r="C13" s="6" t="s">
        <v>1269</v>
      </c>
      <c r="D13" s="6" t="s">
        <v>1270</v>
      </c>
    </row>
    <row r="14" customFormat="false" ht="23.25" hidden="false" customHeight="true" outlineLevel="0" collapsed="false">
      <c r="A14" s="6" t="s">
        <v>1271</v>
      </c>
      <c r="B14" s="6" t="s">
        <v>1272</v>
      </c>
      <c r="C14" s="6" t="s">
        <v>1273</v>
      </c>
      <c r="D14" s="6" t="s">
        <v>1274</v>
      </c>
    </row>
    <row r="15" customFormat="false" ht="15" hidden="false" customHeight="true" outlineLevel="0" collapsed="false">
      <c r="A15" s="6" t="s">
        <v>1275</v>
      </c>
      <c r="B15" s="6" t="s">
        <v>1276</v>
      </c>
      <c r="C15" s="6" t="s">
        <v>1277</v>
      </c>
      <c r="D15" s="6" t="s">
        <v>1278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70"/>
    <col collapsed="false" customWidth="true" hidden="false" outlineLevel="0" max="3" min="3" style="1" width="14"/>
    <col collapsed="false" customWidth="true" hidden="false" outlineLevel="0" max="4" min="4" style="1" width="50"/>
  </cols>
  <sheetData>
    <row r="1" customFormat="false" ht="17.25" hidden="false" customHeight="true" outlineLevel="0" collapsed="false">
      <c r="A1" s="2" t="s">
        <v>1279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1280</v>
      </c>
      <c r="B4" s="4" t="s">
        <v>1281</v>
      </c>
      <c r="C4" s="4" t="s">
        <v>683</v>
      </c>
      <c r="D4" s="4" t="s">
        <v>1282</v>
      </c>
    </row>
    <row r="5" customFormat="false" ht="15" hidden="false" customHeight="true" outlineLevel="0" collapsed="false">
      <c r="A5" s="6" t="n">
        <v>1</v>
      </c>
      <c r="B5" s="6" t="s">
        <v>1283</v>
      </c>
      <c r="C5" s="13" t="str">
        <f aca="false">IF(COUNTA(02_SoA!A5:A97)=93,"PASS","FAIL")</f>
        <v>PASS</v>
      </c>
      <c r="D5" s="6" t="s">
        <v>1284</v>
      </c>
    </row>
    <row r="6" customFormat="false" ht="15" hidden="false" customHeight="true" outlineLevel="0" collapsed="false">
      <c r="A6" s="6" t="n">
        <v>2</v>
      </c>
      <c r="B6" s="6" t="s">
        <v>1285</v>
      </c>
      <c r="C6" s="13" t="str">
        <f aca="false">IF(AND(03_SoA_Summary!B5=37,03_SoA_Summary!B6=8,03_SoA_Summary!B7=14,03_SoA_Summary!B8=34),"PASS","FAIL")</f>
        <v>PASS</v>
      </c>
      <c r="D6" s="6" t="s">
        <v>1284</v>
      </c>
    </row>
    <row r="7" customFormat="false" ht="15" hidden="false" customHeight="true" outlineLevel="0" collapsed="false">
      <c r="A7" s="6" t="n">
        <v>3</v>
      </c>
      <c r="B7" s="6" t="s">
        <v>1286</v>
      </c>
      <c r="C7" s="13" t="str">
        <f aca="false">03_SoA_Summary!H9</f>
        <v>PASS</v>
      </c>
      <c r="D7" s="6" t="s">
        <v>1284</v>
      </c>
    </row>
    <row r="8" customFormat="false" ht="15" hidden="false" customHeight="true" outlineLevel="0" collapsed="false">
      <c r="A8" s="6" t="n">
        <v>4</v>
      </c>
      <c r="B8" s="6" t="s">
        <v>1287</v>
      </c>
      <c r="C8" s="13" t="str">
        <f aca="false">IF(03_SoA_Summary!B13=0,"PASS","FAIL")</f>
        <v>PASS</v>
      </c>
      <c r="D8" s="6" t="s">
        <v>1288</v>
      </c>
    </row>
    <row r="9" customFormat="false" ht="23.25" hidden="false" customHeight="true" outlineLevel="0" collapsed="false">
      <c r="A9" s="6" t="n">
        <v>5</v>
      </c>
      <c r="B9" s="6" t="s">
        <v>1289</v>
      </c>
      <c r="C9" s="13" t="str">
        <f aca="false">IF(COUNTIFS(02_SoA!A5:A97,"A.5.7",02_SoA!F5:F97,"Not started")+COUNTIFS(02_SoA!A5:A97,"A.8.8",02_SoA!F5:F97,"Not started")+COUNTIFS(02_SoA!A5:A97,"A.8.25",02_SoA!F5:F97,"Not started")+COUNTIFS(02_SoA!A5:A97,"A.8.28",02_SoA!F5:F97,"Not started")+COUNTIFS(02_SoA!A5:A97,"A.8.29",02_SoA!F5:F97,"Not started")+COUNTIFS(02_SoA!A5:A97,"A.8.31",02_SoA!F5:F97,"Not started")+COUNTIFS(02_SoA!A5:A97,"A.8.32",02_SoA!F5:F97,"Not started")=7,"PASS","FAIL")</f>
        <v>PASS</v>
      </c>
      <c r="D9" s="6" t="s">
        <v>1284</v>
      </c>
    </row>
    <row r="10" customFormat="false" ht="15" hidden="false" customHeight="true" outlineLevel="0" collapsed="false">
      <c r="A10" s="6" t="n">
        <v>6</v>
      </c>
      <c r="B10" s="6" t="s">
        <v>1290</v>
      </c>
      <c r="C10" s="13" t="str">
        <f aca="false">IF(COUNTIFS(02_SoA!J5:J97,"*GV.SC*",02_SoA!F5:F97,"Implemented")=0,"PASS","FAIL")</f>
        <v>PASS</v>
      </c>
      <c r="D10" s="6" t="s">
        <v>1284</v>
      </c>
    </row>
    <row r="11" customFormat="false" ht="15" hidden="false" customHeight="true" outlineLevel="0" collapsed="false">
      <c r="A11" s="6" t="n">
        <v>7</v>
      </c>
      <c r="B11" s="6" t="s">
        <v>1291</v>
      </c>
      <c r="C11" s="13" t="str">
        <f aca="false">06_Readiness!B9</f>
        <v>PASS</v>
      </c>
      <c r="D11" s="6" t="s">
        <v>1284</v>
      </c>
    </row>
    <row r="12" customFormat="false" ht="15" hidden="false" customHeight="true" outlineLevel="0" collapsed="false">
      <c r="A12" s="6" t="n">
        <v>8</v>
      </c>
      <c r="B12" s="6" t="s">
        <v>1292</v>
      </c>
      <c r="C12" s="13" t="str">
        <f aca="false">IF(05_DocInfo!D36=27,"PASS","FAIL")</f>
        <v>PASS</v>
      </c>
      <c r="D12" s="6" t="s">
        <v>1284</v>
      </c>
    </row>
    <row r="13" customFormat="false" ht="23.25" hidden="false" customHeight="true" outlineLevel="0" collapsed="false">
      <c r="A13" s="6" t="n">
        <v>9</v>
      </c>
      <c r="B13" s="6" t="s">
        <v>1293</v>
      </c>
      <c r="C13" s="20" t="s">
        <v>1294</v>
      </c>
      <c r="D13" s="6" t="s">
        <v>1295</v>
      </c>
    </row>
    <row r="14" customFormat="false" ht="15" hidden="false" customHeight="true" outlineLevel="0" collapsed="false">
      <c r="A14" s="6" t="n">
        <v>10</v>
      </c>
      <c r="B14" s="6" t="s">
        <v>1296</v>
      </c>
      <c r="C14" s="20" t="s">
        <v>1294</v>
      </c>
      <c r="D14" s="6" t="s">
        <v>1295</v>
      </c>
    </row>
    <row r="15" customFormat="false" ht="15" hidden="false" customHeight="true" outlineLevel="0" collapsed="false">
      <c r="A15" s="6" t="n">
        <v>11</v>
      </c>
      <c r="B15" s="6" t="s">
        <v>1297</v>
      </c>
      <c r="C15" s="20" t="s">
        <v>1294</v>
      </c>
      <c r="D15" s="6" t="s">
        <v>1295</v>
      </c>
    </row>
    <row r="16" customFormat="false" ht="15" hidden="false" customHeight="true" outlineLevel="0" collapsed="false">
      <c r="A16" s="6" t="n">
        <v>12</v>
      </c>
      <c r="B16" s="6" t="s">
        <v>1298</v>
      </c>
      <c r="C16" s="13" t="str">
        <f aca="false">IF(AND(09_GAP_Impact!D28=27,09_GAP_Impact!E28=29,09_GAP_Impact!F28=29,09_GAP_Impact!G28=59),"PASS","FAIL")</f>
        <v>PASS</v>
      </c>
      <c r="D16" s="6" t="s">
        <v>1284</v>
      </c>
    </row>
    <row r="17" customFormat="false" ht="15" hidden="false" customHeight="true" outlineLevel="0" collapsed="false">
      <c r="A17" s="6" t="n">
        <v>13</v>
      </c>
      <c r="B17" s="6" t="s">
        <v>1299</v>
      </c>
      <c r="C17" s="20" t="s">
        <v>1294</v>
      </c>
      <c r="D17" s="6" t="s">
        <v>1295</v>
      </c>
    </row>
    <row r="18" customFormat="false" ht="15" hidden="false" customHeight="true" outlineLevel="0" collapsed="false">
      <c r="A18" s="6" t="n">
        <v>14</v>
      </c>
      <c r="B18" s="6" t="s">
        <v>1300</v>
      </c>
      <c r="C18" s="20" t="s">
        <v>1294</v>
      </c>
      <c r="D18" s="6" t="s">
        <v>1295</v>
      </c>
    </row>
    <row r="19" customFormat="false" ht="15" hidden="false" customHeight="true" outlineLevel="0" collapsed="false">
      <c r="A19" s="6" t="n">
        <v>15</v>
      </c>
      <c r="B19" s="6" t="s">
        <v>1301</v>
      </c>
      <c r="C19" s="20" t="s">
        <v>1294</v>
      </c>
      <c r="D19" s="6" t="s">
        <v>1302</v>
      </c>
    </row>
    <row r="20" customFormat="false" ht="15" hidden="false" customHeight="true" outlineLevel="0" collapsed="false">
      <c r="A20" s="6" t="n">
        <v>16</v>
      </c>
      <c r="B20" s="6" t="s">
        <v>1303</v>
      </c>
      <c r="C20" s="20" t="s">
        <v>1294</v>
      </c>
      <c r="D20" s="6" t="s">
        <v>1304</v>
      </c>
    </row>
    <row r="21" customFormat="false" ht="15" hidden="false" customHeight="true" outlineLevel="0" collapsed="false">
      <c r="A21" s="6" t="n">
        <v>17</v>
      </c>
      <c r="B21" s="6" t="s">
        <v>1305</v>
      </c>
      <c r="C21" s="20" t="s">
        <v>1294</v>
      </c>
      <c r="D21" s="6" t="s">
        <v>1306</v>
      </c>
    </row>
    <row r="22" customFormat="false" ht="15" hidden="false" customHeight="true" outlineLevel="0" collapsed="false">
      <c r="A22" s="6" t="n">
        <v>18</v>
      </c>
      <c r="B22" s="6" t="s">
        <v>1307</v>
      </c>
      <c r="C22" s="20" t="s">
        <v>1294</v>
      </c>
      <c r="D22" s="6" t="s">
        <v>1295</v>
      </c>
    </row>
  </sheetData>
  <conditionalFormatting sqref="C5:C22">
    <cfRule type="expression" priority="2" aboveAverage="0" equalAverage="0" bottom="0" percent="0" rank="0" text="" dxfId="8">
      <formula>C5="PASS"</formula>
    </cfRule>
    <cfRule type="expression" priority="3" aboveAverage="0" equalAverage="0" bottom="0" percent="0" rank="0" text="" dxfId="10">
      <formula>C5="FAIL"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32"/>
  </cols>
  <sheetData>
    <row r="1" customFormat="false" ht="17.25" hidden="false" customHeight="true" outlineLevel="0" collapsed="false">
      <c r="A1" s="2" t="s">
        <v>1308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654</v>
      </c>
      <c r="B4" s="4" t="s">
        <v>1309</v>
      </c>
      <c r="C4" s="4" t="s">
        <v>1310</v>
      </c>
      <c r="D4" s="4" t="s">
        <v>63</v>
      </c>
    </row>
    <row r="5" customFormat="false" ht="15" hidden="false" customHeight="true" outlineLevel="0" collapsed="false">
      <c r="A5" s="6" t="s">
        <v>82</v>
      </c>
      <c r="B5" s="6" t="s">
        <v>657</v>
      </c>
      <c r="C5" s="6" t="s">
        <v>895</v>
      </c>
      <c r="D5" s="6" t="s">
        <v>85</v>
      </c>
    </row>
    <row r="6" customFormat="false" ht="15" hidden="false" customHeight="true" outlineLevel="0" collapsed="false">
      <c r="A6" s="6" t="s">
        <v>152</v>
      </c>
      <c r="B6" s="6" t="s">
        <v>656</v>
      </c>
      <c r="C6" s="6" t="s">
        <v>656</v>
      </c>
      <c r="D6" s="6" t="s">
        <v>106</v>
      </c>
    </row>
    <row r="7" customFormat="false" ht="15" hidden="false" customHeight="true" outlineLevel="0" collapsed="false">
      <c r="B7" s="6" t="s">
        <v>655</v>
      </c>
      <c r="C7" s="6" t="s">
        <v>851</v>
      </c>
      <c r="D7" s="6" t="s">
        <v>166</v>
      </c>
    </row>
    <row r="8" customFormat="false" ht="15" hidden="false" customHeight="true" outlineLevel="0" collapsed="false">
      <c r="B8" s="6" t="s">
        <v>1311</v>
      </c>
      <c r="D8" s="6" t="s">
        <v>157</v>
      </c>
    </row>
    <row r="9" customFormat="false" ht="15" hidden="false" customHeight="true" outlineLevel="0" collapsed="false">
      <c r="D9" s="6" t="s">
        <v>122</v>
      </c>
    </row>
    <row r="10" customFormat="false" ht="15" hidden="false" customHeight="true" outlineLevel="0" collapsed="false">
      <c r="D10" s="6" t="s">
        <v>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2026-09-16T10:52:00Z</dcterms:created>
  <dc:creator>openpyxl</dc:creator>
  <dc:description/>
  <dc:language>en-US</dc:language>
  <cp:lastModifiedBy/>
  <dcterms:modified xsi:type="dcterms:W3CDTF">2026-10-13T14:22:22Z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